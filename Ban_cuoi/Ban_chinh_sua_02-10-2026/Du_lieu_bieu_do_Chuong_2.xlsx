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4" sheetId="4" r:id="rId4"/>
    <sheet name="H2.5" sheetId="5" r:id="rId5"/>
    <sheet name="H2.6" sheetId="6" r:id="rId6"/>
    <sheet name="H2.7" sheetId="7" r:id="rId7"/>
    <sheet name="H2.8" sheetId="8" r:id="rId8"/>
    <sheet name="H2.9" sheetId="9" r:id="rId9"/>
    <sheet name="H2.10" sheetId="10" r:id="rId10"/>
    <sheet name="Nhat_ky_chuan_hoa" sheetId="11" r:id="rId11"/>
    <sheet name="DL_De_tai" sheetId="12" r:id="rId12"/>
    <sheet name="DL_TSTT" sheetId="13" r:id="rId13"/>
    <sheet name="DL_Quy_dinh_loi_ich" sheetId="14" r:id="rId14"/>
    <sheet name="DL_Ke_hoach_07" sheetId="15" r:id="rId15"/>
    <sheet name="DL_Tieu_chi" sheetId="16" r:id="rId16"/>
  </sheets>
  <calcPr calcId="124519" fullCalcOnLoad="1"/>
</workbook>
</file>

<file path=xl/sharedStrings.xml><?xml version="1.0" encoding="utf-8"?>
<sst xmlns="http://schemas.openxmlformats.org/spreadsheetml/2006/main" count="791" uniqueCount="549">
  <si>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</si>
  <si>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</si>
  <si>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</si>
  <si>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</si>
  <si>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</si>
  <si>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</si>
  <si>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và diễn biến sản phẩm khoa học theo năm, giai đoạn 2021 - 2025</t>
  </si>
  <si>
    <t>H2.1</t>
  </si>
  <si>
    <t>Hình 2.2</t>
  </si>
  <si>
    <t>Mô phỏng phần dành cho tác giả theo điểm a và điểm b khoản 4 Điều 36 Quyết định 213 trên cùng cơ sở tính</t>
  </si>
  <si>
    <t>H2.2</t>
  </si>
  <si>
    <t>Hình 2.4</t>
  </si>
  <si>
    <t>Số đề tài cấp cơ sở theo hình thức kinh phí và kinh phí Nhà trường cấp, giai đoạn 2021 - 2025</t>
  </si>
  <si>
    <t>H2.4</t>
  </si>
  <si>
    <t>Hình 2.5</t>
  </si>
  <si>
    <t>Giờ nghiên cứu quy đổi và mức thưởng bằng tiền theo loại sản phẩm khoa học</t>
  </si>
  <si>
    <t>H2.5</t>
  </si>
  <si>
    <t>Hình 2.6</t>
  </si>
  <si>
    <t>Khả năng tính toán bộ tiêu chí đánh giá hiệu quả quản lý quyền sở hữu trí tuệ từ dữ liệu hiện có</t>
  </si>
  <si>
    <t>H2.6</t>
  </si>
  <si>
    <t>Hình 2.7</t>
  </si>
  <si>
    <t>Hồ sơ tài sản trí tuệ của Nhà trường trong kỳ 2021 - 2025 theo loại hình và tình trạng pháp lý</t>
  </si>
  <si>
    <t>H2.7</t>
  </si>
  <si>
    <t>Hình 2.8</t>
  </si>
  <si>
    <t>Sản phẩm đề tài cấp cơ sở có tiềm năng tạo lập tài sản trí tuệ theo nhóm quyền dự kiến</t>
  </si>
  <si>
    <t>H2.8</t>
  </si>
  <si>
    <t>Hình 2.9</t>
  </si>
  <si>
    <t>Chuỗi chuyển hóa từ đề tài cấp cơ sở sang đơn đăng ký sở hữu công nghiệp</t>
  </si>
  <si>
    <t>H2.9</t>
  </si>
  <si>
    <t>Hình 2.10</t>
  </si>
  <si>
    <t>Tỷ lệ thực hiện so với chỉ tiêu Kế hoạch 07/KH-ĐHTĐ, cộng dồn hai năm 2024 - 2025</t>
  </si>
  <si>
    <t>H2.10</t>
  </si>
  <si>
    <t>Các chỉnh sửa số liệu so với bản Chương 2 trước</t>
  </si>
  <si>
    <t>Nhat_ky_chuan_hoa</t>
  </si>
  <si>
    <t>Danh mục 38 đề tài cấp cơ sở đã chuẩn hóa, không gồm thông tin cá nhân</t>
  </si>
  <si>
    <t>DL_De_tai</t>
  </si>
  <si>
    <t>Danh mục hồ sơ tài sản trí tuệ thuộc sở hữu hoặc đồng sở hữu của Nhà trường</t>
  </si>
  <si>
    <t>DL_TSTT</t>
  </si>
  <si>
    <t>Quy định về lợi ích của tác giả và phân chia nguồn thu, Bảng 2.3</t>
  </si>
  <si>
    <t>DL_Quy_dinh_loi_ich</t>
  </si>
  <si>
    <t>Mười chỉ tiêu Kế hoạch 07/KH-ĐHTĐ được đối chiếu, gồm chỉ tiêu chưa xác định</t>
  </si>
  <si>
    <t>DL_Ke_hoach_07</t>
  </si>
  <si>
    <t>Đánh giá khả năng tính toán 16 tiêu chí tại Mục 1.4.2</t>
  </si>
  <si>
    <t>DL_Tieu_chi</t>
  </si>
  <si>
    <t>Hình 2.1.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</si>
  <si>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</si>
  <si>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</si>
  <si>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</si>
  <si>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</si>
  <si>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</si>
  <si>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</si>
  <si>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</si>
  <si>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</si>
  <si>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</si>
  <si>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</si>
  <si>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</si>
  <si>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</si>
  <si>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</si>
  <si>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</si>
  <si>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</si>
  <si>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2.2. Mô phỏng phần dành cho tác giả theo điểm a và điểm b khoản 4 Điều 36 Quyết định 213 trên cùng cơ sở tính</t>
  </si>
  <si>
    <t>Nguồn: Nhóm nghiên cứu mô phỏng từ khoản 4 Điều 36 Quy chế ban hành kèm Quyết định số 213/QĐ-ĐHTĐ. Trục hoành là nguồn thu sau khi trừ các khoản chi phí cần thiết, hợp lệ, cơ sở tính chung của hai điểm; đơn vị: triệu đồng. Điểm a áp dụng cho sản phẩm đề tài sử dụng ngân sách nhà nước do Trường chủ trì: 30% khen thưởng tập thể tác giả, tối đa 100 triệu đồng một đề tài, phần vượt chuyển vào quỹ khen thưởng, phúc lợi. Điểm b áp dụng cho tài sản trí tuệ thuộc sở hữu của Trường: tác giả hưởng 30%. Hai điểm có phạm vi khác nhau nên không cùng áp dụng cho một tài sản.</t>
  </si>
  <si>
    <t>Nguồn thu sau chi phí hợp lệ</t>
  </si>
  <si>
    <t>Điểm a: khen thưởng tập thể tác giả, đề tài sử dụng ngân sách nhà nước</t>
  </si>
  <si>
    <t>Điểm b: tác giả, tài sản trí tuệ thuộc sở hữu của Trường</t>
  </si>
  <si>
    <t>0</t>
  </si>
  <si>
    <t>100</t>
  </si>
  <si>
    <t>200</t>
  </si>
  <si>
    <t>300</t>
  </si>
  <si>
    <t>400</t>
  </si>
  <si>
    <t>500</t>
  </si>
  <si>
    <t>600</t>
  </si>
  <si>
    <t>700</t>
  </si>
  <si>
    <t>Hình 2.4.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</si>
  <si>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</si>
  <si>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</si>
  <si>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</si>
  <si>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</si>
  <si>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</si>
  <si>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2.5.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</si>
  <si>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</si>
  <si>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</si>
  <si>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</si>
  <si>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</si>
  <si>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</si>
  <si>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</si>
  <si>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</si>
  <si>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</si>
  <si>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</si>
  <si>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</si>
  <si>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</si>
  <si>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</si>
  <si>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2.6.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</si>
  <si>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</si>
  <si>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</si>
  <si>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</si>
  <si>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</si>
  <si>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</si>
  <si>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</si>
  <si>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</si>
  <si>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</si>
  <si>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</si>
  <si>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2.7. Hồ sơ tài sản trí tuệ của Nhà trường trong kỳ 2021 - 2025 theo loại hình và tình trạng pháp lý</t>
  </si>
  <si>
    <t>Nguồn: Nhóm nghiên cứu tổng hợp từ Bảng 2.6. Không gồm đơn sáng chế nộp năm 2026. Nhóm chưa xác minh là 5 kiểu dáng công nghiệp có số hiệu văn bằng tại bảng thống kê văn bằng nhưng được ghi là chờ cấp bằng tại bảng theo dõi đơn.</t>
  </si>
  <si>
    <t>Loại hình</t>
  </si>
  <si>
    <t>Đã cấp văn bằng, giấy chứng nhận</t>
  </si>
  <si>
    <t>Có số hiệu văn bằng, trạng thái chưa xác minh</t>
  </si>
  <si>
    <t>Đã nộp đơn</t>
  </si>
  <si>
    <t>Quyền tác giả</t>
  </si>
  <si>
    <t>Nhãn hiệu</t>
  </si>
  <si>
    <t>Kiểu dáng công nghiệp</t>
  </si>
  <si>
    <t>Sáng chế</t>
  </si>
  <si>
    <t>Hình 2.8. Sản phẩm đề tài cấp cơ sở có tiềm năng tạo lập tài sản trí tuệ theo nhóm quyền dự kiến</t>
  </si>
  <si>
    <t>Nguồn: Nhóm nghiên cứu tổng hợp từ Bảng 2.7.</t>
  </si>
  <si>
    <t>Nhóm quyền dự kiến</t>
  </si>
  <si>
    <t>Số sản phẩm</t>
  </si>
  <si>
    <t>Giải pháp hữu ích hoặc sáng chế</t>
  </si>
  <si>
    <t>Sưu tập dữ liệu</t>
  </si>
  <si>
    <t>Kiểu dáng công nghiệp hoặc giải pháp hữu ích</t>
  </si>
  <si>
    <t>Hình 2.9. Chuỗi chuyển hóa từ đề tài cấp cơ sở sang đơn đăng ký sở hữu công nghiệp</t>
  </si>
  <si>
    <t>Nguồn: Nhóm nghiên cứu tính toán từ danh mục đề tài cấp cơ sở và Bảng 2.7. Chuỗi chỉ xét sở hữu công nghiệp, không gồm 2 sản phẩm thuộc quyền tác giả. Cột thứ hai gồm các đề tài mang mã số từ năm 2021 đến năm 2024, đều nghiệm thu trước ngày 31 tháng 5 năm 2025.</t>
  </si>
  <si>
    <t>Bậc chuyển hóa</t>
  </si>
  <si>
    <t>Toàn bộ 38 đề tài, mã số 2021 - 2025</t>
  </si>
  <si>
    <t>Đề tài mã số 2021 - 2024</t>
  </si>
  <si>
    <t>Đề tài đã nghiệm thu</t>
  </si>
  <si>
    <t>Có sản phẩm tiềm năng sở hữu công nghiệp</t>
  </si>
  <si>
    <t>Đã nộp đơn đăng ký</t>
  </si>
  <si>
    <t>Hình 2.10. Tỷ lệ thực hiện so với chỉ tiêu Kế hoạch 07/KH-ĐHTĐ, cộng dồn hai năm 2024 - 2025</t>
  </si>
  <si>
    <t>Nguồn: Nhóm nghiên cứu tính toán từ mục 2.2.4 Kế hoạch số 07/KH-ĐHTĐ ngày 01 tháng 7 năm 2024 và các danh mục thống kê của Phòng Khoa học Công nghệ; tên chỉ tiêu ghi theo nguyên văn Kế hoạch, kèm số mục. Mục 1.3 và 1.4 được cộng chung do danh mục bài báo trong nước gồm cả tạp chí của Trường. Đề tài xếp theo năm ghi trong mã số hoặc năm phê duyệt kinh phí. Không gồm mục 1.5 do danh mục tham luận hội thảo quốc gia không có năm, và mục 1.11 do trạng thái pháp lý của 5 kiểu dáng công nghiệp chưa thống nhất. Màu xanh dương: công bố; xanh lục: đề tài và học liệu; cam: tài sản trí tuệ.</t>
  </si>
  <si>
    <t>Chỉ tiêu</t>
  </si>
  <si>
    <t>Nhóm</t>
  </si>
  <si>
    <t>Kế hoạch 2024 - 2025</t>
  </si>
  <si>
    <t>Thực hiện 2024 - 2025</t>
  </si>
  <si>
    <t>Tỷ lệ thực hiện</t>
  </si>
  <si>
    <t>1.1. Bài báo tạp chí khoa học quốc tế</t>
  </si>
  <si>
    <t>Công bố</t>
  </si>
  <si>
    <t>3.6. Sách xuất bản có chỉ số ISBN</t>
  </si>
  <si>
    <t>1.6. Bài báo đăng kỷ yếu Hội thảo cấp Trường</t>
  </si>
  <si>
    <t>1.3, 1.4. Bài báo đăng tạp chí NCKH và PT của trường và tạp chí trong nước</t>
  </si>
  <si>
    <t>1.9. Đề tài KHCN cấp Bộ/Nhà nước</t>
  </si>
  <si>
    <t>Đề tài và học liệu</t>
  </si>
  <si>
    <t>1.10. Đề tài KHCN cấp cơ sở</t>
  </si>
  <si>
    <t>1.2. Bài báo Hội thảo khoa học quốc tế</t>
  </si>
  <si>
    <t>3.4. Giáo trình/TLTK LHNB được nghiệm thu</t>
  </si>
  <si>
    <t>1.12. Chuyển giao công nghệ</t>
  </si>
  <si>
    <t>Tài sản trí tuệ</t>
  </si>
  <si>
    <t>NHẬT KÝ CHUẨN HÓA SỐ LIỆU CHƯƠNG 2</t>
  </si>
  <si>
    <t>Nội dung</t>
  </si>
  <si>
    <t>Bản trước</t>
  </si>
  <si>
    <t>Giá trị chuẩn hóa</t>
  </si>
  <si>
    <t>Căn cứ đối chiếu</t>
  </si>
  <si>
    <t>Lượt chỉnh sửa tháng 10 năm 2026</t>
  </si>
  <si>
    <t>Theo bản góp ý và yêu cầu chỉnh sửa ba chương; chi tiết tại bảng giải trình</t>
  </si>
  <si>
    <t>Bản góp ý của Hội đồng, chủ nhiệm đề tài</t>
  </si>
  <si>
    <t>Hình mô phỏng lợi ích của tác giả</t>
  </si>
  <si>
    <t>5 đường: điểm a, điểm b Điều 36 Quyết định 213, Quỹ năm đầu, Quỹ năm thứ hai, Điều 135</t>
  </si>
  <si>
    <t>2 đường cùng cơ sở tính: điểm a và điểm b Điều 36 Quyết định 213; các quy định khác cơ sở tính đưa vào Bảng 2.3 và sheet DL_Quy_dinh_loi_ich</t>
  </si>
  <si>
    <t>Không đặt tỷ lệ tính trên khoản thu sau chi phí cạnh tỷ lệ tính trên tổng tiền trước thuế</t>
  </si>
  <si>
    <t>12 tài sản, 9 văn bằng</t>
  </si>
  <si>
    <t>11 hồ sơ trong kỳ 2021 - 2025: 4 đã cấp văn bằng, giấy chứng nhận; 5 kiểu dáng chưa xác minh; 2 đã nộp đơn. Đơn sáng chế 1-2026-07185 ghi riêng, ngoài kỳ</t>
  </si>
  <si>
    <t>Theo dõi đơn nhãn hiệu và KDCN.xlsx, Sheet1 và Sheet2</t>
  </si>
  <si>
    <t>Kế hoạch 07, mục 1.11</t>
  </si>
  <si>
    <t>6 trên 4, tức 150%, gồm nhãn hiệu Thado Edupark</t>
  </si>
  <si>
    <t>Chưa xác định; nếu 5 kiểu dáng được xác nhận cấp năm 2024 thì 5 trên 4, tức 125%. Biểu đồ còn 9 chỉ tiêu, 6 đạt</t>
  </si>
  <si>
    <t>Kế hoạch 07/KH-ĐHTĐ trang 7</t>
  </si>
  <si>
    <t>Chuỗi chuyển hóa</t>
  </si>
  <si>
    <t>38, 11, 1; giao đến 2024: 31, 8, 0</t>
  </si>
  <si>
    <t>Chỉ xét sở hữu công nghiệp: 38, 9, 1; mã số 2021 - 2024: 31, 6, 0</t>
  </si>
  <si>
    <t>Không gộp quyền tác giả vào phễu sở hữu công nghiệp</t>
  </si>
  <si>
    <t>Bản ghi trùng</t>
  </si>
  <si>
    <t>107 bài gắn đề tài, 475 sản phẩm độc lập, độ phủ 29,9%</t>
  </si>
  <si>
    <t>Bỏ; giữ 582 bản ghi</t>
  </si>
  <si>
    <t>Chưa tái lập được phép so khớp và chưa xác lập được quan hệ trùng lặp</t>
  </si>
  <si>
    <t>Người có bài báo</t>
  </si>
  <si>
    <t>88 trên 247, Gini 0,829, 10% dẫn đầu 39,3%</t>
  </si>
  <si>
    <t>87 trên 246 tên, Gini 0,832, 39,7%; độ nhạy bỏ dấu: 103 tên, Gini 0,822</t>
  </si>
  <si>
    <t>scripts/ra_soat/so_khop_tac_gia.py</t>
  </si>
  <si>
    <t>Khả năng tính toán tiêu chí</t>
  </si>
  <si>
    <t>5 đầy đủ, 4 một phần, 7 chưa</t>
  </si>
  <si>
    <t>4 đầy đủ, 5 một phần, 7 chưa</t>
  </si>
  <si>
    <t>Kinh phí: Điều 35, 38 Quyết định 213; văn bằng: trạng thái kiểu dáng chưa thống nhất; tra cứu: chưa có số liệu</t>
  </si>
  <si>
    <t>Bản rút gọn, cấu trúc</t>
  </si>
  <si>
    <t>43 trang, 16 hình, 10 bảng</t>
  </si>
  <si>
    <t>Khoảng 22 trang, 9 hình, 7 bảng, có tiểu kết; bỏ Mục 2.1.4 và 2.1.5 cũ, gộp Mục 2.3.4 vào 2.3.2, bỏ phân mục của 2.4; đánh số hình, bảng theo bản rút gọn</t>
  </si>
  <si>
    <t>Yêu cầu của chủ nhiệm đề tài: chỉ giữ nội dung trực tiếp liên quan</t>
  </si>
  <si>
    <t>Hình bỏ khỏi bản rút gọn</t>
  </si>
  <si>
    <t>Hình 2.1, 2.3, 2.4, 2.5, 2.6, 2.9, 2.13 cũ</t>
  </si>
  <si>
    <t>Số liệu chính giữ trong lời văn; dữ liệu vẫn có trong các sheet DL_ và tệp du_lieu.py</t>
  </si>
  <si>
    <t>Rút gọn</t>
  </si>
  <si>
    <t>Quy chế quản trị tài sản trí tuệ năm 2024</t>
  </si>
  <si>
    <t>Chưa rõ số hiệu</t>
  </si>
  <si>
    <t>Ban hành kèm Quyết định số 217/QĐ-ĐHTĐ, gọi tắt là Quyết định 217</t>
  </si>
  <si>
    <t>Xác nhận của chủ nhiệm đề tài</t>
  </si>
  <si>
    <t>Thông tư 83/2026/TT-BGDĐT về Chuẩn cơ sở giáo dục đại học</t>
  </si>
  <si>
    <t>Chưa có</t>
  </si>
  <si>
    <t>Không đưa vào Chương 2 vì Thông tư có hiệu lực từ ngày 15 tháng 11 năm 2026, chưa áp dụng cho giai đoạn đánh giá; được đưa vào Mục 3.1.2 Thời cơ và thách thức của Chương 3</t>
  </si>
  <si>
    <t>Ý kiến của chủ nhiệm đề tài</t>
  </si>
  <si>
    <t>Ngân sách Quỹ Ngô Xuân Độ</t>
  </si>
  <si>
    <t>5 tỷ đồng</t>
  </si>
  <si>
    <t>5 tỷ đồng giai đoạn 2025 - 2029</t>
  </si>
  <si>
    <t>Biểu đồ</t>
  </si>
  <si>
    <t>Chú giải đặt dưới, bố cục tự động; nhãn trắng trên mọi nền</t>
  </si>
  <si>
    <t>Bố cục cố định: chú giải phía trên, vùng vẽ tách riêng; màu chữ nhãn chọn theo độ tương phản với nền</t>
  </si>
  <si>
    <t>Phản hồi của chủ nhiệm đề tài về chú giải đè biểu đồ và chữ khó đọc</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</si>
  <si>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</si>
  <si>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</si>
  <si>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</si>
  <si>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</si>
  <si>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</si>
  <si>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</si>
  <si>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</si>
  <si>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</si>
  <si>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</si>
  <si>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</si>
  <si>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</si>
  <si>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</si>
  <si>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</si>
  <si>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</si>
  <si>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</si>
  <si>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</si>
  <si>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</si>
  <si>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</si>
  <si>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</si>
  <si>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</si>
  <si>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</si>
  <si>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</si>
  <si>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</si>
  <si>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</si>
  <si>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</si>
  <si>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</si>
  <si>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</si>
  <si>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</si>
  <si>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</si>
  <si>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</si>
  <si>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</si>
  <si>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</si>
  <si>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</si>
  <si>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</si>
  <si>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</si>
  <si>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</si>
  <si>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</si>
  <si>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</si>
  <si>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</si>
  <si>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</si>
  <si>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</si>
  <si>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</si>
  <si>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</si>
  <si>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</si>
  <si>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</si>
  <si>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</si>
  <si>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</si>
  <si>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</si>
  <si>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</si>
  <si>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</si>
  <si>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</si>
  <si>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</si>
  <si>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</si>
  <si>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</si>
  <si>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</si>
  <si>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</si>
  <si>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</si>
  <si>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</si>
  <si>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</si>
  <si>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</si>
  <si>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</si>
  <si>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</si>
  <si>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</si>
  <si>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</si>
  <si>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</si>
  <si>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</si>
  <si>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</si>
  <si>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</si>
  <si>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</si>
  <si>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Chưa được khai thác trong Chương 2</t>
  </si>
  <si>
    <t>Bổ sung vào Mục 2.2.1, 2.2.2, 2.3.1, 2.5.1, 2.5.3, Bảng 2.4 và Bảng 2.6</t>
  </si>
  <si>
    <t>Tai lieu thanh do/QC SHTT ĐHTĐ.docx; bản được cung cấp chưa ghi số và ngày ban hành</t>
  </si>
  <si>
    <t>Điều 34 Quyết định 213 và giải pháp hữu ích</t>
  </si>
  <si>
    <t>Khẳng định Điều 34 không liệt kê giải pháp hữu ích và dùng làm một nguyên nhân</t>
  </si>
  <si>
    <t>Điều 34 có liệt kê bằng độc quyền giải pháp hữu ích; sửa Bảng 2.6, Mục 2.3.1, 2.5.3 và lời bình Hình 2.14</t>
  </si>
  <si>
    <t>02. QĐ 213_QĐ-ĐHTĐ, Điều 34 khoản 2</t>
  </si>
  <si>
    <t>Số hiệu văn bản 213</t>
  </si>
  <si>
    <t>Quyết định số 213/QĐ-ĐHTĐ năm 2021</t>
  </si>
  <si>
    <t>Quy chế ban hành ngày 28/12/2021 kèm văn bản số 213/QĐ-ĐHTĐ; bản quy chế ghi là Nghị quyết, Kế hoạch 07 ghi Nghị quyết số 213/NQ-HĐT-ĐHTĐ. Đề nghị thống nhất cách gọi</t>
  </si>
  <si>
    <t>Trang bìa Quy chế 213; Kế hoạch 07/KH-ĐHTĐ</t>
  </si>
  <si>
    <t>Mục 2.1.5, độ phủ khai báo</t>
  </si>
  <si>
    <t>Hồ sơ khai 28 bài báo; 25 trên 28 tìm thấy; độ phủ 26,2%</t>
  </si>
  <si>
    <t>26 đề tài khai 32 công bố; độ phủ khoảng 29,9%; bỏ tỷ lệ 89,3% vì không tái lập được từ tài liệu gốc</t>
  </si>
  <si>
    <t>Cột sản phẩm nghiệm thu, danh mục đề tài cấp cơ sở</t>
  </si>
  <si>
    <t>Mục 2.5.2, ý thứ sáu</t>
  </si>
  <si>
    <t>Ba đề tài ghi rõ không có bài báo như cam kết</t>
  </si>
  <si>
    <t>Danh mục gốc không có ghi chú này; thay bằng: 7 đề tài chỉ có báo cáo tổng kết, 5 trong số đó xếp loại Tốt</t>
  </si>
  <si>
    <t>Danh mục đề tài cấp cơ sở</t>
  </si>
  <si>
    <t>Mục 2.2.3, lệ phí đăng ký</t>
  </si>
  <si>
    <t>Chỉ nêu không có dòng chi</t>
  </si>
  <si>
    <t>Bổ sung: Điều 35 giao Phòng KHCN nộp lệ phí nhưng Điều 38 không có mục chi tương ứng</t>
  </si>
  <si>
    <t>Quyết định 213, Điều 35, 38</t>
  </si>
  <si>
    <t>Kế hoạch 07/KH-ĐHTĐ ngày 01/7/2024</t>
  </si>
  <si>
    <t>Chưa sử dụng; tệp là bản quét</t>
  </si>
  <si>
    <t>Nhận dạng chữ và đối chiếu ảnh gốc: số liệu 2021 - 2023 khớp; bổ sung Hình 2.16 so sánh kế hoạch và thực hiện</t>
  </si>
  <si>
    <t>Tai lieu thanh do/KH hoạt động KHCN giai đoạn 2024-2028.pdf</t>
  </si>
  <si>
    <t>Tham luận hội thảo quốc tế 2022 - 2023</t>
  </si>
  <si>
    <t>Danh mục theo ngày tổ chức: 2 và 3; Kế hoạch 07 ghi 1 và 4. Chương 2 dùng số liệu danh mục</t>
  </si>
  <si>
    <t>Danh mục tham luận quốc tế; Kế hoạch 07, Bảng 4</t>
  </si>
  <si>
    <t>Kiểm chứng phép so khớp tác giả</t>
  </si>
  <si>
    <t>Chưa kiểm chứng</t>
  </si>
  <si>
    <t>Tái lập độc lập: 256 trên 405 bài khớp; Viện Y - Dược 55, Viện QT và CN 57, Viện NCGD và CGTT 17 bài; 89 người có bài, Gini 0,828; chênh 1 - 3 đơn vị do 5 họ tên trùng nhau. Giữ số liệu Chương 2</t>
  </si>
  <si>
    <t>2026 DS.xlsx và hai danh mục bài báo</t>
  </si>
  <si>
    <t>Nội dung chưa có tài liệu gốc trong thư mục</t>
  </si>
  <si>
    <t>Điều lệ Quỹ Ngô Xuân Độ; hợp đồng của Viện NCGD và CGTT; tư cách thành viên Mạng lưới Trung tâm Hỗ trợ công nghệ và đổi mới sáng tạo từ năm 2023; đăng ký hoạt động khoa học công nghệ của Viện; sơ đồ tổ chức ngày 16/6/2026. Giữ nguyên, cần bổ sung minh chứng</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</si>
  <si>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</si>
  <si>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</si>
  <si>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</si>
  <si>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</si>
  <si>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</si>
  <si>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</si>
  <si>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</si>
  <si>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</si>
  <si>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</si>
  <si>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</si>
  <si>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</si>
  <si>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Nhóm quyền có thể xác lập</t>
  </si>
  <si>
    <t>Tình trạng nộp đơn</t>
  </si>
  <si>
    <t>20-2021</t>
  </si>
  <si>
    <t>Viện NN - VH - QT</t>
  </si>
  <si>
    <t>Đạt</t>
  </si>
  <si>
    <t>Quy đổi giờ</t>
  </si>
  <si>
    <t>22-2021</t>
  </si>
  <si>
    <t>24-2021</t>
  </si>
  <si>
    <t>Tốt</t>
  </si>
  <si>
    <t>27-2021</t>
  </si>
  <si>
    <t>28-2021</t>
  </si>
  <si>
    <t>37-2021</t>
  </si>
  <si>
    <t>Viện QT và CN</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</si>
  <si>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</si>
  <si>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</si>
  <si>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</si>
  <si>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</si>
  <si>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</si>
  <si>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</si>
  <si>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</si>
  <si>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</si>
  <si>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</si>
  <si>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</si>
  <si>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</si>
  <si>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</si>
  <si>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Viện Y - Dược</t>
  </si>
  <si>
    <t>Sản phẩm cầm máu ở dạng màng</t>
  </si>
  <si>
    <t>40-2022</t>
  </si>
  <si>
    <t>Bộ mẫu cây thuốc</t>
  </si>
  <si>
    <t>51-2022</t>
  </si>
  <si>
    <t>01-2023</t>
  </si>
  <si>
    <t>Ban GDCB</t>
  </si>
  <si>
    <t>Khá</t>
  </si>
  <si>
    <t>02-2023</t>
  </si>
  <si>
    <t>03-2023</t>
  </si>
  <si>
    <t>04-2023</t>
  </si>
  <si>
    <t>05-2023</t>
  </si>
  <si>
    <t>07-2023</t>
  </si>
  <si>
    <t>08-2023</t>
  </si>
  <si>
    <t>Viện NCGD và CGTT</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</si>
  <si>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</si>
  <si>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</si>
  <si>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</si>
  <si>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</si>
  <si>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</si>
  <si>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</si>
  <si>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</si>
  <si>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</si>
  <si>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</si>
  <si>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</si>
  <si>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</si>
  <si>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</si>
  <si>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</si>
  <si>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</si>
  <si>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</si>
  <si>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</si>
  <si>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</si>
  <si>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</si>
  <si>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</si>
  <si>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</si>
  <si>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</si>
  <si>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</si>
  <si>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</si>
  <si>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</si>
  <si>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</si>
  <si>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</si>
  <si>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</si>
  <si>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</si>
  <si>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</si>
  <si>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HỒ SƠ TÀI SẢN TRÍ TUỆ THUỘC SỞ HỮU HOẶC ĐỒNG SỞ HỮU CỦA TRƯỜNG ĐẠI HỌC THÀNH ĐÔ</t>
  </si>
  <si>
    <t>Tên tài sản</t>
  </si>
  <si>
    <t>Số đơn, số hiệu văn bằng</t>
  </si>
  <si>
    <t>Trạng thái</t>
  </si>
  <si>
    <t>Cơ cấu sở hữu</t>
  </si>
  <si>
    <t>Nguồn hình thành</t>
  </si>
  <si>
    <t>Trong kỳ 2021 - 2025</t>
  </si>
  <si>
    <t>Bộ Logo Trường Đại học Thành Đô</t>
  </si>
  <si>
    <t>Giấy chứng nhận 6534/2021/QTG</t>
  </si>
  <si>
    <t>Trường</t>
  </si>
  <si>
    <t>Thương hiệu</t>
  </si>
  <si>
    <t>Có</t>
  </si>
  <si>
    <t>Bộ Logo Hệ sinh thái giáo dục Trường Đại học Thành Đô</t>
  </si>
  <si>
    <t>Giấy chứng nhận 5790/2023/QTG</t>
  </si>
  <si>
    <t>Thanh do University</t>
  </si>
  <si>
    <t>Đơn 4-2021-34771; văn bằng 468353</t>
  </si>
  <si>
    <t>Thado Edupark</t>
  </si>
  <si>
    <t>Đơn 4-2023-22141; văn bằng 545780</t>
  </si>
  <si>
    <t>Double2n</t>
  </si>
  <si>
    <t>Đơn 4-2023-42540</t>
  </si>
  <si>
    <t>Đồng sở hữu với doanh nghiệp</t>
  </si>
  <si>
    <t>Hợp tác doanh nghiệp</t>
  </si>
  <si>
    <t>Dung dịch vệ sinh phụ nữ</t>
  </si>
  <si>
    <t>Đơn 3-2023-02841; số hiệu 3-0039693-000</t>
  </si>
  <si>
    <t>Chưa xác minh</t>
  </si>
  <si>
    <t>Tinh dầu vỏ bưởi đào</t>
  </si>
  <si>
    <t>Đơn 3-2023-02842; số hiệu 3-0039694-000</t>
  </si>
  <si>
    <t>Xịt miệng - họng thảo dược</t>
  </si>
  <si>
    <t>Đơn 3-2023-02843; số hiệu 3-0039902-000</t>
  </si>
  <si>
    <t>Dầu gội nha đam - bưởi đào</t>
  </si>
  <si>
    <t>Đơn 3-2023-02844; số hiệu 3-0039695-000</t>
  </si>
  <si>
    <t>Kem ủ xả tóc chiết xuất từ Bưởi - Bơ - Dừa</t>
  </si>
  <si>
    <t>Đơn 3-2023-02845; số hiệu 3-0039696-000</t>
  </si>
  <si>
    <t>Hợp chất furofuran lignan glucoside và phương pháp chiết từ lá cây quế hoa</t>
  </si>
  <si>
    <t>Đơn 1-2025-07378</t>
  </si>
  <si>
    <t>Nghiên cứu</t>
  </si>
  <si>
    <t>Phương pháp chiết tách và phân lập hợp chất Isoembigenin từ cây Piper aduncum L</t>
  </si>
  <si>
    <t>Đơn 1-2026-07185</t>
  </si>
  <si>
    <t>Không, năm 2026</t>
  </si>
  <si>
    <t>Ghi chú: năm là năm cấp văn bằng, giấy chứng nhận hoặc năm nộp đơn. Năm kiểu dáng công nghiệp có số hiệu văn bằng tại Sheet2 nhưng Sheet1 ghi chờ cấp bằng nên xếp nhóm chưa xác minh. Sheet1 có một dòng sáng chế ghi chấp nhận đơn hợp lệ nhưng không có số đơn nên không gán được.</t>
  </si>
  <si>
    <t>QUY ĐỊNH VỀ LỢI ÍCH CỦA TÁC GIẢ VÀ PHÂN CHIA NGUỒN THU</t>
  </si>
  <si>
    <t>Văn bản, điều khoản</t>
  </si>
  <si>
    <t>Phạm vi và nguồn kinh phí</t>
  </si>
  <si>
    <t>Đối tượng hưởng và tỷ lệ</t>
  </si>
  <si>
    <t>Cơ sở tính</t>
  </si>
  <si>
    <t>Điều kiện, mức trần</t>
  </si>
  <si>
    <t>Quyết định 213, điểm a khoản 4 Điều 36, năm 2021</t>
  </si>
  <si>
    <t>Sản phẩm đề tài sử dụng ngân sách nhà nước do Trường chủ trì, đã nghiệm thu, được thương mại hóa</t>
  </si>
  <si>
    <t>40% nộp ngân sách nhà nước; 30% Trường; 30% khen thưởng tập thể tác giả</t>
  </si>
  <si>
    <t>Nguồn thu sau khi trừ các khoản chi phí cần thiết, hợp lệ</t>
  </si>
  <si>
    <t>Khen thưởng tối đa 100 triệu đồng một đề tài; phần vượt chuyển vào quỹ khen thưởng, phúc lợi</t>
  </si>
  <si>
    <t>Quyết định 213, điểm b khoản 4 Điều 36, năm 2021</t>
  </si>
  <si>
    <t>Tài sản trí tuệ thuộc sở hữu của Trường: sáng chế, giải pháp hữu ích, quy trình công nghệ, giải pháp kỹ thuật</t>
  </si>
  <si>
    <t>Tác giả 30%, ghi là theo Luật Sở hữu trí tuệ; khoa, đơn vị có tác giả 20%; Quỹ nghiên cứu khoa học 50%</t>
  </si>
  <si>
    <t>Kinh phí chuyển giao sau khi trừ các khoản chi phí cần thiết, hợp lệ</t>
  </si>
  <si>
    <t>Không đặt trần</t>
  </si>
  <si>
    <t>Quyết định 217, Điều 13, năm 2024</t>
  </si>
  <si>
    <t>Tài sản trí tuệ của Trường; khoản 1 dẫn theo nguồn kinh phí hoặc thỏa thuận; khoản 2 nhuận bút sách, giáo trình theo Quy chế chi tiêu nội bộ</t>
  </si>
  <si>
    <t>Khoản 3: Hiệu trưởng quyết định tỷ lệ sau khi có tham mưu của Phòng Khoa học Công nghệ, Pháp chế, Tài chính - Kế toán</t>
  </si>
  <si>
    <t>Khoản thu sau khi trừ thuế, phí, lệ phí xác lập quyền, phần trích nộp cơ quan cấp kinh phí, quỹ phát triển khoa học công nghệ</t>
  </si>
  <si>
    <t>Khoản 3 chỉ áp dụng khi không có thỏa thuận, Quy chế chi tiêu nội bộ hoặc pháp luật không quy định</t>
  </si>
  <si>
    <t>Quy chế chi tiêu nội bộ, Bảng 7 mục 3, năm 2026</t>
  </si>
  <si>
    <t>Đề tài cấp cơ sở có đăng ký sở hữu trí tuệ</t>
  </si>
  <si>
    <t>Trích 50% kinh phí chuyển giao công nghệ về Nhà trường, nếu có; không nêu phần của tác giả</t>
  </si>
  <si>
    <t>Kinh phí chuyển giao công nghệ</t>
  </si>
  <si>
    <t>Áp dụng từ ngày 01 tháng 8 năm 2026; kinh phí đề tài không quá 50 triệu đồng; nghiệm thu phải có chứng nhận đăng ký sở hữu trí tuệ</t>
  </si>
  <si>
    <t>Điều lệ Quỹ Học bổng sau tiến sĩ Ngô Xuân Độ, Điều 9, năm 2025</t>
  </si>
  <si>
    <t>Sản phẩm hình thành từ kinh phí của Quỹ</t>
  </si>
  <si>
    <t>Năm đầu 50% tác giả, 50% Trường; từ năm thứ hai 20% tác giả, 80% Trường</t>
  </si>
  <si>
    <t>Chưa đối chiếu được văn bản gốc</t>
  </si>
  <si>
    <t>Ghi theo thông tin được cung cấp, cần bổ sung văn bản</t>
  </si>
  <si>
    <t>Luật số 93/2025/QH15, khoản 2 Điều 28</t>
  </si>
  <si>
    <t>Phần kết quả không sử dụng ngân sách nhà nước</t>
  </si>
  <si>
    <t>Chủ sở hữu tự quyết định, kể cả thưởng cho tác giả</t>
  </si>
  <si>
    <t>Lợi nhuận thu được tương ứng phần kết quả</t>
  </si>
  <si>
    <t>Không quy định mức</t>
  </si>
  <si>
    <t>Luật số 93/2025/QH15, khoản 3, khoản 4 Điều 28</t>
  </si>
  <si>
    <t>Phần kết quả nhiệm vụ sử dụng ngân sách nhà nước</t>
  </si>
  <si>
    <t>Thưởng tác giả tối thiểu 30%; thưởng người tổ chức thương mại hóa; tái đầu tư; mục đích khác</t>
  </si>
  <si>
    <t>Lợi nhuận sau thuế; hoặc giá trị kết quả khi góp vốn, liên doanh, thành lập doanh nghiệp</t>
  </si>
  <si>
    <t>Nhiệm vụ giao từ ngày 01 tháng 10 năm 2025; nhiệm vụ giao từ ngày 01 tháng 01 năm 2023 nếu là sáng chế, kiểu dáng công nghiệp, thiết kế bố trí đã được cấp văn bằng, theo khoản 7 Điều 73</t>
  </si>
  <si>
    <t>Luật Sở hữu trí tuệ, khoản 1 Điều 135</t>
  </si>
  <si>
    <t>Sáng chế, kiểu dáng công nghiệp, thiết kế bố trí, không phân biệt nguồn kinh phí</t>
  </si>
  <si>
    <t>Thù lao cho tác giả theo thỏa thuận; mặc định 10% hoặc 15%</t>
  </si>
  <si>
    <t>10% lợi nhuận trước thuế khi tự sử dụng; 15% tổng số tiền nhận được mỗi lần trước thuế khi chuyển giao quyền sử dụng</t>
  </si>
  <si>
    <t>Mức mặc định chỉ áp dụng khi không có thỏa thuận; trả trong suốt thời hạn bảo hộ; không đặt trần</t>
  </si>
  <si>
    <t>CHỈ TIÊU KẾ HOẠCH 07/KH-ĐHTĐ VÀ KẾT QUẢ 2024 - 2025</t>
  </si>
  <si>
    <t>Mục</t>
  </si>
  <si>
    <t>Chỉ tiêu theo nguyên văn</t>
  </si>
  <si>
    <t>Kế hoạch 2024</t>
  </si>
  <si>
    <t>Kế hoạch 2025</t>
  </si>
  <si>
    <t>Thực hiện 2024</t>
  </si>
  <si>
    <t>Thực hiện 2025</t>
  </si>
  <si>
    <t>Tỷ lệ</t>
  </si>
  <si>
    <t>1.1</t>
  </si>
  <si>
    <t>Bài báo tạp chí khoa học quốc tế</t>
  </si>
  <si>
    <t>283%</t>
  </si>
  <si>
    <t>3.6</t>
  </si>
  <si>
    <t>Sách xuất bản có chỉ số ISBN</t>
  </si>
  <si>
    <t>267%</t>
  </si>
  <si>
    <t>1.6</t>
  </si>
  <si>
    <t>Bài báo đăng kỷ yếu Hội thảo cấp Trường</t>
  </si>
  <si>
    <t>223%</t>
  </si>
  <si>
    <t>1.3, 1.4</t>
  </si>
  <si>
    <t>Bài báo đăng tạp chí NCKH và PT của trường và tạp chí trong nước</t>
  </si>
  <si>
    <t>165%</t>
  </si>
  <si>
    <t>1.9</t>
  </si>
  <si>
    <t>Đề tài KHCN cấp Bộ/Nhà nước</t>
  </si>
  <si>
    <t>150%</t>
  </si>
  <si>
    <t>1.10</t>
  </si>
  <si>
    <t>Đề tài KHCN cấp cơ sở</t>
  </si>
  <si>
    <t>107%</t>
  </si>
  <si>
    <t>1.2</t>
  </si>
  <si>
    <t>Bài báo Hội thảo khoa học quốc tế</t>
  </si>
  <si>
    <t>91%</t>
  </si>
  <si>
    <t>3.4</t>
  </si>
  <si>
    <t>Giáo trình/TLTK LHNB được nghiệm thu</t>
  </si>
  <si>
    <t>90%</t>
  </si>
  <si>
    <t>1.12</t>
  </si>
  <si>
    <t>Chuyển giao công nghệ</t>
  </si>
  <si>
    <t>0%</t>
  </si>
  <si>
    <t>1.11</t>
  </si>
  <si>
    <t>Công nhận sáng chế, phát minh, KDCN, bản quyền tác giả</t>
  </si>
  <si>
    <t>Chưa xác định</t>
  </si>
  <si>
    <t>Ghi chú mục 1.11: không gồm nhãn hiệu. Nếu 5 kiểu dáng công nghiệp được xác nhận cấp năm 2024 thì kết quả là 5 trên 4, tức 125%; bản trước tính 6 trên 4, tức 150%, do gộp nhãn hiệu Thado Edupark.</t>
  </si>
  <si>
    <t>KHẢ NĂNG TÍNH TOÁN BỘ TIÊU CHÍ TẠI MỤC 1.4.2</t>
  </si>
  <si>
    <t>Tiêu chí</t>
  </si>
  <si>
    <t>Mức độ</t>
  </si>
  <si>
    <t>Căn cứ</t>
  </si>
  <si>
    <t>Kinh phí nộp đơn, duy trì văn bằng, khen thưởng sáng tạo</t>
  </si>
  <si>
    <t>Điều 35, Điều 38 Quyết định 213 cho phép nộp lệ phí, chi thuê ngoài; chưa có dự toán và số liệu chi riêng</t>
  </si>
  <si>
    <t>Nhân lực quản lý sở hữu trí tuệ</t>
  </si>
  <si>
    <t>Danh sách nhân sự năm 2026</t>
  </si>
  <si>
    <t>Cơ sở dữ liệu tra cứu, hạ tầng kỹ thuật</t>
  </si>
  <si>
    <t>Chưa có số liệu về công cụ tra cứu sáng chế được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</si>
  <si>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</si>
  <si>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</si>
  <si>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</si>
  <si>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</si>
  <si>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</si>
  <si>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Biểu mẫu đề xuất, thuyết minh, hợp đồng, nghiệm thu đã có mục sở hữu trí tuệ; chưa có nội dung sàng lọc khả năng bảo hộ và luồng hồ sơ liên thông</t>
  </si>
  <si>
    <t>Số lớp tập huấn sở hữu trí tuệ</t>
  </si>
  <si>
    <t>Kế hoạch 07/KH-ĐHTĐ chỉ thống kê lượt tập huấn chung, không tách riêng sở hữu trí tuệ</t>
  </si>
  <si>
    <t>Số đơn đăng ký sở hữu công nghiệp</t>
  </si>
  <si>
    <t>Danh mục theo dõi đơn</t>
  </si>
  <si>
    <t>Số văn bằng bảo hộ được cấp</t>
  </si>
  <si>
    <t>Trạng thái 5 kiểu dáng chưa thống nhất giữa hai bảng theo dõi</t>
  </si>
  <si>
    <t>Số giấy chứng nhận quyền tác giả cho giáo trình, phần mềm</t>
  </si>
  <si>
    <t>Số công trình có sản phẩm chuyển hóa được thành tài sản trí tuệ</t>
  </si>
  <si>
    <t>Suy ra từ mô tả sản phẩm nghiệm thu, chưa có phiếu sàng lọc</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</si>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</sst>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2">
    <numFmt numFmtId="164" formatCode="0.00"/>
    <numFmt numFmtId="165"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0">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70526315789473681"/>
        </c:manualLayout>
      </c:layout>
      <c:barChart>
        <c:barDir val="col"/>
        <c:grouping val="stacked"/>
        <c:ser>
          <c:idx val="0"/>
          <c:order val="0"/>
          <c:tx>
            <c:strRef>
              <c:f>'H2.1'!$B$4</c:f>
              <c:strCache>
                <c:ptCount val="1"/>
                <c:pt idx="0">
                  <c:v>Bài báo trong nước</c:v>
                </c:pt>
              </c:strCache>
            </c:strRef>
          </c:tx>
          <c:spPr>
            <a:solidFill>
              <a:srgbClr val="2A78D6"/>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'H2.1'!$B$5:$B$9</c:f>
              <c:numCache>
                <c:formatCode>General</c:formatCode>
                <c:ptCount val="5"/>
                <c:pt idx="0">
                  <c:v>17</c:v>
                </c:pt>
                <c:pt idx="1">
                  <c:v>42</c:v>
                </c:pt>
                <c:pt idx="2">
                  <c:v>50</c:v>
                </c:pt>
                <c:pt idx="3">
                  <c:v>72</c:v>
                </c:pt>
                <c:pt idx="4">
                  <c:v>109</c:v>
                </c:pt>
              </c:numCache>
            </c:numRef>
          </c:val>
        </c:ser>
        <c:ser>
          <c:idx val="1"/>
          <c:order val="1"/>
          <c:tx>
            <c:strRef>
              <c:f>'H2.1'!$C$4</c:f>
              <c:strCache>
                <c:ptCount val="1"/>
                <c:pt idx="0">
                  <c:v>Bài báo quốc tế</c:v>
                </c:pt>
              </c:strCache>
            </c:strRef>
          </c:tx>
          <c:spPr>
            <a:solidFill>
              <a:srgbClr val="EB683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'H2.1'!$C$5:$C$9</c:f>
              <c:numCache>
                <c:formatCode>General</c:formatCode>
                <c:ptCount val="5"/>
                <c:pt idx="0">
                  <c:v>6</c:v>
                </c:pt>
                <c:pt idx="1">
                  <c:v>13</c:v>
                </c:pt>
                <c:pt idx="2">
                  <c:v>11</c:v>
                </c:pt>
                <c:pt idx="3">
                  <c:v>33</c:v>
                </c:pt>
                <c:pt idx="4">
                  <c:v>52</c:v>
                </c:pt>
              </c:numCache>
            </c:numRef>
          </c:val>
        </c:ser>
        <c:ser>
          <c:idx val="2"/>
          <c:order val="2"/>
          <c:tx>
            <c:strRef>
              <c:f>'H2.1'!$D$4</c:f>
              <c:strCache>
                <c:ptCount val="1"/>
                <c:pt idx="0">
                  <c:v>Giáo trình, tài liệu</c:v>
                </c:pt>
              </c:strCache>
            </c:strRef>
          </c:tx>
          <c:spPr>
            <a:solidFill>
              <a:srgbClr val="1BAF7A"/>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'H2.1'!$D$5:$D$9</c:f>
              <c:numCache>
                <c:formatCode>General</c:formatCode>
                <c:ptCount val="5"/>
                <c:pt idx="0">
                  <c:v>26</c:v>
                </c:pt>
                <c:pt idx="1">
                  <c:v>31</c:v>
                </c:pt>
                <c:pt idx="2">
                  <c:v>12</c:v>
                </c:pt>
                <c:pt idx="3">
                  <c:v>7</c:v>
                </c:pt>
                <c:pt idx="4">
                  <c:v>11</c:v>
                </c:pt>
              </c:numCache>
            </c:numRef>
          </c:val>
        </c:ser>
        <c:ser>
          <c:idx val="3"/>
          <c:order val="3"/>
          <c:tx>
            <c:strRef>
              <c:f>'H2.1'!$E$4</c:f>
              <c:strCache>
                <c:ptCount val="1"/>
                <c:pt idx="0">
                  <c:v>Đề tài cấp cơ sở</c:v>
                </c:pt>
              </c:strCache>
            </c:strRef>
          </c:tx>
          <c:spPr>
            <a:solidFill>
              <a:srgbClr val="EDA1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'H2.1'!$E$5:$E$9</c:f>
              <c:numCache>
                <c:formatCode>General</c:formatCode>
                <c:ptCount val="5"/>
                <c:pt idx="0">
                  <c:v>6</c:v>
                </c:pt>
                <c:pt idx="1">
                  <c:v>10</c:v>
                </c:pt>
                <c:pt idx="2">
                  <c:v>7</c:v>
                </c:pt>
                <c:pt idx="3">
                  <c:v>8</c:v>
                </c:pt>
                <c:pt idx="4">
                  <c:v>7</c:v>
                </c:pt>
              </c:numCache>
            </c:numRef>
          </c:val>
        </c:ser>
        <c:ser>
          <c:idx val="4"/>
          <c:order val="4"/>
          <c:tx>
            <c:strRef>
              <c:f>'H2.1'!$F$4</c:f>
              <c:strCache>
                <c:ptCount val="1"/>
                <c:pt idx="0">
                  <c:v>Sách</c:v>
                </c:pt>
              </c:strCache>
            </c:strRef>
          </c:tx>
          <c:spPr>
            <a:solidFill>
              <a:srgbClr val="E87BA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'H2.1'!$F$5:$F$9</c:f>
              <c:numCache>
                <c:formatCode>General</c:formatCode>
                <c:ptCount val="5"/>
                <c:pt idx="0">
                  <c:v>0</c:v>
                </c:pt>
                <c:pt idx="1">
                  <c:v>2</c:v>
                </c:pt>
                <c:pt idx="2">
                  <c:v>2</c:v>
                </c:pt>
                <c:pt idx="3">
                  <c:v>2</c:v>
                </c:pt>
                <c:pt idx="4">
                  <c:v>6</c:v>
                </c:pt>
              </c:numCache>
            </c:numRef>
          </c:val>
        </c:ser>
        <c:ser>
          <c:idx val="5"/>
          <c:order val="5"/>
          <c:tx>
            <c:strRef>
              <c:f>'H2.1'!$G$4</c:f>
              <c:strCache>
                <c:ptCount val="1"/>
                <c:pt idx="0">
                  <c:v>Tham luận quốc tế</c:v>
                </c:pt>
              </c:strCache>
            </c:strRef>
          </c:tx>
          <c:spPr>
            <a:solidFill>
              <a:srgbClr val="0083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'H2.1'!$G$5:$G$9</c:f>
              <c:numCache>
                <c:formatCode>General</c:formatCode>
                <c:ptCount val="5"/>
                <c:pt idx="0">
                  <c:v>1</c:v>
                </c:pt>
                <c:pt idx="1">
                  <c:v>2</c:v>
                </c:pt>
                <c:pt idx="2">
                  <c:v>3</c:v>
                </c:pt>
                <c:pt idx="3">
                  <c:v>5</c:v>
                </c:pt>
                <c:pt idx="4">
                  <c:v>5</c:v>
                </c:pt>
              </c:numCache>
            </c:numRef>
          </c:val>
        </c:ser>
        <c:ser>
          <c:idx val="6"/>
          <c:order val="6"/>
          <c:tx>
            <c:strRef>
              <c:f>'H2.1'!$H$4</c:f>
              <c:strCache>
                <c:ptCount val="1"/>
                <c:pt idx="0">
                  <c:v>Đề tài cấp quốc gia</c:v>
                </c:pt>
              </c:strCache>
            </c:strRef>
          </c:tx>
          <c:spPr>
            <a:solidFill>
              <a:srgbClr val="4A3AA7"/>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'H2.1'!$H$5:$H$9</c:f>
              <c:numCache>
                <c:formatCode>General</c:formatCode>
                <c:ptCount val="5"/>
                <c:pt idx="0">
                  <c:v>0</c:v>
                </c:pt>
                <c:pt idx="1">
                  <c:v>0</c:v>
                </c:pt>
                <c:pt idx="2">
                  <c:v>0</c:v>
                </c:pt>
                <c:pt idx="3">
                  <c:v>1</c:v>
                </c:pt>
                <c:pt idx="4">
                  <c:v>2</c:v>
                </c:pt>
              </c:numCache>
            </c:numRef>
          </c:val>
        </c:ser>
        <c:gapWidth val="45"/>
        <c:overlap val="100"/>
        <c:axId val="50010001"/>
        <c:axId val="50010002"/>
      </c:barChart>
      <c:lineChart>
        <c:grouping val="standard"/>
        <c:ser>
          <c:idx val="7"/>
          <c:order val="7"/>
          <c:tx>
            <c:strRef>
              <c:f>'H2.1'!$I$4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'H2.1'!$A$5:$A$9</c:f>
              <c:numCache>
                <c:formatCode>General</c:formatCode>
                <c:ptCount val="5"/>
                <c:pt idx="0">
                  <c:v>2021</c:v>
                </c:pt>
                <c:pt idx="1">
                  <c:v>2022</c:v>
                </c:pt>
                <c:pt idx="2">
                  <c:v>2023</c:v>
                </c:pt>
                <c:pt idx="3">
                  <c:v>2024</c:v>
                </c:pt>
                <c:pt idx="4">
                  <c:v>2025</c:v>
                </c:pt>
              </c:numCache>
            </c:numRef>
          </c:cat>
          <c:val>
            <c:numRef>
              <c:f>'H2.1'!$I$5:$I$9</c:f>
              <c:numCache>
                <c:formatCode>General</c:formatCode>
                <c:ptCount val="5"/>
                <c:pt idx="0">
                  <c:v>56</c:v>
                </c:pt>
                <c:pt idx="1">
                  <c:v>100</c:v>
                </c:pt>
                <c:pt idx="2">
                  <c:v>85</c:v>
                </c:pt>
                <c:pt idx="3">
                  <c:v>128</c:v>
                </c:pt>
                <c:pt idx="4">
                  <c:v>192</c:v>
                </c:pt>
              </c:numCache>
            </c:numRef>
          </c:val>
          <c:smooth val="0"/>
        </c:ser>
        <c:marker val="1"/>
        <c:axId val="50010001"/>
        <c:axId val="50010002"/>
      </c:lineChart>
      <c:catAx>
        <c:axId val="5001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tickLblSkip val="1"/>
      </c:catAx>
      <c:valAx>
        <c:axId val="500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87096774193548387"/>
          <c:h val="0.6777777777777777"/>
        </c:manualLayout>
      </c:layout>
      <c:lineChart>
        <c:grouping val="standard"/>
        <c:ser>
          <c:idx val="0"/>
          <c:order val="0"/>
          <c:tx>
            <c:strRef>
              <c:f>'H2.2'!$B$4</c:f>
              <c:strCache>
                <c:ptCount val="1"/>
                <c:pt idx="0">
                  <c:v>Điểm a: khen thưởng tập thể tác giả, đề tài sử dụng ngân sách nhà nước</c:v>
                </c:pt>
              </c:strCache>
            </c:strRef>
          </c:tx>
          <c:spPr>
            <a:ln w="28575">
              <a:solidFill>
                <a:srgbClr val="2A78D6"/>
              </a:solidFill>
            </a:ln>
          </c:spPr>
          <c:marker>
            <c:symbol val="circle"/>
            <c:size val="6"/>
            <c:spPr>
              <a:solidFill>
                <a:srgbClr val="2A78D6"/>
              </a:solidFill>
              <a:ln>
                <a:solidFill>
                  <a:srgbClr val="2A78D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'H2.2'!$C$4</c:f>
              <c:strCache>
                <c:ptCount val="1"/>
                <c:pt idx="0">
                  <c:v>Điểm b: tác giả, tài sản trí tuệ thuộc sở hữu của Trường</c:v>
                </c:pt>
              </c:strCache>
            </c:strRef>
          </c:tx>
          <c:spPr>
            <a:ln w="28575">
              <a:solidFill>
                <a:srgbClr val="1BAF7A"/>
              </a:solidFill>
              <a:prstDash val="dash"/>
            </a:ln>
          </c:spPr>
          <c:marker>
            <c:symbol val="circle"/>
            <c:size val="6"/>
            <c:spPr>
              <a:solidFill>
                <a:srgbClr val="1BAF7A"/>
              </a:solidFill>
              <a:ln>
                <a:solidFill>
                  <a:srgbClr val="1BAF7A"/>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'H2.2'!$C$5:$C$12</c:f>
              <c:numCache>
                <c:formatCode>General</c:formatCode>
                <c:ptCount val="8"/>
                <c:pt idx="0">
                  <c:v>0</c:v>
                </c:pt>
                <c:pt idx="1">
                  <c:v>30</c:v>
                </c:pt>
                <c:pt idx="2">
                  <c:v>60</c:v>
                </c:pt>
                <c:pt idx="3">
                  <c:v>90</c:v>
                </c:pt>
                <c:pt idx="4">
                  <c:v>120</c:v>
                </c:pt>
                <c:pt idx="5">
                  <c:v>150</c:v>
                </c:pt>
                <c:pt idx="6">
                  <c:v>180</c:v>
                </c:pt>
                <c:pt idx="7">
                  <c:v>210</c:v>
                </c:pt>
              </c:numCache>
            </c:numRef>
          </c:val>
          <c:smooth val="0"/>
        </c:ser>
        <c:marker val="1"/>
        <c:axId val="50020001"/>
        <c:axId val="50020002"/>
      </c:lineChart>
      <c:catAx>
        <c:axId val="5002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Nguồn thu sau khi trừ chi phí cần thiết, hợp lệ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tickLblSkip val="1"/>
      </c:catAx>
      <c:valAx>
        <c:axId val="5002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dành cho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78709677419354829"/>
          <c:h val="0.74444444444444446"/>
        </c:manualLayout>
      </c:layout>
      <c:barChart>
        <c:barDir val="col"/>
        <c:grouping val="stacked"/>
        <c:ser>
          <c:idx val="0"/>
          <c:order val="0"/>
          <c:tx>
            <c:strRef>
              <c:f>'H2.4'!$B$4</c:f>
              <c:strCache>
                <c:ptCount val="1"/>
                <c:pt idx="0">
                  <c:v>Được cấp kinh phí bằng tiền</c:v>
                </c:pt>
              </c:strCache>
            </c:strRef>
          </c:tx>
          <c:spPr>
            <a:solidFill>
              <a:srgbClr val="2A78D6"/>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'H2.4'!$B$5:$B$9</c:f>
              <c:numCache>
                <c:formatCode>General</c:formatCode>
                <c:ptCount val="5"/>
                <c:pt idx="0">
                  <c:v>0</c:v>
                </c:pt>
                <c:pt idx="1">
                  <c:v>3</c:v>
                </c:pt>
                <c:pt idx="2">
                  <c:v>7</c:v>
                </c:pt>
                <c:pt idx="3">
                  <c:v>5</c:v>
                </c:pt>
                <c:pt idx="4">
                  <c:v>4</c:v>
                </c:pt>
              </c:numCache>
            </c:numRef>
          </c:val>
        </c:ser>
        <c:ser>
          <c:idx val="1"/>
          <c:order val="1"/>
          <c:tx>
            <c:strRef>
              <c:f>'H2.4'!$C$4</c:f>
              <c:strCache>
                <c:ptCount val="1"/>
                <c:pt idx="0">
                  <c:v>Chỉ quy đổi giờ nghiên cứu</c:v>
                </c:pt>
              </c:strCache>
            </c:strRef>
          </c:tx>
          <c:spPr>
            <a:solidFill>
              <a:srgbClr val="A8A7A1"/>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'H2.4'!$C$5:$C$9</c:f>
              <c:numCache>
                <c:formatCode>General</c:formatCode>
                <c:ptCount val="5"/>
                <c:pt idx="0">
                  <c:v>6</c:v>
                </c:pt>
                <c:pt idx="1">
                  <c:v>7</c:v>
                </c:pt>
                <c:pt idx="2">
                  <c:v>0</c:v>
                </c:pt>
                <c:pt idx="3">
                  <c:v>0</c:v>
                </c:pt>
                <c:pt idx="4">
                  <c:v>3</c:v>
                </c:pt>
              </c:numCache>
            </c:numRef>
          </c:val>
        </c:ser>
        <c:ser>
          <c:idx val="2"/>
          <c:order val="2"/>
          <c:tx>
            <c:strRef>
              <c:f>'H2.4'!$D$4</c:f>
              <c:strCache>
                <c:ptCount val="1"/>
                <c:pt idx="0">
                  <c:v>Tự tìm nguồn tài trợ</c:v>
                </c:pt>
              </c:strCache>
            </c:strRef>
          </c:tx>
          <c:spPr>
            <a:solidFill>
              <a:srgbClr val="EDA100"/>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'H2.4'!$D$5:$D$9</c:f>
              <c:numCache>
                <c:formatCode>General</c:formatCode>
                <c:ptCount val="5"/>
                <c:pt idx="0">
                  <c:v>0</c:v>
                </c:pt>
                <c:pt idx="1">
                  <c:v>0</c:v>
                </c:pt>
                <c:pt idx="2">
                  <c:v>0</c:v>
                </c:pt>
                <c:pt idx="3">
                  <c:v>3</c:v>
                </c:pt>
                <c:pt idx="4">
                  <c:v>0</c:v>
                </c:pt>
              </c:numCache>
            </c:numRef>
          </c:val>
        </c:ser>
        <c:gapWidth val="60"/>
        <c:overlap val="100"/>
        <c:axId val="50030001"/>
        <c:axId val="50030002"/>
      </c:barChart>
      <c:lineChart>
        <c:grouping val="standard"/>
        <c:ser>
          <c:idx val="3"/>
          <c:order val="3"/>
          <c:tx>
            <c:strRef>
              <c:f>'H2.4'!$E$4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dLbl>
              <c:idx val="0"/>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'H2.4'!$A$5:$A$9</c:f>
              <c:numCache>
                <c:formatCode>General</c:formatCode>
                <c:ptCount val="5"/>
                <c:pt idx="0">
                  <c:v>2021</c:v>
                </c:pt>
                <c:pt idx="1">
                  <c:v>2022</c:v>
                </c:pt>
                <c:pt idx="2">
                  <c:v>2023</c:v>
                </c:pt>
                <c:pt idx="3">
                  <c:v>2024</c:v>
                </c:pt>
                <c:pt idx="4">
                  <c:v>2025</c:v>
                </c:pt>
              </c:numCache>
            </c:numRef>
          </c:cat>
          <c:val>
            <c:numRef>
              <c:f>'H2.4'!$E$5:$E$9</c:f>
              <c:numCache>
                <c:formatCode>General</c:formatCode>
                <c:ptCount val="5"/>
                <c:pt idx="0">
                  <c:v>0</c:v>
                </c:pt>
                <c:pt idx="1">
                  <c:v>84</c:v>
                </c:pt>
                <c:pt idx="2">
                  <c:v>70</c:v>
                </c:pt>
                <c:pt idx="3">
                  <c:v>125.75</c:v>
                </c:pt>
                <c:pt idx="4">
                  <c:v>145</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tickLblSkip val="1"/>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0000000000000001"/>
          <c:w val="0.78709677419354829"/>
          <c:h val="0.64000000000000001"/>
        </c:manualLayout>
      </c:layout>
      <c:barChart>
        <c:barDir val="col"/>
        <c:grouping val="clustered"/>
        <c:ser>
          <c:idx val="0"/>
          <c:order val="0"/>
          <c:tx>
            <c:strRef>
              <c:f>'H2.5'!$B$4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040001"/>
        <c:axId val="50040002"/>
      </c:barChart>
      <c:lineChart>
        <c:grouping val="standard"/>
        <c:ser>
          <c:idx val="1"/>
          <c:order val="1"/>
          <c:tx>
            <c:strRef>
              <c:f>'H2.5'!$C$4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040001"/>
        <c:axId val="60040002"/>
      </c:lineChart>
      <c:catAx>
        <c:axId val="5004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tickLblSkip val="1"/>
      </c:catAx>
      <c:valAx>
        <c:axId val="50040002"/>
        <c:scaling>
          <c:orientation val="minMax"/>
          <c:max val="90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ln>
          <a:noFill/>
        </a:ln>
      </c:spPr>
    </c:plotArea>
    <c:legend>
      <c:legendPos val="t"/>
      <c:layout>
        <c:manualLayout>
          <c:xMode val="edge"/>
          <c:yMode val="edge"/>
          <c:x val="0.02"/>
          <c:y val="0.01"/>
          <c:w val="0.95999999999999996"/>
          <c:h val="0.065000000000000002"/>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5870967741935485"/>
          <c:y val="0.19607843137254904"/>
          <c:w val="0.77032258064516124"/>
          <c:h val="0.58823529411764697"/>
        </c:manualLayout>
      </c:layout>
      <c:barChart>
        <c:barDir val="bar"/>
        <c:grouping val="stacked"/>
        <c:ser>
          <c:idx val="0"/>
          <c:order val="0"/>
          <c:tx>
            <c:strRef>
              <c:f>'H2.6'!$B$4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'H2.6'!$B$5:$B$8</c:f>
              <c:numCache>
                <c:formatCode>General</c:formatCode>
                <c:ptCount val="4"/>
                <c:pt idx="0">
                  <c:v>1</c:v>
                </c:pt>
                <c:pt idx="1">
                  <c:v>1</c:v>
                </c:pt>
                <c:pt idx="2">
                  <c:v>2</c:v>
                </c:pt>
                <c:pt idx="3">
                  <c:v>0</c:v>
                </c:pt>
              </c:numCache>
            </c:numRef>
          </c:val>
        </c:ser>
        <c:ser>
          <c:idx val="1"/>
          <c:order val="1"/>
          <c:tx>
            <c:strRef>
              <c:f>'H2.6'!$C$4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'H2.6'!$C$5:$C$8</c:f>
              <c:numCache>
                <c:formatCode>General</c:formatCode>
                <c:ptCount val="4"/>
                <c:pt idx="0">
                  <c:v>1</c:v>
                </c:pt>
                <c:pt idx="1">
                  <c:v>1</c:v>
                </c:pt>
                <c:pt idx="2">
                  <c:v>2</c:v>
                </c:pt>
                <c:pt idx="3">
                  <c:v>1</c:v>
                </c:pt>
              </c:numCache>
            </c:numRef>
          </c:val>
        </c:ser>
        <c:ser>
          <c:idx val="2"/>
          <c:order val="2"/>
          <c:tx>
            <c:strRef>
              <c:f>'H2.6'!$D$4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'H2.6'!$D$5:$D$8</c:f>
              <c:numCache>
                <c:formatCode>General</c:formatCode>
                <c:ptCount val="4"/>
                <c:pt idx="0">
                  <c:v>1</c:v>
                </c:pt>
                <c:pt idx="1">
                  <c:v>2</c:v>
                </c:pt>
                <c:pt idx="2">
                  <c:v>0</c:v>
                </c:pt>
                <c:pt idx="3">
                  <c:v>4</c:v>
                </c:pt>
              </c:numCache>
            </c:numRef>
          </c:val>
        </c:ser>
        <c:gapWidth val="50"/>
        <c:overlap val="100"/>
        <c:axId val="50050001"/>
        <c:axId val="50050002"/>
      </c:barChart>
      <c:catAx>
        <c:axId val="500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tickLblSkip val="1"/>
      </c:catAx>
      <c:valAx>
        <c:axId val="500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0580645161290326"/>
          <c:y val="0.26785714285714285"/>
          <c:w val="0.62322580645161296"/>
          <c:h val="0.5357142857142857"/>
        </c:manualLayout>
      </c:layout>
      <c:barChart>
        <c:barDir val="bar"/>
        <c:grouping val="stacked"/>
        <c:ser>
          <c:idx val="0"/>
          <c:order val="0"/>
          <c:tx>
            <c:strRef>
              <c:f>'H2.7'!$B$4</c:f>
              <c:strCache>
                <c:ptCount val="1"/>
                <c:pt idx="0">
                  <c:v>Đã cấp văn bằng, giấy chứng nhận</c:v>
                </c:pt>
              </c:strCache>
            </c:strRef>
          </c:tx>
          <c:spPr>
            <a:solidFill>
              <a:srgbClr val="2A78D6"/>
            </a:solidFill>
            <a:ln w="9525">
              <a:solidFill>
                <a:srgbClr val="FFFFFF"/>
              </a:solidFill>
            </a:ln>
          </c:spPr>
          <c:dLbls>
            <c:dLbl>
              <c:idx val="2"/>
              <c:delete val="1"/>
            </c:dLbl>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'H2.7'!$B$5:$B$8</c:f>
              <c:numCache>
                <c:formatCode>General</c:formatCode>
                <c:ptCount val="4"/>
                <c:pt idx="0">
                  <c:v>2</c:v>
                </c:pt>
                <c:pt idx="1">
                  <c:v>2</c:v>
                </c:pt>
                <c:pt idx="2">
                  <c:v>0</c:v>
                </c:pt>
                <c:pt idx="3">
                  <c:v>0</c:v>
                </c:pt>
              </c:numCache>
            </c:numRef>
          </c:val>
        </c:ser>
        <c:ser>
          <c:idx val="1"/>
          <c:order val="1"/>
          <c:tx>
            <c:strRef>
              <c:f>'H2.7'!$C$4</c:f>
              <c:strCache>
                <c:ptCount val="1"/>
                <c:pt idx="0">
                  <c:v>Có số hiệu văn bằng, trạng thái chưa xác minh</c:v>
                </c:pt>
              </c:strCache>
            </c:strRef>
          </c:tx>
          <c:spPr>
            <a:solidFill>
              <a:srgbClr val="A8A7A1"/>
            </a:solidFill>
            <a:ln w="9525">
              <a:solidFill>
                <a:srgbClr val="FFFFFF"/>
              </a:solidFill>
            </a:ln>
          </c:spPr>
          <c:dLbls>
            <c:dLbl>
              <c:idx val="0"/>
              <c:delete val="1"/>
            </c:dLbl>
            <c:dLbl>
              <c:idx val="1"/>
              <c:delete val="1"/>
            </c:dLbl>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'H2.7'!$C$5:$C$8</c:f>
              <c:numCache>
                <c:formatCode>General</c:formatCode>
                <c:ptCount val="4"/>
                <c:pt idx="0">
                  <c:v>0</c:v>
                </c:pt>
                <c:pt idx="1">
                  <c:v>0</c:v>
                </c:pt>
                <c:pt idx="2">
                  <c:v>5</c:v>
                </c:pt>
                <c:pt idx="3">
                  <c:v>0</c:v>
                </c:pt>
              </c:numCache>
            </c:numRef>
          </c:val>
        </c:ser>
        <c:ser>
          <c:idx val="2"/>
          <c:order val="2"/>
          <c:tx>
            <c:strRef>
              <c:f>'H2.7'!$D$4</c:f>
              <c:strCache>
                <c:ptCount val="1"/>
                <c:pt idx="0">
                  <c:v>Đã nộp đơn</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'H2.7'!$D$5:$D$8</c:f>
              <c:numCache>
                <c:formatCode>General</c:formatCode>
                <c:ptCount val="4"/>
                <c:pt idx="0">
                  <c:v>0</c:v>
                </c:pt>
                <c:pt idx="1">
                  <c:v>1</c:v>
                </c:pt>
                <c:pt idx="2">
                  <c:v>0</c:v>
                </c:pt>
                <c:pt idx="3">
                  <c:v>1</c:v>
                </c:pt>
              </c:numCache>
            </c:numRef>
          </c:val>
        </c:ser>
        <c:gapWidth val="55"/>
        <c:overlap val="100"/>
        <c:axId val="50060001"/>
        <c:axId val="50060002"/>
      </c:barChart>
      <c:catAx>
        <c:axId val="5006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2"/>
        <c:crosses val="autoZero"/>
        <c:auto val="1"/>
        <c:lblAlgn val="ctr"/>
        <c:lblOffset val="100"/>
        <c:tickLblSkip val="1"/>
      </c:catAx>
      <c:valAx>
        <c:axId val="5006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hồ sơ</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1"/>
        <c:crosses val="max"/>
        <c:crossBetween val="between"/>
      </c:valAx>
      <c:spPr>
        <a:ln>
          <a:noFill/>
        </a:ln>
      </c:spPr>
    </c:plotArea>
    <c:legend>
      <c:legendPos val="t"/>
      <c:layout>
        <c:manualLayout>
          <c:xMode val="edge"/>
          <c:yMode val="edge"/>
          <c:x val="0.02"/>
          <c:y val="0.01785714285714286"/>
          <c:w val="0.95999999999999996"/>
          <c:h val="0.2053571428571428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49999999999999996"/>
          <c:w val="0.55161290322580647"/>
          <c:h val="0.76666666666666661"/>
        </c:manualLayout>
      </c:layout>
      <c:barChart>
        <c:barDir val="bar"/>
        <c:grouping val="clustered"/>
        <c:ser>
          <c:idx val="0"/>
          <c:order val="0"/>
          <c:tx>
            <c:strRef>
              <c:f>'H2.8'!$B$4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'H2.8'!$B$5:$B$9</c:f>
              <c:numCache>
                <c:formatCode>General</c:formatCode>
                <c:ptCount val="5"/>
                <c:pt idx="0">
                  <c:v>5</c:v>
                </c:pt>
                <c:pt idx="1">
                  <c:v>2</c:v>
                </c:pt>
                <c:pt idx="2">
                  <c:v>1</c:v>
                </c:pt>
                <c:pt idx="3">
                  <c:v>2</c:v>
                </c:pt>
                <c:pt idx="4">
                  <c:v>1</c:v>
                </c:pt>
              </c:numCache>
            </c:numRef>
          </c:val>
        </c:ser>
        <c:gapWidth val="6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tickLblSkip val="1"/>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19230769230769229"/>
          <c:w val="0.55161290322580647"/>
          <c:h val="0.59615384615384615"/>
        </c:manualLayout>
      </c:layout>
      <c:barChart>
        <c:barDir val="bar"/>
        <c:grouping val="clustered"/>
        <c:ser>
          <c:idx val="0"/>
          <c:order val="0"/>
          <c:tx>
            <c:strRef>
              <c:f>'H2.9'!$B$4</c:f>
              <c:strCache>
                <c:ptCount val="1"/>
                <c:pt idx="0">
                  <c:v>Toàn bộ 38 đề tài, mã số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tiềm năng sở hữu công nghiệp</c:v>
                </c:pt>
                <c:pt idx="2">
                  <c:v>Đã nộp đơn đăng ký</c:v>
                </c:pt>
              </c:strCache>
            </c:strRef>
          </c:cat>
          <c:val>
            <c:numRef>
              <c:f>'H2.9'!$B$5:$B$7</c:f>
              <c:numCache>
                <c:formatCode>General</c:formatCode>
                <c:ptCount val="3"/>
                <c:pt idx="0">
                  <c:v>38</c:v>
                </c:pt>
                <c:pt idx="1">
                  <c:v>9</c:v>
                </c:pt>
                <c:pt idx="2">
                  <c:v>1</c:v>
                </c:pt>
              </c:numCache>
            </c:numRef>
          </c:val>
        </c:ser>
        <c:ser>
          <c:idx val="1"/>
          <c:order val="1"/>
          <c:tx>
            <c:strRef>
              <c:f>'H2.9'!$C$4</c:f>
              <c:strCache>
                <c:ptCount val="1"/>
                <c:pt idx="0">
                  <c:v>Đề tài mã số 2021 - 2024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tiềm năng sở hữu công nghiệp</c:v>
                </c:pt>
                <c:pt idx="2">
                  <c:v>Đã nộp đơn đăng ký</c:v>
                </c:pt>
              </c:strCache>
            </c:strRef>
          </c:cat>
          <c:val>
            <c:numRef>
              <c:f>'H2.9'!$C$5:$C$7</c:f>
              <c:numCache>
                <c:formatCode>General</c:formatCode>
                <c:ptCount val="3"/>
                <c:pt idx="0">
                  <c:v>31</c:v>
                </c:pt>
                <c:pt idx="1">
                  <c:v>6</c:v>
                </c:pt>
                <c:pt idx="2">
                  <c:v>0</c:v>
                </c:pt>
              </c:numCache>
            </c:numRef>
          </c:val>
        </c:ser>
        <c:gapWidth val="45"/>
        <c:axId val="50080001"/>
        <c:axId val="50080002"/>
      </c:barChart>
      <c:catAx>
        <c:axId val="5008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tickLblSkip val="1"/>
      </c:catAx>
      <c:valAx>
        <c:axId val="5008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max"/>
        <c:crossBetween val="between"/>
      </c:valAx>
      <c:spPr>
        <a:ln>
          <a:noFill/>
        </a:ln>
      </c:spPr>
    </c:plotArea>
    <c:legend>
      <c:legendPos val="t"/>
      <c:layout>
        <c:manualLayout>
          <c:xMode val="edge"/>
          <c:yMode val="edge"/>
          <c:x val="0.02"/>
          <c:y val="0.019230769230769232"/>
          <c:w val="0.95999999999999996"/>
          <c:h val="0.12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24193548387096774"/>
          <c:w val="0.55161290322580647"/>
          <c:h val="0.88709677419354838"/>
        </c:manualLayout>
      </c:layout>
      <c:barChart>
        <c:barDir val="bar"/>
        <c:grouping val="clustered"/>
        <c:ser>
          <c:idx val="0"/>
          <c:order val="0"/>
          <c:tx>
            <c:strRef>
              <c:f>'H2.10'!$E$4</c:f>
              <c:strCache>
                <c:ptCount val="1"/>
                <c:pt idx="0">
                  <c:v>Tỷ lệ thực hiện</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2A78D6"/>
              </a:solidFill>
              <a:ln w="9525">
                <a:solidFill>
                  <a:srgbClr val="FFFFFF"/>
                </a:solidFill>
              </a:ln>
            </c:spPr>
          </c:dPt>
          <c:dPt>
            <c:idx val="4"/>
            <c:spPr>
              <a:solidFill>
                <a:srgbClr val="1BAF7A"/>
              </a:solidFill>
              <a:ln w="9525">
                <a:solidFill>
                  <a:srgbClr val="FFFFFF"/>
                </a:solidFill>
              </a:ln>
            </c:spPr>
          </c:dPt>
          <c:dPt>
            <c:idx val="5"/>
            <c:spPr>
              <a:solidFill>
                <a:srgbClr val="1BAF7A"/>
              </a:solidFill>
              <a:ln w="9525">
                <a:solidFill>
                  <a:srgbClr val="FFFFFF"/>
                </a:solidFill>
              </a:ln>
            </c:spPr>
          </c:dPt>
          <c:dPt>
            <c:idx val="6"/>
            <c:spPr>
              <a:solidFill>
                <a:srgbClr val="2A78D6"/>
              </a:solidFill>
              <a:ln w="9525">
                <a:solidFill>
                  <a:srgbClr val="FFFFFF"/>
                </a:solidFill>
              </a:ln>
            </c:spPr>
          </c:dPt>
          <c:dPt>
            <c:idx val="7"/>
            <c:spPr>
              <a:solidFill>
                <a:srgbClr val="1BAF7A"/>
              </a:solidFill>
              <a:ln w="9525">
                <a:solidFill>
                  <a:srgbClr val="FFFFFF"/>
                </a:solidFill>
              </a:ln>
            </c:spPr>
          </c:dPt>
          <c:dPt>
            <c:idx val="8"/>
            <c:spPr>
              <a:solidFill>
                <a:srgbClr val="EB6834"/>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'H2.10'!$A$5:$A$13</c:f>
              <c:strCache>
                <c:ptCount val="9"/>
                <c:pt idx="0">
                  <c:v>1.1. Bài báo tạp chí khoa học quốc tế</c:v>
                </c:pt>
                <c:pt idx="1">
                  <c:v>3.6. Sách xuất bản có chỉ số ISBN</c:v>
                </c:pt>
                <c:pt idx="2">
                  <c:v>1.6. Bài báo đăng kỷ yếu Hội thảo cấp Trường</c:v>
                </c:pt>
                <c:pt idx="3">
                  <c:v>1.3, 1.4. Bài báo đăng tạp chí NCKH và PT của trường và tạp chí trong nước</c:v>
                </c:pt>
                <c:pt idx="4">
                  <c:v>1.9. Đề tài KHCN cấp Bộ/Nhà nước</c:v>
                </c:pt>
                <c:pt idx="5">
                  <c:v>1.10. Đề tài KHCN cấp cơ sở</c:v>
                </c:pt>
                <c:pt idx="6">
                  <c:v>1.2. Bài báo Hội thảo khoa học quốc tế</c:v>
                </c:pt>
                <c:pt idx="7">
                  <c:v>3.4. Giáo trình/TLTK LHNB được nghiệm thu</c:v>
                </c:pt>
                <c:pt idx="8">
                  <c:v>1.12. Chuyển giao công nghệ</c:v>
                </c:pt>
              </c:strCache>
            </c:strRef>
          </c:cat>
          <c:val>
            <c:numRef>
              <c:f>'H2.10'!$E$5:$E$13</c:f>
              <c:numCache>
                <c:formatCode>General</c:formatCode>
                <c:ptCount val="9"/>
                <c:pt idx="0">
                  <c:v>2.833333333333333</c:v>
                </c:pt>
                <c:pt idx="1">
                  <c:v>2.666666666666667</c:v>
                </c:pt>
                <c:pt idx="2">
                  <c:v>2.233333333333333</c:v>
                </c:pt>
                <c:pt idx="3">
                  <c:v>1.645454545454546</c:v>
                </c:pt>
                <c:pt idx="4">
                  <c:v>1.5</c:v>
                </c:pt>
                <c:pt idx="5">
                  <c:v>1.071428571428571</c:v>
                </c:pt>
                <c:pt idx="6">
                  <c:v>0.9090909090909091</c:v>
                </c:pt>
                <c:pt idx="7">
                  <c:v>0.9</c:v>
                </c:pt>
                <c:pt idx="8">
                  <c:v>0</c:v>
                </c:pt>
              </c:numCache>
            </c:numRef>
          </c:val>
        </c:ser>
        <c:gapWidth val="45"/>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tickLblSkip val="1"/>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Tỷ lệ thực hiện so với kế hoạch</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39</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27</xdr:row>
      <xdr:rowOff>28575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29</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25</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14</xdr:row>
      <xdr:rowOff>0</xdr:rowOff>
    </xdr:from>
    <xdr:to>
      <xdr:col>6</xdr:col>
      <xdr:colOff>390525</xdr:colOff>
      <xdr:row>51</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dimension ref="A1:C20"/>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5" spans="1:3">
      <c r="B15" s="4" t="s">
        <v>32</v>
      </c>
      <c r="C15" s="5" t="s">
        <v>33</v>
      </c>
    </row>
    <row r="16" spans="1:3">
      <c r="B16" s="4" t="s">
        <v>34</v>
      </c>
      <c r="C16" s="5" t="s">
        <v>35</v>
      </c>
    </row>
    <row r="17" spans="2:3">
      <c r="B17" s="4" t="s">
        <v>36</v>
      </c>
      <c r="C17" s="5" t="s">
        <v>37</v>
      </c>
    </row>
    <row r="18" spans="2:3">
      <c r="B18" s="4" t="s">
        <v>38</v>
      </c>
      <c r="C18" s="5" t="s">
        <v>39</v>
      </c>
    </row>
    <row r="19" spans="2:3">
      <c r="B19" s="4" t="s">
        <v>40</v>
      </c>
      <c r="C19" s="5" t="s">
        <v>41</v>
      </c>
    </row>
    <row r="20" spans="2:3">
      <c r="B20" s="4" t="s">
        <v>42</v>
      </c>
      <c r="C20" s="5" t="s">
        <v>43</v>
      </c>
    </row>
  </sheetData>
  <hyperlinks>
    <hyperlink ref="C5" location="'H2.1'!A1" display="H2.1"/>
    <hyperlink ref="C6" location="'H2.2'!A1" display="H2.2"/>
    <hyperlink ref="C7" location="'H2.4'!A1" display="H2.4"/>
    <hyperlink ref="C8" location="'H2.5'!A1" display="H2.5"/>
    <hyperlink ref="C9" location="'H2.6'!A1" display="H2.6"/>
    <hyperlink ref="C10" location="'H2.7'!A1" display="H2.7"/>
    <hyperlink ref="C11" location="'H2.8'!A1" display="H2.8"/>
    <hyperlink ref="C12" location="'H2.9'!A1" display="H2.9"/>
    <hyperlink ref="C13" location="'H2.10'!A1" display="H2.10"/>
    <hyperlink ref="C15" location="'Nhat_ky_chuan_hoa'!A1" display="Nhat_ky_chuan_hoa"/>
    <hyperlink ref="C16" location="'DL_De_tai'!A1" display="DL_De_tai"/>
    <hyperlink ref="C17" location="'DL_TSTT'!A1" display="DL_TSTT"/>
    <hyperlink ref="C18" location="'DL_Quy_dinh_loi_ich'!A1" display="DL_Quy_dinh_loi_ich"/>
    <hyperlink ref="C19" location="'DL_Ke_hoach_07'!A1" display="DL_Ke_hoach_07"/>
    <hyperlink ref="C20"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44</v>
      </c>
    </row>
    <row r="2" spans="1:9" ht="42" customHeight="1">
      <c r="A2" s="6" t="s">
        <v>45</v>
      </c>
      <c r="B2" s="6"/>
      <c r="C2" s="6"/>
      <c r="D2" s="6"/>
      <c r="E2" s="6"/>
      <c r="F2" s="6"/>
      <c r="G2" s="6"/>
      <c r="H2" s="6"/>
      <c r="I2" s="6"/>
    </row>
    <row r="4" spans="1:9" ht="45" customHeight="1">
      <c r="A4" s="3" t="s">
        <v>46</v>
      </c>
      <c r="B4" s="3" t="s">
        <v>47</v>
      </c>
      <c r="C4" s="3" t="s">
        <v>48</v>
      </c>
      <c r="D4" s="3" t="s">
        <v>49</v>
      </c>
      <c r="E4" s="3" t="s">
        <v>50</v>
      </c>
      <c r="F4" s="3" t="s">
        <v>51</v>
      </c>
      <c r="G4" s="3" t="s">
        <v>52</v>
      </c>
      <c r="H4" s="3" t="s">
        <v>53</v>
      </c>
      <c r="I4" s="3" t="s">
        <v>54</v>
      </c>
    </row>
    <row r="5" spans="1:9">
      <c r="A5" s="4" t="s">
        <v>55</v>
      </c>
      <c r="B5" s="7">
        <v>17</v>
      </c>
      <c r="C5" s="7">
        <v>6</v>
      </c>
      <c r="D5" s="7">
        <v>26</v>
      </c>
      <c r="E5" s="7">
        <v>6</v>
      </c>
      <c r="F5" s="7">
        <v>0</v>
      </c>
      <c r="G5" s="7">
        <v>1</v>
      </c>
      <c r="H5" s="7">
        <v>0</v>
      </c>
      <c r="I5" s="7">
        <v>56</v>
      </c>
    </row>
    <row r="6" spans="1:9">
      <c r="A6" s="4" t="s">
        <v>56</v>
      </c>
      <c r="B6" s="7">
        <v>42</v>
      </c>
      <c r="C6" s="7">
        <v>13</v>
      </c>
      <c r="D6" s="7">
        <v>31</v>
      </c>
      <c r="E6" s="7">
        <v>10</v>
      </c>
      <c r="F6" s="7">
        <v>2</v>
      </c>
      <c r="G6" s="7">
        <v>2</v>
      </c>
      <c r="H6" s="7">
        <v>0</v>
      </c>
      <c r="I6" s="7">
        <v>100</v>
      </c>
    </row>
    <row r="7" spans="1:9">
      <c r="A7" s="4" t="s">
        <v>57</v>
      </c>
      <c r="B7" s="7">
        <v>50</v>
      </c>
      <c r="C7" s="7">
        <v>11</v>
      </c>
      <c r="D7" s="7">
        <v>12</v>
      </c>
      <c r="E7" s="7">
        <v>7</v>
      </c>
      <c r="F7" s="7">
        <v>2</v>
      </c>
      <c r="G7" s="7">
        <v>3</v>
      </c>
      <c r="H7" s="7">
        <v>0</v>
      </c>
      <c r="I7" s="7">
        <v>85</v>
      </c>
    </row>
    <row r="8" spans="1:9">
      <c r="A8" s="4" t="s">
        <v>58</v>
      </c>
      <c r="B8" s="7">
        <v>72</v>
      </c>
      <c r="C8" s="7">
        <v>33</v>
      </c>
      <c r="D8" s="7">
        <v>7</v>
      </c>
      <c r="E8" s="7">
        <v>8</v>
      </c>
      <c r="F8" s="7">
        <v>2</v>
      </c>
      <c r="G8" s="7">
        <v>5</v>
      </c>
      <c r="H8" s="7">
        <v>1</v>
      </c>
      <c r="I8" s="7">
        <v>128</v>
      </c>
    </row>
    <row r="9" spans="1:9">
      <c r="A9" s="4" t="s">
        <v>59</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60</v>
      </c>
    </row>
    <row r="2" spans="1:6" ht="42" customHeight="1">
      <c r="A2" s="6" t="s">
        <v>61</v>
      </c>
      <c r="B2" s="6"/>
      <c r="C2" s="6"/>
      <c r="D2" s="6"/>
      <c r="E2" s="6"/>
      <c r="F2" s="6"/>
    </row>
    <row r="4" spans="1:6" ht="45" customHeight="1">
      <c r="A4" s="3" t="s">
        <v>62</v>
      </c>
      <c r="B4" s="3" t="s">
        <v>63</v>
      </c>
      <c r="C4" s="3" t="s">
        <v>64</v>
      </c>
    </row>
    <row r="5" spans="1:6">
      <c r="A5" s="4" t="s">
        <v>65</v>
      </c>
      <c r="B5" s="7">
        <v>0</v>
      </c>
      <c r="C5" s="7">
        <v>0</v>
      </c>
    </row>
    <row r="6" spans="1:6">
      <c r="A6" s="4" t="s">
        <v>66</v>
      </c>
      <c r="B6" s="7">
        <v>30</v>
      </c>
      <c r="C6" s="7">
        <v>30</v>
      </c>
    </row>
    <row r="7" spans="1:6">
      <c r="A7" s="4" t="s">
        <v>67</v>
      </c>
      <c r="B7" s="7">
        <v>60</v>
      </c>
      <c r="C7" s="7">
        <v>60</v>
      </c>
    </row>
    <row r="8" spans="1:6">
      <c r="A8" s="4" t="s">
        <v>68</v>
      </c>
      <c r="B8" s="7">
        <v>90</v>
      </c>
      <c r="C8" s="7">
        <v>90</v>
      </c>
    </row>
    <row r="9" spans="1:6">
      <c r="A9" s="4" t="s">
        <v>69</v>
      </c>
      <c r="B9" s="7">
        <v>100</v>
      </c>
      <c r="C9" s="7">
        <v>120</v>
      </c>
    </row>
    <row r="10" spans="1:6">
      <c r="A10" s="4" t="s">
        <v>70</v>
      </c>
      <c r="B10" s="7">
        <v>100</v>
      </c>
      <c r="C10" s="7">
        <v>150</v>
      </c>
    </row>
    <row r="11" spans="1:6">
      <c r="A11" s="4" t="s">
        <v>71</v>
      </c>
      <c r="B11" s="7">
        <v>100</v>
      </c>
      <c r="C11" s="7">
        <v>180</v>
      </c>
    </row>
    <row r="12" spans="1:6">
      <c r="A12" s="4" t="s">
        <v>72</v>
      </c>
      <c r="B12" s="7">
        <v>100</v>
      </c>
      <c r="C12" s="7">
        <v>210</v>
      </c>
    </row>
  </sheetData>
  <mergeCells count="1">
    <mergeCell ref="A2:F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73</v>
      </c>
    </row>
    <row r="2" spans="1:6" ht="42" customHeight="1">
      <c r="A2" s="6" t="s">
        <v>74</v>
      </c>
      <c r="B2" s="6"/>
      <c r="C2" s="6"/>
      <c r="D2" s="6"/>
      <c r="E2" s="6"/>
      <c r="F2" s="6"/>
    </row>
    <row r="4" spans="1:6" ht="45" customHeight="1">
      <c r="A4" s="3" t="s">
        <v>46</v>
      </c>
      <c r="B4" s="3" t="s">
        <v>75</v>
      </c>
      <c r="C4" s="3" t="s">
        <v>76</v>
      </c>
      <c r="D4" s="3" t="s">
        <v>77</v>
      </c>
      <c r="E4" s="3" t="s">
        <v>78</v>
      </c>
    </row>
    <row r="5" spans="1:6">
      <c r="A5" s="4" t="s">
        <v>55</v>
      </c>
      <c r="B5" s="7">
        <v>0</v>
      </c>
      <c r="C5" s="7">
        <v>6</v>
      </c>
      <c r="D5" s="7">
        <v>0</v>
      </c>
      <c r="E5" s="8">
        <v>0</v>
      </c>
    </row>
    <row r="6" spans="1:6">
      <c r="A6" s="4" t="s">
        <v>56</v>
      </c>
      <c r="B6" s="7">
        <v>3</v>
      </c>
      <c r="C6" s="7">
        <v>7</v>
      </c>
      <c r="D6" s="7">
        <v>0</v>
      </c>
      <c r="E6" s="8">
        <v>84</v>
      </c>
    </row>
    <row r="7" spans="1:6">
      <c r="A7" s="4" t="s">
        <v>57</v>
      </c>
      <c r="B7" s="7">
        <v>7</v>
      </c>
      <c r="C7" s="7">
        <v>0</v>
      </c>
      <c r="D7" s="7">
        <v>0</v>
      </c>
      <c r="E7" s="8">
        <v>70</v>
      </c>
    </row>
    <row r="8" spans="1:6">
      <c r="A8" s="4" t="s">
        <v>58</v>
      </c>
      <c r="B8" s="7">
        <v>5</v>
      </c>
      <c r="C8" s="7">
        <v>0</v>
      </c>
      <c r="D8" s="7">
        <v>3</v>
      </c>
      <c r="E8" s="8">
        <v>125.75</v>
      </c>
    </row>
    <row r="9" spans="1:6">
      <c r="A9" s="4" t="s">
        <v>59</v>
      </c>
      <c r="B9" s="7">
        <v>4</v>
      </c>
      <c r="C9" s="7">
        <v>3</v>
      </c>
      <c r="D9" s="7">
        <v>0</v>
      </c>
      <c r="E9" s="8">
        <v>145</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79</v>
      </c>
    </row>
    <row r="2" spans="1:6" ht="42" customHeight="1">
      <c r="A2" s="6" t="s">
        <v>80</v>
      </c>
      <c r="B2" s="6"/>
      <c r="C2" s="6"/>
      <c r="D2" s="6"/>
      <c r="E2" s="6"/>
      <c r="F2" s="6"/>
    </row>
    <row r="4" spans="1:6" ht="45" customHeight="1">
      <c r="A4" s="3" t="s">
        <v>81</v>
      </c>
      <c r="B4" s="3" t="s">
        <v>82</v>
      </c>
      <c r="C4" s="3" t="s">
        <v>83</v>
      </c>
    </row>
    <row r="5" spans="1:6">
      <c r="A5" s="4" t="s">
        <v>84</v>
      </c>
      <c r="B5" s="7">
        <v>600</v>
      </c>
      <c r="C5" s="7">
        <v>0</v>
      </c>
    </row>
    <row r="6" spans="1:6">
      <c r="A6" s="4" t="s">
        <v>85</v>
      </c>
      <c r="B6" s="7">
        <v>360</v>
      </c>
      <c r="C6" s="7">
        <v>0</v>
      </c>
    </row>
    <row r="7" spans="1:6">
      <c r="A7" s="4" t="s">
        <v>86</v>
      </c>
      <c r="B7" s="7">
        <v>180</v>
      </c>
      <c r="C7" s="7">
        <v>0</v>
      </c>
    </row>
    <row r="8" spans="1:6">
      <c r="A8" s="4" t="s">
        <v>87</v>
      </c>
      <c r="B8" s="7">
        <v>300</v>
      </c>
      <c r="C8" s="7">
        <v>20</v>
      </c>
    </row>
    <row r="9" spans="1:6">
      <c r="A9" s="4" t="s">
        <v>88</v>
      </c>
      <c r="B9" s="7">
        <v>270</v>
      </c>
      <c r="C9" s="7">
        <v>15</v>
      </c>
    </row>
    <row r="10" spans="1:6">
      <c r="A10" s="4" t="s">
        <v>89</v>
      </c>
      <c r="B10" s="7">
        <v>240</v>
      </c>
      <c r="C10" s="7">
        <v>12</v>
      </c>
    </row>
    <row r="11" spans="1:6">
      <c r="A11" s="4" t="s">
        <v>90</v>
      </c>
      <c r="B11" s="7">
        <v>240</v>
      </c>
      <c r="C11" s="7">
        <v>10</v>
      </c>
    </row>
    <row r="12" spans="1:6">
      <c r="A12" s="4" t="s">
        <v>91</v>
      </c>
      <c r="B12" s="7">
        <v>150</v>
      </c>
      <c r="C12" s="7">
        <v>0</v>
      </c>
    </row>
  </sheetData>
  <mergeCells count="1">
    <mergeCell ref="A2:F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92</v>
      </c>
    </row>
    <row r="2" spans="1:6" ht="42" customHeight="1">
      <c r="A2" s="6" t="s">
        <v>93</v>
      </c>
      <c r="B2" s="6"/>
      <c r="C2" s="6"/>
      <c r="D2" s="6"/>
      <c r="E2" s="6"/>
      <c r="F2" s="6"/>
    </row>
    <row r="4" spans="1:6" ht="45" customHeight="1">
      <c r="A4" s="3" t="s">
        <v>94</v>
      </c>
      <c r="B4" s="3" t="s">
        <v>95</v>
      </c>
      <c r="C4" s="3" t="s">
        <v>96</v>
      </c>
      <c r="D4" s="3" t="s">
        <v>97</v>
      </c>
    </row>
    <row r="5" spans="1:6">
      <c r="A5" s="4" t="s">
        <v>98</v>
      </c>
      <c r="B5" s="7">
        <v>1</v>
      </c>
      <c r="C5" s="7">
        <v>1</v>
      </c>
      <c r="D5" s="7">
        <v>1</v>
      </c>
    </row>
    <row r="6" spans="1:6">
      <c r="A6" s="4" t="s">
        <v>99</v>
      </c>
      <c r="B6" s="7">
        <v>1</v>
      </c>
      <c r="C6" s="7">
        <v>1</v>
      </c>
      <c r="D6" s="7">
        <v>2</v>
      </c>
    </row>
    <row r="7" spans="1:6">
      <c r="A7" s="4" t="s">
        <v>100</v>
      </c>
      <c r="B7" s="7">
        <v>2</v>
      </c>
      <c r="C7" s="7">
        <v>2</v>
      </c>
      <c r="D7" s="7">
        <v>0</v>
      </c>
    </row>
    <row r="8" spans="1:6">
      <c r="A8" s="4" t="s">
        <v>101</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102</v>
      </c>
    </row>
    <row r="2" spans="1:6" ht="42" customHeight="1">
      <c r="A2" s="6" t="s">
        <v>103</v>
      </c>
      <c r="B2" s="6"/>
      <c r="C2" s="6"/>
      <c r="D2" s="6"/>
      <c r="E2" s="6"/>
      <c r="F2" s="6"/>
    </row>
    <row r="4" spans="1:6" ht="45" customHeight="1">
      <c r="A4" s="3" t="s">
        <v>104</v>
      </c>
      <c r="B4" s="3" t="s">
        <v>105</v>
      </c>
      <c r="C4" s="3" t="s">
        <v>106</v>
      </c>
      <c r="D4" s="3" t="s">
        <v>107</v>
      </c>
    </row>
    <row r="5" spans="1:6">
      <c r="A5" s="4" t="s">
        <v>108</v>
      </c>
      <c r="B5" s="7">
        <v>2</v>
      </c>
      <c r="C5" s="7">
        <v>0</v>
      </c>
      <c r="D5" s="7">
        <v>0</v>
      </c>
    </row>
    <row r="6" spans="1:6">
      <c r="A6" s="4" t="s">
        <v>109</v>
      </c>
      <c r="B6" s="7">
        <v>2</v>
      </c>
      <c r="C6" s="7">
        <v>0</v>
      </c>
      <c r="D6" s="7">
        <v>1</v>
      </c>
    </row>
    <row r="7" spans="1:6">
      <c r="A7" s="4" t="s">
        <v>110</v>
      </c>
      <c r="B7" s="7">
        <v>0</v>
      </c>
      <c r="C7" s="7">
        <v>5</v>
      </c>
      <c r="D7" s="7">
        <v>0</v>
      </c>
    </row>
    <row r="8" spans="1:6">
      <c r="A8" s="4" t="s">
        <v>111</v>
      </c>
      <c r="B8" s="7">
        <v>0</v>
      </c>
      <c r="C8" s="7">
        <v>0</v>
      </c>
      <c r="D8" s="7">
        <v>1</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112</v>
      </c>
    </row>
    <row r="2" spans="1:6" ht="42" customHeight="1">
      <c r="A2" s="6" t="s">
        <v>113</v>
      </c>
      <c r="B2" s="6"/>
      <c r="C2" s="6"/>
      <c r="D2" s="6"/>
      <c r="E2" s="6"/>
      <c r="F2" s="6"/>
    </row>
    <row r="4" spans="1:6" ht="45" customHeight="1">
      <c r="A4" s="3" t="s">
        <v>114</v>
      </c>
      <c r="B4" s="3" t="s">
        <v>115</v>
      </c>
    </row>
    <row r="5" spans="1:6">
      <c r="A5" s="4" t="s">
        <v>86</v>
      </c>
      <c r="B5" s="7">
        <v>5</v>
      </c>
    </row>
    <row r="6" spans="1:6">
      <c r="A6" s="4" t="s">
        <v>116</v>
      </c>
      <c r="B6" s="7">
        <v>2</v>
      </c>
    </row>
    <row r="7" spans="1:6">
      <c r="A7" s="4" t="s">
        <v>111</v>
      </c>
      <c r="B7" s="7">
        <v>1</v>
      </c>
    </row>
    <row r="8" spans="1:6">
      <c r="A8" s="4" t="s">
        <v>117</v>
      </c>
      <c r="B8" s="7">
        <v>2</v>
      </c>
    </row>
    <row r="9" spans="1:6">
      <c r="A9" s="4" t="s">
        <v>118</v>
      </c>
      <c r="B9" s="7">
        <v>1</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119</v>
      </c>
    </row>
    <row r="2" spans="1:6" ht="42" customHeight="1">
      <c r="A2" s="6" t="s">
        <v>120</v>
      </c>
      <c r="B2" s="6"/>
      <c r="C2" s="6"/>
      <c r="D2" s="6"/>
      <c r="E2" s="6"/>
      <c r="F2" s="6"/>
    </row>
    <row r="4" spans="1:6" ht="45" customHeight="1">
      <c r="A4" s="3" t="s">
        <v>121</v>
      </c>
      <c r="B4" s="3" t="s">
        <v>122</v>
      </c>
      <c r="C4" s="3" t="s">
        <v>123</v>
      </c>
    </row>
    <row r="5" spans="1:6">
      <c r="A5" s="4" t="s">
        <v>124</v>
      </c>
      <c r="B5" s="7">
        <v>38</v>
      </c>
      <c r="C5" s="7">
        <v>31</v>
      </c>
    </row>
    <row r="6" spans="1:6">
      <c r="A6" s="4" t="s">
        <v>125</v>
      </c>
      <c r="B6" s="7">
        <v>9</v>
      </c>
      <c r="C6" s="7">
        <v>6</v>
      </c>
    </row>
    <row r="7" spans="1:6">
      <c r="A7" s="4" t="s">
        <v>126</v>
      </c>
      <c r="B7" s="7">
        <v>1</v>
      </c>
      <c r="C7" s="7">
        <v>0</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13"/>
  <sheetViews>
    <sheetView workbookViewId="0"/>
  </sheetViews>
  <sheetFormatPr defaultRowHeight="15"/>
  <cols>
    <col min="1" max="1" width="42.7109375" customWidth="1"/>
    <col min="2" max="5" width="17.7109375" customWidth="1"/>
  </cols>
  <sheetData>
    <row r="1" spans="1:6">
      <c r="A1" s="1" t="s">
        <v>127</v>
      </c>
    </row>
    <row r="2" spans="1:6" ht="42" customHeight="1">
      <c r="A2" s="6" t="s">
        <v>128</v>
      </c>
      <c r="B2" s="6"/>
      <c r="C2" s="6"/>
      <c r="D2" s="6"/>
      <c r="E2" s="6"/>
      <c r="F2" s="6"/>
    </row>
    <row r="4" spans="1:6" ht="45" customHeight="1">
      <c r="A4" s="3" t="s">
        <v>129</v>
      </c>
      <c r="B4" s="3" t="s">
        <v>130</v>
      </c>
      <c r="C4" s="3" t="s">
        <v>131</v>
      </c>
      <c r="D4" s="3" t="s">
        <v>132</v>
      </c>
      <c r="E4" s="3" t="s">
        <v>133</v>
      </c>
    </row>
    <row r="5" spans="1:6">
      <c r="A5" s="4" t="s">
        <v>134</v>
      </c>
      <c r="B5" s="4" t="s">
        <v>135</v>
      </c>
      <c r="C5" s="7">
        <v>30</v>
      </c>
      <c r="D5" s="7">
        <v>85</v>
      </c>
      <c r="E5" s="9">
        <v>2.833333333333333</v>
      </c>
    </row>
    <row r="6" spans="1:6">
      <c r="A6" s="4" t="s">
        <v>136</v>
      </c>
      <c r="B6" s="4" t="s">
        <v>135</v>
      </c>
      <c r="C6" s="7">
        <v>3</v>
      </c>
      <c r="D6" s="7">
        <v>8</v>
      </c>
      <c r="E6" s="9">
        <v>2.666666666666667</v>
      </c>
    </row>
    <row r="7" spans="1:6">
      <c r="A7" s="4" t="s">
        <v>137</v>
      </c>
      <c r="B7" s="4" t="s">
        <v>135</v>
      </c>
      <c r="C7" s="7">
        <v>60</v>
      </c>
      <c r="D7" s="7">
        <v>134</v>
      </c>
      <c r="E7" s="9">
        <v>2.233333333333333</v>
      </c>
    </row>
    <row r="8" spans="1:6">
      <c r="A8" s="4" t="s">
        <v>138</v>
      </c>
      <c r="B8" s="4" t="s">
        <v>135</v>
      </c>
      <c r="C8" s="7">
        <v>110</v>
      </c>
      <c r="D8" s="7">
        <v>181</v>
      </c>
      <c r="E8" s="9">
        <v>1.645454545454546</v>
      </c>
    </row>
    <row r="9" spans="1:6">
      <c r="A9" s="4" t="s">
        <v>139</v>
      </c>
      <c r="B9" s="4" t="s">
        <v>140</v>
      </c>
      <c r="C9" s="7">
        <v>2</v>
      </c>
      <c r="D9" s="7">
        <v>3</v>
      </c>
      <c r="E9" s="9">
        <v>1.5</v>
      </c>
    </row>
    <row r="10" spans="1:6">
      <c r="A10" s="4" t="s">
        <v>141</v>
      </c>
      <c r="B10" s="4" t="s">
        <v>140</v>
      </c>
      <c r="C10" s="7">
        <v>14</v>
      </c>
      <c r="D10" s="7">
        <v>15</v>
      </c>
      <c r="E10" s="9">
        <v>1.071428571428571</v>
      </c>
    </row>
    <row r="11" spans="1:6">
      <c r="A11" s="4" t="s">
        <v>142</v>
      </c>
      <c r="B11" s="4" t="s">
        <v>135</v>
      </c>
      <c r="C11" s="7">
        <v>11</v>
      </c>
      <c r="D11" s="7">
        <v>10</v>
      </c>
      <c r="E11" s="9">
        <v>0.9090909090909091</v>
      </c>
    </row>
    <row r="12" spans="1:6">
      <c r="A12" s="4" t="s">
        <v>143</v>
      </c>
      <c r="B12" s="4" t="s">
        <v>140</v>
      </c>
      <c r="C12" s="7">
        <v>20</v>
      </c>
      <c r="D12" s="7">
        <v>18</v>
      </c>
      <c r="E12" s="9">
        <v>0.9</v>
      </c>
    </row>
    <row r="13" spans="1:6">
      <c r="A13" s="4" t="s">
        <v>144</v>
      </c>
      <c r="B13" s="4" t="s">
        <v>145</v>
      </c>
      <c r="C13" s="7">
        <v>1</v>
      </c>
      <c r="D13" s="7">
        <v>0</v>
      </c>
      <c r="E13" s="9">
        <v>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dimension ref="A1:D46"/>
  <sheetViews>
    <sheetView workbookViewId="0"/>
  </sheetViews>
  <sheetFormatPr defaultRowHeight="15"/>
  <cols>
    <col min="1" max="1" width="32.7109375" customWidth="1"/>
    <col min="2" max="3" width="55.7109375" customWidth="1"/>
    <col min="4" max="4" width="50.7109375" customWidth="1"/>
  </cols>
  <sheetData>
    <row r="1" spans="1:4">
      <c r="A1" s="1" t="s">
        <v>146</v>
      </c>
    </row>
    <row r="3" spans="1:4">
      <c r="A3" s="3" t="s">
        <v>147</v>
      </c>
      <c r="B3" s="3" t="s">
        <v>148</v>
      </c>
      <c r="C3" s="3" t="s">
        <v>149</v>
      </c>
      <c r="D3" s="3" t="s">
        <v>150</v>
      </c>
    </row>
    <row r="4" spans="1:4">
      <c r="A4" s="4" t="s">
        <v>151</v>
      </c>
      <c r="B4" s="4"/>
      <c r="C4" s="4" t="s">
        <v>152</v>
      </c>
      <c r="D4" s="4" t="s">
        <v>153</v>
      </c>
    </row>
    <row r="5" spans="1:4">
      <c r="A5" s="4" t="s">
        <v>154</v>
      </c>
      <c r="B5" s="4" t="s">
        <v>155</v>
      </c>
      <c r="C5" s="4" t="s">
        <v>156</v>
      </c>
      <c r="D5" s="4" t="s">
        <v>157</v>
      </c>
    </row>
    <row r="6" spans="1:4">
      <c r="A6" s="4" t="s">
        <v>145</v>
      </c>
      <c r="B6" s="4" t="s">
        <v>158</v>
      </c>
      <c r="C6" s="4" t="s">
        <v>159</v>
      </c>
      <c r="D6" s="4" t="s">
        <v>160</v>
      </c>
    </row>
    <row r="7" spans="1:4">
      <c r="A7" s="4" t="s">
        <v>161</v>
      </c>
      <c r="B7" s="4" t="s">
        <v>162</v>
      </c>
      <c r="C7" s="4" t="s">
        <v>163</v>
      </c>
      <c r="D7" s="4" t="s">
        <v>164</v>
      </c>
    </row>
    <row r="8" spans="1:4">
      <c r="A8" s="4" t="s">
        <v>165</v>
      </c>
      <c r="B8" s="4" t="s">
        <v>166</v>
      </c>
      <c r="C8" s="4" t="s">
        <v>167</v>
      </c>
      <c r="D8" s="4" t="s">
        <v>168</v>
      </c>
    </row>
    <row r="9" spans="1:4">
      <c r="A9" s="4" t="s">
        <v>169</v>
      </c>
      <c r="B9" s="4" t="s">
        <v>170</v>
      </c>
      <c r="C9" s="4" t="s">
        <v>171</v>
      </c>
      <c r="D9" s="4" t="s">
        <v>172</v>
      </c>
    </row>
    <row r="10" spans="1:4">
      <c r="A10" s="4" t="s">
        <v>173</v>
      </c>
      <c r="B10" s="4" t="s">
        <v>174</v>
      </c>
      <c r="C10" s="4" t="s">
        <v>175</v>
      </c>
      <c r="D10" s="4" t="s">
        <v>176</v>
      </c>
    </row>
    <row r="11" spans="1:4">
      <c r="A11" s="4" t="s">
        <v>177</v>
      </c>
      <c r="B11" s="4" t="s">
        <v>178</v>
      </c>
      <c r="C11" s="4" t="s">
        <v>179</v>
      </c>
      <c r="D11" s="4" t="s">
        <v>180</v>
      </c>
    </row>
    <row r="12" spans="1:4">
      <c r="A12" s="4" t="s">
        <v>181</v>
      </c>
      <c r="B12" s="4" t="s">
        <v>182</v>
      </c>
      <c r="C12" s="4" t="s">
        <v>183</v>
      </c>
      <c r="D12" s="4" t="s">
        <v>184</v>
      </c>
    </row>
    <row r="13" spans="1:4">
      <c r="A13" s="4" t="s">
        <v>185</v>
      </c>
      <c r="B13" s="4" t="s">
        <v>186</v>
      </c>
      <c r="C13" s="4" t="s">
        <v>187</v>
      </c>
      <c r="D13" s="4" t="s">
        <v>188</v>
      </c>
    </row>
    <row r="14" spans="1:4">
      <c r="A14" s="4" t="s">
        <v>189</v>
      </c>
      <c r="B14" s="4" t="s">
        <v>190</v>
      </c>
      <c r="C14" s="4" t="s">
        <v>191</v>
      </c>
      <c r="D14" s="4" t="s">
        <v>192</v>
      </c>
    </row>
    <row r="15" spans="1:4">
      <c r="A15" s="4" t="s">
        <v>193</v>
      </c>
      <c r="B15" s="4" t="s">
        <v>194</v>
      </c>
      <c r="C15" s="4" t="s">
        <v>195</v>
      </c>
      <c r="D15" s="4" t="s">
        <v>196</v>
      </c>
    </row>
    <row r="16" spans="1:4">
      <c r="A16" s="4" t="s">
        <v>197</v>
      </c>
      <c r="B16" s="4" t="s">
        <v>198</v>
      </c>
      <c r="C16" s="4" t="s">
        <v>199</v>
      </c>
      <c r="D16" s="4" t="s">
        <v>192</v>
      </c>
    </row>
    <row r="17" spans="1:4">
      <c r="A17" s="4" t="s">
        <v>200</v>
      </c>
      <c r="B17" s="4" t="s">
        <v>201</v>
      </c>
      <c r="C17" s="4" t="s">
        <v>202</v>
      </c>
      <c r="D17" s="4" t="s">
        <v>203</v>
      </c>
    </row>
    <row r="18" spans="1:4">
      <c r="A18" s="4" t="s">
        <v>204</v>
      </c>
      <c r="B18" s="4" t="s">
        <v>205</v>
      </c>
      <c r="C18" s="4" t="s">
        <v>206</v>
      </c>
      <c r="D18" s="4" t="s">
        <v>207</v>
      </c>
    </row>
    <row r="19" spans="1:4">
      <c r="A19" s="4" t="s">
        <v>208</v>
      </c>
      <c r="B19" s="4" t="s">
        <v>209</v>
      </c>
      <c r="C19" s="4" t="s">
        <v>210</v>
      </c>
      <c r="D19" s="4" t="s">
        <v>211</v>
      </c>
    </row>
    <row r="20" spans="1:4">
      <c r="A20" s="4" t="s">
        <v>212</v>
      </c>
      <c r="B20" s="4" t="s">
        <v>213</v>
      </c>
      <c r="C20" s="4" t="s">
        <v>214</v>
      </c>
      <c r="D20" s="4" t="s">
        <v>215</v>
      </c>
    </row>
    <row r="21" spans="1:4">
      <c r="A21" s="4" t="s">
        <v>216</v>
      </c>
      <c r="B21" s="4" t="s">
        <v>217</v>
      </c>
      <c r="C21" s="4" t="s">
        <v>218</v>
      </c>
      <c r="D21" s="4" t="s">
        <v>219</v>
      </c>
    </row>
    <row r="22" spans="1:4">
      <c r="A22" s="4" t="s">
        <v>220</v>
      </c>
      <c r="B22" s="4" t="s">
        <v>221</v>
      </c>
      <c r="C22" s="4" t="s">
        <v>222</v>
      </c>
      <c r="D22" s="4" t="s">
        <v>223</v>
      </c>
    </row>
    <row r="23" spans="1:4">
      <c r="A23" s="4" t="s">
        <v>224</v>
      </c>
      <c r="B23" s="4" t="s">
        <v>225</v>
      </c>
      <c r="C23" s="4" t="s">
        <v>226</v>
      </c>
      <c r="D23" s="4" t="s">
        <v>227</v>
      </c>
    </row>
    <row r="24" spans="1:4">
      <c r="A24" s="4" t="s">
        <v>228</v>
      </c>
      <c r="B24" s="4" t="s">
        <v>229</v>
      </c>
      <c r="C24" s="4" t="s">
        <v>230</v>
      </c>
      <c r="D24" s="4" t="s">
        <v>231</v>
      </c>
    </row>
    <row r="25" spans="1:4">
      <c r="A25" s="4" t="s">
        <v>232</v>
      </c>
      <c r="B25" s="4" t="s">
        <v>233</v>
      </c>
      <c r="C25" s="4" t="s">
        <v>234</v>
      </c>
      <c r="D25" s="4" t="s">
        <v>235</v>
      </c>
    </row>
    <row r="26" spans="1:4">
      <c r="A26" s="4" t="s">
        <v>236</v>
      </c>
      <c r="B26" s="4" t="s">
        <v>237</v>
      </c>
      <c r="C26" s="4" t="s">
        <v>238</v>
      </c>
      <c r="D26" s="4" t="s">
        <v>239</v>
      </c>
    </row>
    <row r="27" spans="1:4">
      <c r="A27" s="4" t="s">
        <v>240</v>
      </c>
      <c r="B27" s="4" t="s">
        <v>241</v>
      </c>
      <c r="C27" s="4" t="s">
        <v>242</v>
      </c>
      <c r="D27" s="4" t="s">
        <v>243</v>
      </c>
    </row>
    <row r="28" spans="1:4">
      <c r="A28" s="4" t="s">
        <v>244</v>
      </c>
      <c r="B28" s="4" t="s">
        <v>245</v>
      </c>
      <c r="C28" s="4" t="s">
        <v>246</v>
      </c>
      <c r="D28" s="4" t="s">
        <v>207</v>
      </c>
    </row>
    <row r="29" spans="1:4">
      <c r="A29" s="4" t="s">
        <v>247</v>
      </c>
      <c r="B29" s="4" t="s">
        <v>248</v>
      </c>
      <c r="C29" s="4" t="s">
        <v>249</v>
      </c>
      <c r="D29" s="4" t="s">
        <v>250</v>
      </c>
    </row>
    <row r="30" spans="1:4">
      <c r="A30" s="4" t="s">
        <v>251</v>
      </c>
      <c r="B30" s="4" t="s">
        <v>252</v>
      </c>
      <c r="C30" s="4" t="s">
        <v>253</v>
      </c>
      <c r="D30" s="4" t="s">
        <v>254</v>
      </c>
    </row>
    <row r="31" spans="1:4">
      <c r="A31" s="4" t="s">
        <v>255</v>
      </c>
      <c r="B31" s="4" t="s">
        <v>55</v>
      </c>
      <c r="C31" s="4" t="s">
        <v>56</v>
      </c>
      <c r="D31" s="4" t="s">
        <v>256</v>
      </c>
    </row>
    <row r="32" spans="1:4">
      <c r="A32" s="4" t="s">
        <v>257</v>
      </c>
      <c r="B32" s="4" t="s">
        <v>258</v>
      </c>
      <c r="C32" s="4" t="s">
        <v>259</v>
      </c>
      <c r="D32" s="4" t="s">
        <v>260</v>
      </c>
    </row>
    <row r="33" spans="1:4">
      <c r="A33" s="4" t="s">
        <v>261</v>
      </c>
      <c r="B33" s="4" t="s">
        <v>262</v>
      </c>
      <c r="C33" s="4" t="s">
        <v>263</v>
      </c>
      <c r="D33" s="4" t="s">
        <v>264</v>
      </c>
    </row>
    <row r="34" spans="1:4">
      <c r="A34" s="4" t="s">
        <v>265</v>
      </c>
      <c r="B34" s="4" t="s">
        <v>266</v>
      </c>
      <c r="C34" s="4" t="s">
        <v>267</v>
      </c>
      <c r="D34" s="4" t="s">
        <v>268</v>
      </c>
    </row>
    <row r="35" spans="1:4">
      <c r="A35" s="4" t="s">
        <v>269</v>
      </c>
      <c r="B35" s="4" t="s">
        <v>270</v>
      </c>
      <c r="C35" s="4" t="s">
        <v>271</v>
      </c>
      <c r="D35" s="4" t="s">
        <v>272</v>
      </c>
    </row>
    <row r="36" spans="1:4">
      <c r="A36" s="4" t="s">
        <v>189</v>
      </c>
      <c r="B36" s="4" t="s">
        <v>273</v>
      </c>
      <c r="C36" s="4" t="s">
        <v>274</v>
      </c>
      <c r="D36" s="4" t="s">
        <v>275</v>
      </c>
    </row>
    <row r="37" spans="1:4">
      <c r="A37" s="4" t="s">
        <v>276</v>
      </c>
      <c r="B37" s="4" t="s">
        <v>277</v>
      </c>
      <c r="C37" s="4" t="s">
        <v>278</v>
      </c>
      <c r="D37" s="4" t="s">
        <v>279</v>
      </c>
    </row>
    <row r="38" spans="1:4">
      <c r="A38" s="4" t="s">
        <v>280</v>
      </c>
      <c r="B38" s="4" t="s">
        <v>281</v>
      </c>
      <c r="C38" s="4" t="s">
        <v>282</v>
      </c>
      <c r="D38" s="4" t="s">
        <v>283</v>
      </c>
    </row>
    <row r="39" spans="1:4">
      <c r="A39" s="4" t="s">
        <v>284</v>
      </c>
      <c r="B39" s="4" t="s">
        <v>285</v>
      </c>
      <c r="C39" s="4" t="s">
        <v>286</v>
      </c>
      <c r="D39" s="4" t="s">
        <v>287</v>
      </c>
    </row>
    <row r="40" spans="1:4">
      <c r="A40" s="4" t="s">
        <v>288</v>
      </c>
      <c r="B40" s="4" t="s">
        <v>289</v>
      </c>
      <c r="C40" s="4" t="s">
        <v>290</v>
      </c>
      <c r="D40" s="4" t="s">
        <v>291</v>
      </c>
    </row>
    <row r="41" spans="1:4">
      <c r="A41" s="4" t="s">
        <v>292</v>
      </c>
      <c r="B41" s="4" t="s">
        <v>293</v>
      </c>
      <c r="C41" s="4" t="s">
        <v>294</v>
      </c>
      <c r="D41" s="4" t="s">
        <v>295</v>
      </c>
    </row>
    <row r="42" spans="1:4">
      <c r="A42" s="4" t="s">
        <v>296</v>
      </c>
      <c r="B42" s="4" t="s">
        <v>297</v>
      </c>
      <c r="C42" s="4" t="s">
        <v>298</v>
      </c>
      <c r="D42" s="4" t="s">
        <v>299</v>
      </c>
    </row>
    <row r="43" spans="1:4">
      <c r="A43" s="4" t="s">
        <v>300</v>
      </c>
      <c r="B43" s="4"/>
      <c r="C43" s="4" t="s">
        <v>301</v>
      </c>
      <c r="D43" s="4" t="s">
        <v>302</v>
      </c>
    </row>
    <row r="44" spans="1:4">
      <c r="A44" s="4" t="s">
        <v>303</v>
      </c>
      <c r="B44" s="4" t="s">
        <v>304</v>
      </c>
      <c r="C44" s="4" t="s">
        <v>305</v>
      </c>
      <c r="D44" s="4" t="s">
        <v>306</v>
      </c>
    </row>
    <row r="45" spans="1:4">
      <c r="A45" s="4" t="s">
        <v>307</v>
      </c>
      <c r="B45" s="4"/>
      <c r="C45" s="4" t="s">
        <v>308</v>
      </c>
      <c r="D45" s="4"/>
    </row>
    <row r="46" spans="1:4">
      <c r="A46" s="4" t="s">
        <v>309</v>
      </c>
      <c r="B46" s="4" t="s">
        <v>310</v>
      </c>
      <c r="C46" s="4" t="s">
        <v>311</v>
      </c>
      <c r="D46" s="4" t="s">
        <v>312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313</v>
      </c>
    </row>
    <row r="3" spans="1:9">
      <c r="A3" s="3" t="s">
        <v>314</v>
      </c>
      <c r="B3" s="3" t="s">
        <v>46</v>
      </c>
      <c r="C3" s="3" t="s">
        <v>315</v>
      </c>
      <c r="D3" s="3" t="s">
        <v>316</v>
      </c>
      <c r="E3" s="3" t="s">
        <v>317</v>
      </c>
      <c r="F3" s="3" t="s">
        <v>318</v>
      </c>
      <c r="G3" s="3" t="s">
        <v>319</v>
      </c>
      <c r="H3" s="3" t="s">
        <v>320</v>
      </c>
      <c r="I3" s="3" t="s">
        <v>321</v>
      </c>
    </row>
    <row r="4" spans="1:9">
      <c r="A4" s="4" t="s">
        <v>322</v>
      </c>
      <c r="B4" s="4">
        <v>2021</v>
      </c>
      <c r="C4" s="4" t="s">
        <v>323</v>
      </c>
      <c r="D4" s="4" t="s">
        <v>324</v>
      </c>
      <c r="E4" s="4" t="s">
        <v>325</v>
      </c>
      <c r="F4" s="8">
        <v>0</v>
      </c>
      <c r="G4" s="4"/>
      <c r="H4" s="4"/>
      <c r="I4" s="4"/>
    </row>
    <row r="5" spans="1:9">
      <c r="A5" s="4" t="s">
        <v>326</v>
      </c>
      <c r="B5" s="4">
        <v>2021</v>
      </c>
      <c r="C5" s="4" t="s">
        <v>323</v>
      </c>
      <c r="D5" s="4" t="s">
        <v>324</v>
      </c>
      <c r="E5" s="4" t="s">
        <v>325</v>
      </c>
      <c r="F5" s="8">
        <v>0</v>
      </c>
      <c r="G5" s="4"/>
      <c r="H5" s="4"/>
      <c r="I5" s="4"/>
    </row>
    <row r="6" spans="1:9">
      <c r="A6" s="4" t="s">
        <v>327</v>
      </c>
      <c r="B6" s="4">
        <v>2021</v>
      </c>
      <c r="C6" s="4" t="s">
        <v>323</v>
      </c>
      <c r="D6" s="4" t="s">
        <v>328</v>
      </c>
      <c r="E6" s="4" t="s">
        <v>325</v>
      </c>
      <c r="F6" s="8">
        <v>0</v>
      </c>
      <c r="G6" s="4"/>
      <c r="H6" s="4"/>
      <c r="I6" s="4"/>
    </row>
    <row r="7" spans="1:9">
      <c r="A7" s="4" t="s">
        <v>329</v>
      </c>
      <c r="B7" s="4">
        <v>2021</v>
      </c>
      <c r="C7" s="4" t="s">
        <v>323</v>
      </c>
      <c r="D7" s="4" t="s">
        <v>324</v>
      </c>
      <c r="E7" s="4" t="s">
        <v>325</v>
      </c>
      <c r="F7" s="8">
        <v>0</v>
      </c>
      <c r="G7" s="4"/>
      <c r="H7" s="4"/>
      <c r="I7" s="4"/>
    </row>
    <row r="8" spans="1:9">
      <c r="A8" s="4" t="s">
        <v>330</v>
      </c>
      <c r="B8" s="4">
        <v>2021</v>
      </c>
      <c r="C8" s="4" t="s">
        <v>323</v>
      </c>
      <c r="D8" s="4" t="s">
        <v>324</v>
      </c>
      <c r="E8" s="4" t="s">
        <v>325</v>
      </c>
      <c r="F8" s="8">
        <v>0</v>
      </c>
      <c r="G8" s="4"/>
      <c r="H8" s="4"/>
      <c r="I8" s="4"/>
    </row>
    <row r="9" spans="1:9">
      <c r="A9" s="4" t="s">
        <v>331</v>
      </c>
      <c r="B9" s="4">
        <v>2021</v>
      </c>
      <c r="C9" s="4" t="s">
        <v>332</v>
      </c>
      <c r="D9" s="4" t="s">
        <v>324</v>
      </c>
      <c r="E9" s="4" t="s">
        <v>325</v>
      </c>
      <c r="F9" s="8">
        <v>0</v>
      </c>
      <c r="G9" s="4"/>
      <c r="H9" s="4"/>
      <c r="I9" s="4"/>
    </row>
    <row r="10" spans="1:9">
      <c r="A10" s="4" t="s">
        <v>333</v>
      </c>
      <c r="B10" s="4">
        <v>2022</v>
      </c>
      <c r="C10" s="4" t="s">
        <v>334</v>
      </c>
      <c r="D10" s="4" t="s">
        <v>328</v>
      </c>
      <c r="E10" s="4" t="s">
        <v>325</v>
      </c>
      <c r="F10" s="8">
        <v>0</v>
      </c>
      <c r="G10" s="4"/>
      <c r="H10" s="4"/>
      <c r="I10" s="4"/>
    </row>
    <row r="11" spans="1:9">
      <c r="A11" s="4" t="s">
        <v>335</v>
      </c>
      <c r="B11" s="4">
        <v>2022</v>
      </c>
      <c r="C11" s="4" t="s">
        <v>332</v>
      </c>
      <c r="D11" s="4" t="s">
        <v>324</v>
      </c>
      <c r="E11" s="4" t="s">
        <v>325</v>
      </c>
      <c r="F11" s="8">
        <v>0</v>
      </c>
      <c r="G11" s="4"/>
      <c r="H11" s="4"/>
      <c r="I11" s="4"/>
    </row>
    <row r="12" spans="1:9">
      <c r="A12" s="4" t="s">
        <v>336</v>
      </c>
      <c r="B12" s="4">
        <v>2022</v>
      </c>
      <c r="C12" s="4" t="s">
        <v>323</v>
      </c>
      <c r="D12" s="4" t="s">
        <v>328</v>
      </c>
      <c r="E12" s="4" t="s">
        <v>325</v>
      </c>
      <c r="F12" s="8">
        <v>0</v>
      </c>
      <c r="G12" s="4"/>
      <c r="H12" s="4"/>
      <c r="I12" s="4"/>
    </row>
    <row r="13" spans="1:9">
      <c r="A13" s="4" t="s">
        <v>337</v>
      </c>
      <c r="B13" s="4">
        <v>2022</v>
      </c>
      <c r="C13" s="4" t="s">
        <v>323</v>
      </c>
      <c r="D13" s="4" t="s">
        <v>328</v>
      </c>
      <c r="E13" s="4" t="s">
        <v>325</v>
      </c>
      <c r="F13" s="8">
        <v>0</v>
      </c>
      <c r="G13" s="4"/>
      <c r="H13" s="4"/>
      <c r="I13" s="4"/>
    </row>
    <row r="14" spans="1:9">
      <c r="A14" s="4" t="s">
        <v>338</v>
      </c>
      <c r="B14" s="4">
        <v>2022</v>
      </c>
      <c r="C14" s="4" t="s">
        <v>323</v>
      </c>
      <c r="D14" s="4" t="s">
        <v>328</v>
      </c>
      <c r="E14" s="4" t="s">
        <v>325</v>
      </c>
      <c r="F14" s="8">
        <v>0</v>
      </c>
      <c r="G14" s="4"/>
      <c r="H14" s="4"/>
      <c r="I14" s="4"/>
    </row>
    <row r="15" spans="1:9">
      <c r="A15" s="4" t="s">
        <v>339</v>
      </c>
      <c r="B15" s="4">
        <v>2022</v>
      </c>
      <c r="C15" s="4" t="s">
        <v>323</v>
      </c>
      <c r="D15" s="4" t="s">
        <v>328</v>
      </c>
      <c r="E15" s="4" t="s">
        <v>325</v>
      </c>
      <c r="F15" s="8">
        <v>0</v>
      </c>
      <c r="G15" s="4"/>
      <c r="H15" s="4"/>
      <c r="I15" s="4"/>
    </row>
    <row r="16" spans="1:9">
      <c r="A16" s="4" t="s">
        <v>340</v>
      </c>
      <c r="B16" s="4">
        <v>2022</v>
      </c>
      <c r="C16" s="4" t="s">
        <v>332</v>
      </c>
      <c r="D16" s="4" t="s">
        <v>324</v>
      </c>
      <c r="E16" s="4" t="s">
        <v>341</v>
      </c>
      <c r="F16" s="8">
        <v>5</v>
      </c>
      <c r="G16" s="4" t="s">
        <v>342</v>
      </c>
      <c r="H16" s="4" t="s">
        <v>118</v>
      </c>
      <c r="I16" s="4" t="s">
        <v>343</v>
      </c>
    </row>
    <row r="17" spans="1:9">
      <c r="A17" s="4" t="s">
        <v>344</v>
      </c>
      <c r="B17" s="4">
        <v>2022</v>
      </c>
      <c r="C17" s="4" t="s">
        <v>345</v>
      </c>
      <c r="D17" s="4" t="s">
        <v>324</v>
      </c>
      <c r="E17" s="4" t="s">
        <v>341</v>
      </c>
      <c r="F17" s="8">
        <v>29</v>
      </c>
      <c r="G17" s="4" t="s">
        <v>346</v>
      </c>
      <c r="H17" s="4" t="s">
        <v>116</v>
      </c>
      <c r="I17" s="4" t="s">
        <v>343</v>
      </c>
    </row>
    <row r="18" spans="1:9">
      <c r="A18" s="4" t="s">
        <v>347</v>
      </c>
      <c r="B18" s="4">
        <v>2022</v>
      </c>
      <c r="C18" s="4" t="s">
        <v>345</v>
      </c>
      <c r="D18" s="4" t="s">
        <v>324</v>
      </c>
      <c r="E18" s="4" t="s">
        <v>341</v>
      </c>
      <c r="F18" s="8">
        <v>50</v>
      </c>
      <c r="G18" s="4" t="s">
        <v>348</v>
      </c>
      <c r="H18" s="4" t="s">
        <v>117</v>
      </c>
      <c r="I18" s="4" t="s">
        <v>343</v>
      </c>
    </row>
    <row r="19" spans="1:9">
      <c r="A19" s="4" t="s">
        <v>349</v>
      </c>
      <c r="B19" s="4">
        <v>2022</v>
      </c>
      <c r="C19" s="4" t="s">
        <v>332</v>
      </c>
      <c r="D19" s="4" t="s">
        <v>324</v>
      </c>
      <c r="E19" s="4" t="s">
        <v>325</v>
      </c>
      <c r="F19" s="8">
        <v>0</v>
      </c>
      <c r="G19" s="4"/>
      <c r="H19" s="4"/>
      <c r="I19" s="4"/>
    </row>
    <row r="20" spans="1:9">
      <c r="A20" s="4" t="s">
        <v>350</v>
      </c>
      <c r="B20" s="4">
        <v>2023</v>
      </c>
      <c r="C20" s="4" t="s">
        <v>351</v>
      </c>
      <c r="D20" s="4" t="s">
        <v>352</v>
      </c>
      <c r="E20" s="4" t="s">
        <v>341</v>
      </c>
      <c r="F20" s="8">
        <v>3</v>
      </c>
      <c r="G20" s="4"/>
      <c r="H20" s="4"/>
      <c r="I20" s="4"/>
    </row>
    <row r="21" spans="1:9">
      <c r="A21" s="4" t="s">
        <v>353</v>
      </c>
      <c r="B21" s="4">
        <v>2023</v>
      </c>
      <c r="C21" s="4" t="s">
        <v>323</v>
      </c>
      <c r="D21" s="4" t="s">
        <v>328</v>
      </c>
      <c r="E21" s="4" t="s">
        <v>341</v>
      </c>
      <c r="F21" s="8">
        <v>5</v>
      </c>
      <c r="G21" s="4"/>
      <c r="H21" s="4"/>
      <c r="I21" s="4"/>
    </row>
    <row r="22" spans="1:9">
      <c r="A22" s="4" t="s">
        <v>354</v>
      </c>
      <c r="B22" s="4">
        <v>2023</v>
      </c>
      <c r="C22" s="4" t="s">
        <v>323</v>
      </c>
      <c r="D22" s="4" t="s">
        <v>328</v>
      </c>
      <c r="E22" s="4" t="s">
        <v>341</v>
      </c>
      <c r="F22" s="8">
        <v>3</v>
      </c>
      <c r="G22" s="4"/>
      <c r="H22" s="4"/>
      <c r="I22" s="4"/>
    </row>
    <row r="23" spans="1:9">
      <c r="A23" s="4" t="s">
        <v>355</v>
      </c>
      <c r="B23" s="4">
        <v>2023</v>
      </c>
      <c r="C23" s="4" t="s">
        <v>323</v>
      </c>
      <c r="D23" s="4" t="s">
        <v>324</v>
      </c>
      <c r="E23" s="4" t="s">
        <v>341</v>
      </c>
      <c r="F23" s="8">
        <v>3</v>
      </c>
      <c r="G23" s="4"/>
      <c r="H23" s="4"/>
      <c r="I23" s="4"/>
    </row>
    <row r="24" spans="1:9">
      <c r="A24" s="4" t="s">
        <v>356</v>
      </c>
      <c r="B24" s="4">
        <v>2023</v>
      </c>
      <c r="C24" s="4" t="s">
        <v>332</v>
      </c>
      <c r="D24" s="4" t="s">
        <v>328</v>
      </c>
      <c r="E24" s="4" t="s">
        <v>341</v>
      </c>
      <c r="F24" s="8">
        <v>5</v>
      </c>
      <c r="G24" s="4"/>
      <c r="H24" s="4"/>
      <c r="I24" s="4"/>
    </row>
    <row r="25" spans="1:9">
      <c r="A25" s="4" t="s">
        <v>357</v>
      </c>
      <c r="B25" s="4">
        <v>2023</v>
      </c>
      <c r="C25" s="4" t="s">
        <v>332</v>
      </c>
      <c r="D25" s="4" t="s">
        <v>324</v>
      </c>
      <c r="E25" s="4" t="s">
        <v>341</v>
      </c>
      <c r="F25" s="8">
        <v>1</v>
      </c>
      <c r="G25" s="4"/>
      <c r="H25" s="4"/>
      <c r="I25" s="4"/>
    </row>
    <row r="26" spans="1:9">
      <c r="A26" s="4" t="s">
        <v>358</v>
      </c>
      <c r="B26" s="4">
        <v>2023</v>
      </c>
      <c r="C26" s="4" t="s">
        <v>359</v>
      </c>
      <c r="D26" s="4" t="s">
        <v>328</v>
      </c>
      <c r="E26" s="4" t="s">
        <v>341</v>
      </c>
      <c r="F26" s="8">
        <v>50</v>
      </c>
      <c r="G26" s="4" t="s">
        <v>360</v>
      </c>
      <c r="H26" s="4" t="s">
        <v>86</v>
      </c>
      <c r="I26" s="4" t="s">
        <v>361</v>
      </c>
    </row>
    <row r="27" spans="1:9">
      <c r="A27" s="4" t="s">
        <v>362</v>
      </c>
      <c r="B27" s="4">
        <v>2024</v>
      </c>
      <c r="C27" s="4" t="s">
        <v>345</v>
      </c>
      <c r="D27" s="4" t="s">
        <v>328</v>
      </c>
      <c r="E27" s="4" t="s">
        <v>341</v>
      </c>
      <c r="F27" s="8">
        <v>58</v>
      </c>
      <c r="G27" s="4" t="s">
        <v>363</v>
      </c>
      <c r="H27" s="4" t="s">
        <v>86</v>
      </c>
      <c r="I27" s="4" t="s">
        <v>343</v>
      </c>
    </row>
    <row r="28" spans="1:9">
      <c r="A28" s="4" t="s">
        <v>364</v>
      </c>
      <c r="B28" s="4">
        <v>2024</v>
      </c>
      <c r="C28" s="4" t="s">
        <v>345</v>
      </c>
      <c r="D28" s="4" t="s">
        <v>328</v>
      </c>
      <c r="E28" s="4" t="s">
        <v>341</v>
      </c>
      <c r="F28" s="8">
        <v>43</v>
      </c>
      <c r="G28" s="4" t="s">
        <v>365</v>
      </c>
      <c r="H28" s="4" t="s">
        <v>117</v>
      </c>
      <c r="I28" s="4" t="s">
        <v>343</v>
      </c>
    </row>
    <row r="29" spans="1:9">
      <c r="A29" s="4" t="s">
        <v>366</v>
      </c>
      <c r="B29" s="4">
        <v>2024</v>
      </c>
      <c r="C29" s="4" t="s">
        <v>345</v>
      </c>
      <c r="D29" s="4" t="s">
        <v>328</v>
      </c>
      <c r="E29" s="4" t="s">
        <v>341</v>
      </c>
      <c r="F29" s="8">
        <v>13.25</v>
      </c>
      <c r="G29" s="4" t="s">
        <v>367</v>
      </c>
      <c r="H29" s="4" t="s">
        <v>116</v>
      </c>
      <c r="I29" s="4" t="s">
        <v>343</v>
      </c>
    </row>
    <row r="30" spans="1:9">
      <c r="A30" s="4" t="s">
        <v>368</v>
      </c>
      <c r="B30" s="4">
        <v>2024</v>
      </c>
      <c r="C30" s="4" t="s">
        <v>345</v>
      </c>
      <c r="D30" s="4" t="s">
        <v>324</v>
      </c>
      <c r="E30" s="4" t="s">
        <v>341</v>
      </c>
      <c r="F30" s="8">
        <v>8.5</v>
      </c>
      <c r="G30" s="4" t="s">
        <v>369</v>
      </c>
      <c r="H30" s="4" t="s">
        <v>86</v>
      </c>
      <c r="I30" s="4" t="s">
        <v>343</v>
      </c>
    </row>
    <row r="31" spans="1:9">
      <c r="A31" s="4" t="s">
        <v>370</v>
      </c>
      <c r="B31" s="4">
        <v>2024</v>
      </c>
      <c r="C31" s="4" t="s">
        <v>351</v>
      </c>
      <c r="D31" s="4" t="s">
        <v>324</v>
      </c>
      <c r="E31" s="4" t="s">
        <v>341</v>
      </c>
      <c r="F31" s="8">
        <v>3</v>
      </c>
      <c r="G31" s="4"/>
      <c r="H31" s="4"/>
      <c r="I31" s="4"/>
    </row>
    <row r="32" spans="1:9">
      <c r="A32" s="4" t="s">
        <v>371</v>
      </c>
      <c r="B32" s="4">
        <v>2024</v>
      </c>
      <c r="C32" s="4" t="s">
        <v>359</v>
      </c>
      <c r="D32" s="4" t="s">
        <v>324</v>
      </c>
      <c r="E32" s="4" t="s">
        <v>372</v>
      </c>
      <c r="F32" s="8">
        <v>0</v>
      </c>
      <c r="G32" s="4"/>
      <c r="H32" s="4"/>
      <c r="I32" s="4"/>
    </row>
    <row r="33" spans="1:9">
      <c r="A33" s="4" t="s">
        <v>373</v>
      </c>
      <c r="B33" s="4">
        <v>2024</v>
      </c>
      <c r="C33" s="4" t="s">
        <v>351</v>
      </c>
      <c r="D33" s="4" t="s">
        <v>324</v>
      </c>
      <c r="E33" s="4" t="s">
        <v>372</v>
      </c>
      <c r="F33" s="8">
        <v>0</v>
      </c>
      <c r="G33" s="4"/>
      <c r="H33" s="4"/>
      <c r="I33" s="4"/>
    </row>
    <row r="34" spans="1:9">
      <c r="A34" s="4" t="s">
        <v>374</v>
      </c>
      <c r="B34" s="4">
        <v>2024</v>
      </c>
      <c r="C34" s="4" t="s">
        <v>359</v>
      </c>
      <c r="D34" s="4" t="s">
        <v>324</v>
      </c>
      <c r="E34" s="4" t="s">
        <v>372</v>
      </c>
      <c r="F34" s="8">
        <v>0</v>
      </c>
      <c r="G34" s="4"/>
      <c r="H34" s="4"/>
      <c r="I34" s="4"/>
    </row>
    <row r="35" spans="1:9">
      <c r="A35" s="4" t="s">
        <v>375</v>
      </c>
      <c r="B35" s="4">
        <v>2025</v>
      </c>
      <c r="C35" s="4" t="s">
        <v>332</v>
      </c>
      <c r="D35" s="4" t="s">
        <v>328</v>
      </c>
      <c r="E35" s="4" t="s">
        <v>341</v>
      </c>
      <c r="F35" s="8">
        <v>5</v>
      </c>
      <c r="G35" s="4"/>
      <c r="H35" s="4"/>
      <c r="I35" s="4"/>
    </row>
    <row r="36" spans="1:9">
      <c r="A36" s="4" t="s">
        <v>376</v>
      </c>
      <c r="B36" s="4">
        <v>2025</v>
      </c>
      <c r="C36" s="4" t="s">
        <v>332</v>
      </c>
      <c r="D36" s="4" t="s">
        <v>328</v>
      </c>
      <c r="E36" s="4" t="s">
        <v>325</v>
      </c>
      <c r="F36" s="8">
        <v>0</v>
      </c>
      <c r="G36" s="4"/>
      <c r="H36" s="4"/>
      <c r="I36" s="4"/>
    </row>
    <row r="37" spans="1:9">
      <c r="A37" s="4" t="s">
        <v>377</v>
      </c>
      <c r="B37" s="4">
        <v>2025</v>
      </c>
      <c r="C37" s="4" t="s">
        <v>332</v>
      </c>
      <c r="D37" s="4" t="s">
        <v>328</v>
      </c>
      <c r="E37" s="4" t="s">
        <v>325</v>
      </c>
      <c r="F37" s="8">
        <v>0</v>
      </c>
      <c r="G37" s="4"/>
      <c r="H37" s="4"/>
      <c r="I37" s="4"/>
    </row>
    <row r="38" spans="1:9">
      <c r="A38" s="4" t="s">
        <v>378</v>
      </c>
      <c r="B38" s="4">
        <v>2025</v>
      </c>
      <c r="C38" s="4" t="s">
        <v>332</v>
      </c>
      <c r="D38" s="4" t="s">
        <v>328</v>
      </c>
      <c r="E38" s="4" t="s">
        <v>325</v>
      </c>
      <c r="F38" s="8">
        <v>0</v>
      </c>
      <c r="G38" s="4"/>
      <c r="H38" s="4"/>
      <c r="I38" s="4"/>
    </row>
    <row r="39" spans="1:9">
      <c r="A39" s="4" t="s">
        <v>379</v>
      </c>
      <c r="B39" s="4">
        <v>2025</v>
      </c>
      <c r="C39" s="4" t="s">
        <v>345</v>
      </c>
      <c r="D39" s="4" t="s">
        <v>328</v>
      </c>
      <c r="E39" s="4" t="s">
        <v>341</v>
      </c>
      <c r="F39" s="8">
        <v>30</v>
      </c>
      <c r="G39" s="4" t="s">
        <v>380</v>
      </c>
      <c r="H39" s="4" t="s">
        <v>86</v>
      </c>
      <c r="I39" s="4" t="s">
        <v>343</v>
      </c>
    </row>
    <row r="40" spans="1:9">
      <c r="A40" s="4" t="s">
        <v>381</v>
      </c>
      <c r="B40" s="4">
        <v>2025</v>
      </c>
      <c r="C40" s="4" t="s">
        <v>345</v>
      </c>
      <c r="D40" s="4" t="s">
        <v>328</v>
      </c>
      <c r="E40" s="4" t="s">
        <v>341</v>
      </c>
      <c r="F40" s="8">
        <v>30</v>
      </c>
      <c r="G40" s="4" t="s">
        <v>382</v>
      </c>
      <c r="H40" s="4" t="s">
        <v>86</v>
      </c>
      <c r="I40" s="4" t="s">
        <v>343</v>
      </c>
    </row>
    <row r="41" spans="1:9">
      <c r="A41" s="4" t="s">
        <v>383</v>
      </c>
      <c r="B41" s="4">
        <v>2025</v>
      </c>
      <c r="C41" s="4" t="s">
        <v>345</v>
      </c>
      <c r="D41" s="4" t="s">
        <v>384</v>
      </c>
      <c r="E41" s="4" t="s">
        <v>341</v>
      </c>
      <c r="F41" s="8">
        <v>80</v>
      </c>
      <c r="G41" s="4" t="s">
        <v>385</v>
      </c>
      <c r="H41" s="4" t="s">
        <v>111</v>
      </c>
      <c r="I41" s="4" t="s">
        <v>386</v>
      </c>
    </row>
    <row r="42" spans="1:9">
      <c r="E42" s="3" t="s">
        <v>387</v>
      </c>
      <c r="F42" s="8">
        <f>SUM(F4:F41)</f>
        <v>424.75</v>
      </c>
    </row>
    <row r="44" spans="1:9">
      <c r="A44" s="2"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17"/>
  <sheetViews>
    <sheetView workbookViewId="0"/>
  </sheetViews>
  <sheetFormatPr defaultRowHeight="15"/>
  <cols>
    <col min="1" max="1" width="22.7109375" customWidth="1"/>
    <col min="2" max="2" width="60.7109375" customWidth="1"/>
    <col min="3" max="3" width="8.7109375" customWidth="1"/>
    <col min="4" max="6" width="28.7109375" customWidth="1"/>
    <col min="7" max="8" width="20.7109375" customWidth="1"/>
  </cols>
  <sheetData>
    <row r="1" spans="1:8">
      <c r="A1" s="1" t="s">
        <v>389</v>
      </c>
    </row>
    <row r="3" spans="1:8">
      <c r="A3" s="3" t="s">
        <v>104</v>
      </c>
      <c r="B3" s="3" t="s">
        <v>390</v>
      </c>
      <c r="C3" s="3" t="s">
        <v>391</v>
      </c>
      <c r="D3" s="3" t="s">
        <v>46</v>
      </c>
      <c r="E3" s="3" t="s">
        <v>392</v>
      </c>
      <c r="F3" s="3" t="s">
        <v>393</v>
      </c>
      <c r="G3" s="3" t="s">
        <v>394</v>
      </c>
      <c r="H3" s="3" t="s">
        <v>395</v>
      </c>
    </row>
    <row r="4" spans="1:8">
      <c r="A4" s="4" t="s">
        <v>108</v>
      </c>
      <c r="B4" s="4" t="s">
        <v>396</v>
      </c>
      <c r="C4" s="4" t="s">
        <v>397</v>
      </c>
      <c r="D4" s="4">
        <v>2021</v>
      </c>
      <c r="E4" s="4" t="s">
        <v>105</v>
      </c>
      <c r="F4" s="4" t="s">
        <v>398</v>
      </c>
      <c r="G4" s="4" t="s">
        <v>399</v>
      </c>
      <c r="H4" s="4" t="s">
        <v>400</v>
      </c>
    </row>
    <row r="5" spans="1:8">
      <c r="A5" s="4" t="s">
        <v>108</v>
      </c>
      <c r="B5" s="4" t="s">
        <v>401</v>
      </c>
      <c r="C5" s="4" t="s">
        <v>402</v>
      </c>
      <c r="D5" s="4">
        <v>2023</v>
      </c>
      <c r="E5" s="4" t="s">
        <v>105</v>
      </c>
      <c r="F5" s="4" t="s">
        <v>398</v>
      </c>
      <c r="G5" s="4" t="s">
        <v>399</v>
      </c>
      <c r="H5" s="4" t="s">
        <v>400</v>
      </c>
    </row>
    <row r="6" spans="1:8">
      <c r="A6" s="4" t="s">
        <v>109</v>
      </c>
      <c r="B6" s="4" t="s">
        <v>403</v>
      </c>
      <c r="C6" s="4" t="s">
        <v>404</v>
      </c>
      <c r="D6" s="4">
        <v>2023</v>
      </c>
      <c r="E6" s="4" t="s">
        <v>105</v>
      </c>
      <c r="F6" s="4" t="s">
        <v>398</v>
      </c>
      <c r="G6" s="4" t="s">
        <v>399</v>
      </c>
      <c r="H6" s="4" t="s">
        <v>400</v>
      </c>
    </row>
    <row r="7" spans="1:8">
      <c r="A7" s="4" t="s">
        <v>109</v>
      </c>
      <c r="B7" s="4" t="s">
        <v>405</v>
      </c>
      <c r="C7" s="4" t="s">
        <v>406</v>
      </c>
      <c r="D7" s="4">
        <v>2025</v>
      </c>
      <c r="E7" s="4" t="s">
        <v>105</v>
      </c>
      <c r="F7" s="4" t="s">
        <v>398</v>
      </c>
      <c r="G7" s="4" t="s">
        <v>399</v>
      </c>
      <c r="H7" s="4" t="s">
        <v>400</v>
      </c>
    </row>
    <row r="8" spans="1:8">
      <c r="A8" s="4" t="s">
        <v>109</v>
      </c>
      <c r="B8" s="4" t="s">
        <v>407</v>
      </c>
      <c r="C8" s="4" t="s">
        <v>408</v>
      </c>
      <c r="D8" s="4">
        <v>2023</v>
      </c>
      <c r="E8" s="4" t="s">
        <v>107</v>
      </c>
      <c r="F8" s="4" t="s">
        <v>409</v>
      </c>
      <c r="G8" s="4" t="s">
        <v>410</v>
      </c>
      <c r="H8" s="4" t="s">
        <v>400</v>
      </c>
    </row>
    <row r="9" spans="1:8">
      <c r="A9" s="4" t="s">
        <v>110</v>
      </c>
      <c r="B9" s="4" t="s">
        <v>411</v>
      </c>
      <c r="C9" s="4" t="s">
        <v>412</v>
      </c>
      <c r="D9" s="4">
        <v>2024</v>
      </c>
      <c r="E9" s="4" t="s">
        <v>413</v>
      </c>
      <c r="F9" s="4" t="s">
        <v>409</v>
      </c>
      <c r="G9" s="4" t="s">
        <v>410</v>
      </c>
      <c r="H9" s="4" t="s">
        <v>400</v>
      </c>
    </row>
    <row r="10" spans="1:8">
      <c r="A10" s="4" t="s">
        <v>110</v>
      </c>
      <c r="B10" s="4" t="s">
        <v>414</v>
      </c>
      <c r="C10" s="4" t="s">
        <v>415</v>
      </c>
      <c r="D10" s="4">
        <v>2024</v>
      </c>
      <c r="E10" s="4" t="s">
        <v>413</v>
      </c>
      <c r="F10" s="4" t="s">
        <v>409</v>
      </c>
      <c r="G10" s="4" t="s">
        <v>410</v>
      </c>
      <c r="H10" s="4" t="s">
        <v>400</v>
      </c>
    </row>
    <row r="11" spans="1:8">
      <c r="A11" s="4" t="s">
        <v>110</v>
      </c>
      <c r="B11" s="4" t="s">
        <v>416</v>
      </c>
      <c r="C11" s="4" t="s">
        <v>417</v>
      </c>
      <c r="D11" s="4">
        <v>2024</v>
      </c>
      <c r="E11" s="4" t="s">
        <v>413</v>
      </c>
      <c r="F11" s="4" t="s">
        <v>409</v>
      </c>
      <c r="G11" s="4" t="s">
        <v>410</v>
      </c>
      <c r="H11" s="4" t="s">
        <v>400</v>
      </c>
    </row>
    <row r="12" spans="1:8">
      <c r="A12" s="4" t="s">
        <v>110</v>
      </c>
      <c r="B12" s="4" t="s">
        <v>418</v>
      </c>
      <c r="C12" s="4" t="s">
        <v>419</v>
      </c>
      <c r="D12" s="4">
        <v>2024</v>
      </c>
      <c r="E12" s="4" t="s">
        <v>413</v>
      </c>
      <c r="F12" s="4" t="s">
        <v>409</v>
      </c>
      <c r="G12" s="4" t="s">
        <v>410</v>
      </c>
      <c r="H12" s="4" t="s">
        <v>400</v>
      </c>
    </row>
    <row r="13" spans="1:8">
      <c r="A13" s="4" t="s">
        <v>110</v>
      </c>
      <c r="B13" s="4" t="s">
        <v>420</v>
      </c>
      <c r="C13" s="4" t="s">
        <v>421</v>
      </c>
      <c r="D13" s="4">
        <v>2024</v>
      </c>
      <c r="E13" s="4" t="s">
        <v>413</v>
      </c>
      <c r="F13" s="4" t="s">
        <v>409</v>
      </c>
      <c r="G13" s="4" t="s">
        <v>410</v>
      </c>
      <c r="H13" s="4" t="s">
        <v>400</v>
      </c>
    </row>
    <row r="14" spans="1:8">
      <c r="A14" s="4" t="s">
        <v>111</v>
      </c>
      <c r="B14" s="4" t="s">
        <v>422</v>
      </c>
      <c r="C14" s="4" t="s">
        <v>423</v>
      </c>
      <c r="D14" s="4">
        <v>2025</v>
      </c>
      <c r="E14" s="4" t="s">
        <v>107</v>
      </c>
      <c r="F14" s="4" t="s">
        <v>398</v>
      </c>
      <c r="G14" s="4" t="s">
        <v>424</v>
      </c>
      <c r="H14" s="4" t="s">
        <v>400</v>
      </c>
    </row>
    <row r="15" spans="1:8">
      <c r="A15" s="4" t="s">
        <v>111</v>
      </c>
      <c r="B15" s="4" t="s">
        <v>425</v>
      </c>
      <c r="C15" s="4" t="s">
        <v>426</v>
      </c>
      <c r="D15" s="4">
        <v>2026</v>
      </c>
      <c r="E15" s="4" t="s">
        <v>107</v>
      </c>
      <c r="F15" s="4" t="s">
        <v>398</v>
      </c>
      <c r="G15" s="4" t="s">
        <v>424</v>
      </c>
      <c r="H15" s="4" t="s">
        <v>427</v>
      </c>
    </row>
    <row r="17" spans="1:1">
      <c r="A17" s="2" t="s">
        <v>428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E11"/>
  <sheetViews>
    <sheetView workbookViewId="0"/>
  </sheetViews>
  <sheetFormatPr defaultRowHeight="15"/>
  <cols>
    <col min="1" max="5" width="40.7109375" customWidth="1"/>
  </cols>
  <sheetData>
    <row r="1" spans="1:5">
      <c r="A1" s="1" t="s">
        <v>429</v>
      </c>
    </row>
    <row r="3" spans="1:5">
      <c r="A3" s="3" t="s">
        <v>430</v>
      </c>
      <c r="B3" s="3" t="s">
        <v>431</v>
      </c>
      <c r="C3" s="3" t="s">
        <v>432</v>
      </c>
      <c r="D3" s="3" t="s">
        <v>433</v>
      </c>
      <c r="E3" s="3" t="s">
        <v>434</v>
      </c>
    </row>
    <row r="4" spans="1:5">
      <c r="A4" s="4" t="s">
        <v>435</v>
      </c>
      <c r="B4" s="4" t="s">
        <v>436</v>
      </c>
      <c r="C4" s="4" t="s">
        <v>437</v>
      </c>
      <c r="D4" s="4" t="s">
        <v>438</v>
      </c>
      <c r="E4" s="4" t="s">
        <v>439</v>
      </c>
    </row>
    <row r="5" spans="1:5">
      <c r="A5" s="4" t="s">
        <v>440</v>
      </c>
      <c r="B5" s="4" t="s">
        <v>441</v>
      </c>
      <c r="C5" s="4" t="s">
        <v>442</v>
      </c>
      <c r="D5" s="4" t="s">
        <v>443</v>
      </c>
      <c r="E5" s="4" t="s">
        <v>444</v>
      </c>
    </row>
    <row r="6" spans="1:5">
      <c r="A6" s="4" t="s">
        <v>445</v>
      </c>
      <c r="B6" s="4" t="s">
        <v>446</v>
      </c>
      <c r="C6" s="4" t="s">
        <v>447</v>
      </c>
      <c r="D6" s="4" t="s">
        <v>448</v>
      </c>
      <c r="E6" s="4" t="s">
        <v>449</v>
      </c>
    </row>
    <row r="7" spans="1:5">
      <c r="A7" s="4" t="s">
        <v>450</v>
      </c>
      <c r="B7" s="4" t="s">
        <v>451</v>
      </c>
      <c r="C7" s="4" t="s">
        <v>452</v>
      </c>
      <c r="D7" s="4" t="s">
        <v>453</v>
      </c>
      <c r="E7" s="4" t="s">
        <v>454</v>
      </c>
    </row>
    <row r="8" spans="1:5">
      <c r="A8" s="4" t="s">
        <v>455</v>
      </c>
      <c r="B8" s="4" t="s">
        <v>456</v>
      </c>
      <c r="C8" s="4" t="s">
        <v>457</v>
      </c>
      <c r="D8" s="4" t="s">
        <v>458</v>
      </c>
      <c r="E8" s="4" t="s">
        <v>459</v>
      </c>
    </row>
    <row r="9" spans="1:5">
      <c r="A9" s="4" t="s">
        <v>460</v>
      </c>
      <c r="B9" s="4" t="s">
        <v>461</v>
      </c>
      <c r="C9" s="4" t="s">
        <v>462</v>
      </c>
      <c r="D9" s="4" t="s">
        <v>463</v>
      </c>
      <c r="E9" s="4" t="s">
        <v>464</v>
      </c>
    </row>
    <row r="10" spans="1:5">
      <c r="A10" s="4" t="s">
        <v>465</v>
      </c>
      <c r="B10" s="4" t="s">
        <v>466</v>
      </c>
      <c r="C10" s="4" t="s">
        <v>467</v>
      </c>
      <c r="D10" s="4" t="s">
        <v>468</v>
      </c>
      <c r="E10" s="4" t="s">
        <v>469</v>
      </c>
    </row>
    <row r="11" spans="1:5">
      <c r="A11" s="4" t="s">
        <v>470</v>
      </c>
      <c r="B11" s="4" t="s">
        <v>471</v>
      </c>
      <c r="C11" s="4" t="s">
        <v>472</v>
      </c>
      <c r="D11" s="4" t="s">
        <v>473</v>
      </c>
      <c r="E11" s="4" t="s">
        <v>474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H15"/>
  <sheetViews>
    <sheetView workbookViewId="0"/>
  </sheetViews>
  <sheetFormatPr defaultRowHeight="15"/>
  <cols>
    <col min="1" max="1" width="8.7109375" customWidth="1"/>
    <col min="2" max="2" width="60.7109375" customWidth="1"/>
    <col min="3" max="8" width="14.7109375" customWidth="1"/>
  </cols>
  <sheetData>
    <row r="1" spans="1:8">
      <c r="A1" s="1" t="s">
        <v>475</v>
      </c>
    </row>
    <row r="3" spans="1:8">
      <c r="A3" s="3" t="s">
        <v>476</v>
      </c>
      <c r="B3" s="3" t="s">
        <v>477</v>
      </c>
      <c r="C3" s="3" t="s">
        <v>130</v>
      </c>
      <c r="D3" s="3" t="s">
        <v>478</v>
      </c>
      <c r="E3" s="3" t="s">
        <v>479</v>
      </c>
      <c r="F3" s="3" t="s">
        <v>480</v>
      </c>
      <c r="G3" s="3" t="s">
        <v>481</v>
      </c>
      <c r="H3" s="3" t="s">
        <v>482</v>
      </c>
    </row>
    <row r="4" spans="1:8">
      <c r="A4" s="4" t="s">
        <v>483</v>
      </c>
      <c r="B4" s="4" t="s">
        <v>484</v>
      </c>
      <c r="C4" s="4" t="s">
        <v>135</v>
      </c>
      <c r="D4" s="4">
        <v>15</v>
      </c>
      <c r="E4" s="4">
        <v>15</v>
      </c>
      <c r="F4" s="4">
        <v>33</v>
      </c>
      <c r="G4" s="4">
        <v>52</v>
      </c>
      <c r="H4" s="4" t="s">
        <v>485</v>
      </c>
    </row>
    <row r="5" spans="1:8">
      <c r="A5" s="4" t="s">
        <v>486</v>
      </c>
      <c r="B5" s="4" t="s">
        <v>487</v>
      </c>
      <c r="C5" s="4" t="s">
        <v>135</v>
      </c>
      <c r="D5" s="4">
        <v>1</v>
      </c>
      <c r="E5" s="4">
        <v>2</v>
      </c>
      <c r="F5" s="4">
        <v>2</v>
      </c>
      <c r="G5" s="4">
        <v>6</v>
      </c>
      <c r="H5" s="4" t="s">
        <v>488</v>
      </c>
    </row>
    <row r="6" spans="1:8">
      <c r="A6" s="4" t="s">
        <v>489</v>
      </c>
      <c r="B6" s="4" t="s">
        <v>490</v>
      </c>
      <c r="C6" s="4" t="s">
        <v>135</v>
      </c>
      <c r="D6" s="4">
        <v>30</v>
      </c>
      <c r="E6" s="4">
        <v>30</v>
      </c>
      <c r="F6" s="4">
        <v>60</v>
      </c>
      <c r="G6" s="4">
        <v>74</v>
      </c>
      <c r="H6" s="4" t="s">
        <v>491</v>
      </c>
    </row>
    <row r="7" spans="1:8">
      <c r="A7" s="4" t="s">
        <v>492</v>
      </c>
      <c r="B7" s="4" t="s">
        <v>493</v>
      </c>
      <c r="C7" s="4" t="s">
        <v>135</v>
      </c>
      <c r="D7" s="4">
        <v>55</v>
      </c>
      <c r="E7" s="4">
        <v>55</v>
      </c>
      <c r="F7" s="4">
        <v>72</v>
      </c>
      <c r="G7" s="4">
        <v>109</v>
      </c>
      <c r="H7" s="4" t="s">
        <v>494</v>
      </c>
    </row>
    <row r="8" spans="1:8">
      <c r="A8" s="4" t="s">
        <v>495</v>
      </c>
      <c r="B8" s="4" t="s">
        <v>496</v>
      </c>
      <c r="C8" s="4" t="s">
        <v>140</v>
      </c>
      <c r="D8" s="4">
        <v>1</v>
      </c>
      <c r="E8" s="4">
        <v>1</v>
      </c>
      <c r="F8" s="4">
        <v>1</v>
      </c>
      <c r="G8" s="4">
        <v>2</v>
      </c>
      <c r="H8" s="4" t="s">
        <v>497</v>
      </c>
    </row>
    <row r="9" spans="1:8">
      <c r="A9" s="4" t="s">
        <v>498</v>
      </c>
      <c r="B9" s="4" t="s">
        <v>499</v>
      </c>
      <c r="C9" s="4" t="s">
        <v>140</v>
      </c>
      <c r="D9" s="4">
        <v>7</v>
      </c>
      <c r="E9" s="4">
        <v>7</v>
      </c>
      <c r="F9" s="4">
        <v>8</v>
      </c>
      <c r="G9" s="4">
        <v>7</v>
      </c>
      <c r="H9" s="4" t="s">
        <v>500</v>
      </c>
    </row>
    <row r="10" spans="1:8">
      <c r="A10" s="4" t="s">
        <v>501</v>
      </c>
      <c r="B10" s="4" t="s">
        <v>502</v>
      </c>
      <c r="C10" s="4" t="s">
        <v>135</v>
      </c>
      <c r="D10" s="4">
        <v>5</v>
      </c>
      <c r="E10" s="4">
        <v>6</v>
      </c>
      <c r="F10" s="4">
        <v>5</v>
      </c>
      <c r="G10" s="4">
        <v>5</v>
      </c>
      <c r="H10" s="4" t="s">
        <v>503</v>
      </c>
    </row>
    <row r="11" spans="1:8">
      <c r="A11" s="4" t="s">
        <v>504</v>
      </c>
      <c r="B11" s="4" t="s">
        <v>505</v>
      </c>
      <c r="C11" s="4" t="s">
        <v>140</v>
      </c>
      <c r="D11" s="4">
        <v>10</v>
      </c>
      <c r="E11" s="4">
        <v>10</v>
      </c>
      <c r="F11" s="4">
        <v>7</v>
      </c>
      <c r="G11" s="4">
        <v>11</v>
      </c>
      <c r="H11" s="4" t="s">
        <v>506</v>
      </c>
    </row>
    <row r="12" spans="1:8">
      <c r="A12" s="4" t="s">
        <v>507</v>
      </c>
      <c r="B12" s="4" t="s">
        <v>508</v>
      </c>
      <c r="C12" s="4" t="s">
        <v>145</v>
      </c>
      <c r="D12" s="4">
        <v>0</v>
      </c>
      <c r="E12" s="4">
        <v>1</v>
      </c>
      <c r="F12" s="4">
        <v>0</v>
      </c>
      <c r="G12" s="4">
        <v>0</v>
      </c>
      <c r="H12" s="4" t="s">
        <v>509</v>
      </c>
    </row>
    <row r="13" spans="1:8">
      <c r="A13" s="4" t="s">
        <v>510</v>
      </c>
      <c r="B13" s="4" t="s">
        <v>511</v>
      </c>
      <c r="C13" s="4" t="s">
        <v>145</v>
      </c>
      <c r="D13" s="4">
        <v>2</v>
      </c>
      <c r="E13" s="4">
        <v>2</v>
      </c>
      <c r="F13" s="4" t="s">
        <v>512</v>
      </c>
      <c r="G13" s="4" t="s">
        <v>512</v>
      </c>
      <c r="H13" s="4" t="s">
        <v>512</v>
      </c>
    </row>
    <row r="15" spans="1:8">
      <c r="A15" s="2" t="s">
        <v>513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514</v>
      </c>
    </row>
    <row r="3" spans="1:4">
      <c r="A3" s="3" t="s">
        <v>130</v>
      </c>
      <c r="B3" s="3" t="s">
        <v>515</v>
      </c>
      <c r="C3" s="3" t="s">
        <v>516</v>
      </c>
      <c r="D3" s="3" t="s">
        <v>517</v>
      </c>
    </row>
    <row r="4" spans="1:4">
      <c r="A4" s="4" t="s">
        <v>98</v>
      </c>
      <c r="B4" s="4" t="s">
        <v>518</v>
      </c>
      <c r="C4" s="4" t="s">
        <v>96</v>
      </c>
      <c r="D4" s="4" t="s">
        <v>519</v>
      </c>
    </row>
    <row r="5" spans="1:4">
      <c r="A5" s="4" t="s">
        <v>98</v>
      </c>
      <c r="B5" s="4" t="s">
        <v>520</v>
      </c>
      <c r="C5" s="4" t="s">
        <v>95</v>
      </c>
      <c r="D5" s="4" t="s">
        <v>521</v>
      </c>
    </row>
    <row r="6" spans="1:4">
      <c r="A6" s="4" t="s">
        <v>98</v>
      </c>
      <c r="B6" s="4" t="s">
        <v>522</v>
      </c>
      <c r="C6" s="4" t="s">
        <v>97</v>
      </c>
      <c r="D6" s="4" t="s">
        <v>523</v>
      </c>
    </row>
    <row r="7" spans="1:4">
      <c r="A7" s="4" t="s">
        <v>99</v>
      </c>
      <c r="B7" s="4" t="s">
        <v>524</v>
      </c>
      <c r="C7" s="4" t="s">
        <v>95</v>
      </c>
      <c r="D7" s="4" t="s">
        <v>525</v>
      </c>
    </row>
    <row r="8" spans="1:4">
      <c r="A8" s="4" t="s">
        <v>99</v>
      </c>
      <c r="B8" s="4" t="s">
        <v>526</v>
      </c>
      <c r="C8" s="4" t="s">
        <v>97</v>
      </c>
      <c r="D8" s="4" t="s">
        <v>527</v>
      </c>
    </row>
    <row r="9" spans="1:4">
      <c r="A9" s="4" t="s">
        <v>99</v>
      </c>
      <c r="B9" s="4" t="s">
        <v>528</v>
      </c>
      <c r="C9" s="4" t="s">
        <v>96</v>
      </c>
      <c r="D9" s="4" t="s">
        <v>529</v>
      </c>
    </row>
    <row r="10" spans="1:4">
      <c r="A10" s="4" t="s">
        <v>99</v>
      </c>
      <c r="B10" s="4" t="s">
        <v>530</v>
      </c>
      <c r="C10" s="4" t="s">
        <v>97</v>
      </c>
      <c r="D10" s="4" t="s">
        <v>531</v>
      </c>
    </row>
    <row r="11" spans="1:4">
      <c r="A11" s="4" t="s">
        <v>100</v>
      </c>
      <c r="B11" s="4" t="s">
        <v>532</v>
      </c>
      <c r="C11" s="4" t="s">
        <v>95</v>
      </c>
      <c r="D11" s="4" t="s">
        <v>533</v>
      </c>
    </row>
    <row r="12" spans="1:4">
      <c r="A12" s="4" t="s">
        <v>100</v>
      </c>
      <c r="B12" s="4" t="s">
        <v>534</v>
      </c>
      <c r="C12" s="4" t="s">
        <v>96</v>
      </c>
      <c r="D12" s="4" t="s">
        <v>535</v>
      </c>
    </row>
    <row r="13" spans="1:4">
      <c r="A13" s="4" t="s">
        <v>100</v>
      </c>
      <c r="B13" s="4" t="s">
        <v>536</v>
      </c>
      <c r="C13" s="4" t="s">
        <v>95</v>
      </c>
      <c r="D13" s="4" t="s">
        <v>533</v>
      </c>
    </row>
    <row r="14" spans="1:4">
      <c r="A14" s="4" t="s">
        <v>100</v>
      </c>
      <c r="B14" s="4" t="s">
        <v>537</v>
      </c>
      <c r="C14" s="4" t="s">
        <v>96</v>
      </c>
      <c r="D14" s="4" t="s">
        <v>538</v>
      </c>
    </row>
    <row r="15" spans="1:4">
      <c r="A15" s="4" t="s">
        <v>101</v>
      </c>
      <c r="B15" s="4" t="s">
        <v>539</v>
      </c>
      <c r="C15" s="4" t="s">
        <v>96</v>
      </c>
      <c r="D15" s="4" t="s">
        <v>540</v>
      </c>
    </row>
    <row r="16" spans="1:4">
      <c r="A16" s="4" t="s">
        <v>101</v>
      </c>
      <c r="B16" s="4" t="s">
        <v>541</v>
      </c>
      <c r="C16" s="4" t="s">
        <v>97</v>
      </c>
      <c r="D16" s="4" t="s">
        <v>542</v>
      </c>
    </row>
    <row r="17" spans="1:4">
      <c r="A17" s="4" t="s">
        <v>101</v>
      </c>
      <c r="B17" s="4" t="s">
        <v>543</v>
      </c>
      <c r="C17" s="4" t="s">
        <v>97</v>
      </c>
      <c r="D17" s="4" t="s">
        <v>544</v>
      </c>
    </row>
    <row r="18" spans="1:4">
      <c r="A18" s="4" t="s">
        <v>101</v>
      </c>
      <c r="B18" s="4" t="s">
        <v>545</v>
      </c>
      <c r="C18" s="4" t="s">
        <v>97</v>
      </c>
      <c r="D18" s="4" t="s">
        <v>546</v>
      </c>
    </row>
    <row r="19" spans="1:4">
      <c r="A19" s="4" t="s">
        <v>101</v>
      </c>
      <c r="B19" s="4" t="s">
        <v>547</v>
      </c>
      <c r="C19" s="4" t="s">
        <v>97</v>
      </c>
      <c r="D19" s="4" t="s">
        <v>548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Muc_luc</vt:lpstr>
      <vt:lpstr>H2.1</vt:lpstr>
      <vt:lpstr>H2.2</vt:lpstr>
      <vt:lpstr>H2.4</vt:lpstr>
      <vt:lpstr>H2.5</vt:lpstr>
      <vt:lpstr>H2.6</vt:lpstr>
      <vt:lpstr>H2.7</vt:lpstr>
      <vt:lpstr>H2.8</vt:lpstr>
      <vt:lpstr>H2.9</vt:lpstr>
      <vt:lpstr>H2.10</vt:lpstr>
      <vt:lpstr>Nhat_ky_chuan_hoa</vt:lpstr>
      <vt:lpstr>DL_De_tai</vt:lpstr>
      <vt:lpstr>DL_TSTT</vt:lpstr>
      <vt:lpstr>DL_Quy_dinh_loi_ich</vt:lpstr>
      <vt:lpstr>DL_Ke_hoach_07</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2026-10-02T10:37:22Z</dcterms:created>
  <dcterms:modified xsi:type="dcterms:W3CDTF">2026-10-02T10:37:22Z</dcterms:modified>
</cp:coreProperties>
</file>