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uc_luc" sheetId="1" r:id="rId1"/>
    <sheet name="H2.1" sheetId="2" r:id="rId2"/>
    <sheet name="H2.2" sheetId="3" r:id="rId3"/>
    <sheet name="H2.3" sheetId="4" r:id="rId4"/>
    <sheet name="H2.4" sheetId="5" r:id="rId5"/>
    <sheet name="H2.5" sheetId="6" r:id="rId6"/>
    <sheet name="H2.6" sheetId="7" r:id="rId7"/>
    <sheet name="H2.7" sheetId="8" r:id="rId8"/>
    <sheet name="H2.8" sheetId="9" r:id="rId9"/>
    <sheet name="H2.9" sheetId="10" r:id="rId10"/>
    <sheet name="Nhat_ky_chuan_hoa" sheetId="11" r:id="rId11"/>
    <sheet name="DL_De_tai" sheetId="12" r:id="rId12"/>
    <sheet name="DL_TSTT" sheetId="13" r:id="rId13"/>
    <sheet name="DL_Tieu_chi" sheetId="14" r:id="rId14"/>
  </sheets>
  <calcPr calcId="124519" fullCalcOnLoad="1"/>
</workbook>
</file>

<file path=xl/sharedStrings.xml><?xml version="1.0" encoding="utf-8"?>
<sst xmlns="http://schemas.openxmlformats.org/spreadsheetml/2006/main" count="636" uniqueCount="409">
  <si>
    <t>DỮ LIỆU VÀ BIỂU ĐỒ CHƯƠNG 2 - THỰC TRẠNG QUẢN LÝ QUYỀN SỞ HỮU TRÍ TUỆ TẠI TRƯỜNG ĐẠI HỌC THÀNH ĐÔ</t>
  </si>
  <si>
    <t>Mỗi hình có một sheet riêng gồm bảng dữ liệu và biểu đồ Excel. Sửa số liệu trong bảng thì biểu đồ tự cập nhật. Biểu đồ trong tệp Word được nhúng kèm dữ liệu, sửa bằng lệnh Chỉnh sửa dữ liệu của Word.</t>
  </si>
  <si>
    <t>Hình</t>
  </si>
  <si>
    <t>Tên hình</t>
  </si>
  <si>
    <t>Sheet</t>
  </si>
  <si>
    <t>Hình 2.1</t>
  </si>
  <si>
    <t>Cơ cấu và diễn biến sản phẩm khoa học theo năm, giai đoạn 2021 - 2025</t>
  </si>
  <si>
    <t>H2.1</t>
  </si>
  <si>
    <t>Hình 2.2</t>
  </si>
  <si>
    <t>Mô phỏng phần lợi ích của tác giả theo các quy định nội bộ và mức mặc định của Luật Sở hữu trí tuệ</t>
  </si>
  <si>
    <t>H2.2</t>
  </si>
  <si>
    <t>Hình 2.3</t>
  </si>
  <si>
    <t>Số đề tài cấp cơ sở theo hình thức kinh phí và kinh phí Nhà trường cấp, giai đoạn 2021 - 2025</t>
  </si>
  <si>
    <t>H2.3</t>
  </si>
  <si>
    <t>Hình 2.4</t>
  </si>
  <si>
    <t>Giờ nghiên cứu quy đổi và mức thưởng bằng tiền theo loại sản phẩm khoa học</t>
  </si>
  <si>
    <t>H2.4</t>
  </si>
  <si>
    <t>Hình 2.5</t>
  </si>
  <si>
    <t>Khả năng tính toán bộ tiêu chí đánh giá hiệu quả quản lý quyền sở hữu trí tuệ từ dữ liệu hiện có</t>
  </si>
  <si>
    <t>H2.5</t>
  </si>
  <si>
    <t>Hình 2.6</t>
  </si>
  <si>
    <t>Tài sản trí tuệ của Nhà trường theo loại hình và tình trạng pháp lý</t>
  </si>
  <si>
    <t>H2.6</t>
  </si>
  <si>
    <t>Hình 2.7</t>
  </si>
  <si>
    <t>Sản phẩm đề tài cấp cơ sở đủ điều kiện xác lập quyền theo nhóm quyền có thể xác lập</t>
  </si>
  <si>
    <t>H2.7</t>
  </si>
  <si>
    <t>Hình 2.8</t>
  </si>
  <si>
    <t>Chuỗi chuyển hóa từ đề tài cấp cơ sở sang đơn đăng ký sở hữu công nghiệp</t>
  </si>
  <si>
    <t>H2.8</t>
  </si>
  <si>
    <t>Hình 2.9</t>
  </si>
  <si>
    <t>Tỷ lệ thực hiện so với chỉ tiêu Kế hoạch 07/KH-ĐHTĐ, cộng dồn hai năm 2024 - 2025</t>
  </si>
  <si>
    <t>H2.9</t>
  </si>
  <si>
    <t>Các chỉnh sửa số liệu so với bản Chương 2 trước</t>
  </si>
  <si>
    <t>Nhat_ky_chuan_hoa</t>
  </si>
  <si>
    <t>Danh mục 38 đề tài cấp cơ sở đã chuẩn hóa, không gồm thông tin cá nhân</t>
  </si>
  <si>
    <t>DL_De_tai</t>
  </si>
  <si>
    <t>Danh mục 12 tài sản trí tuệ thuộc sở hữu của Nhà trường</t>
  </si>
  <si>
    <t>DL_TSTT</t>
  </si>
  <si>
    <t>Đánh giá khả năng tính toán 16 tiêu chí tại Mục 1.4.2</t>
  </si>
  <si>
    <t>DL_Tieu_chi</t>
  </si>
  <si>
    <t>Hình 2.1. Cơ cấu và diễn biến sản phẩm khoa học theo năm, giai đoạn 2021 - 2025</t>
  </si>
  <si>
    <t>Nguồn: Nhóm nghiên cứu tổng hợp từ các danh mục thống kê của Phòng Khoa học Công nghệ, Trường Đại học Thành Đô. Không gồm 21 tham luận hội thảo quốc gia do danh mục không có trường thời gian.</t>
  </si>
  <si>
    <t>Năm</t>
  </si>
  <si>
    <t>Bài báo trong nước</t>
  </si>
  <si>
    <t>Bài báo quốc tế</t>
  </si>
  <si>
    <t>Giáo trình, tài liệu</t>
  </si>
  <si>
    <t>Đề tài cấp cơ sở</t>
  </si>
  <si>
    <t>Sách</t>
  </si>
  <si>
    <t>Tham luận quốc tế</t>
  </si>
  <si>
    <t>Đề tài cấp quốc gia</t>
  </si>
  <si>
    <t>Tổng số</t>
  </si>
  <si>
    <t>2021</t>
  </si>
  <si>
    <t>2022</t>
  </si>
  <si>
    <t>2023</t>
  </si>
  <si>
    <t>2024</t>
  </si>
  <si>
    <t>2025</t>
  </si>
  <si>
    <t>Hình 2.2. Mô phỏng phần lợi ích của tác giả theo các quy định nội bộ và mức mặc định của Luật Sở hữu trí tuệ</t>
  </si>
  <si>
    <t>Nguồn: Nhóm nghiên cứu mô phỏng từ Điều 36 Quyết định 213, Điều 9 Điều lệ Quỹ Học bổng sau tiến sĩ Ngô Xuân Độ và điểm b khoản 1 Điều 135 Luật Sở hữu trí tuệ. Khoản thu là số tiền nhận được từ một hợp đồng chuyển giao sau khi trừ chi phí hợp lệ; đơn vị: triệu đồng.</t>
  </si>
  <si>
    <t>Khoản thu từ chuyển giao</t>
  </si>
  <si>
    <t>Quyết định 213, điểm a</t>
  </si>
  <si>
    <t>Quyết định 213, điểm b</t>
  </si>
  <si>
    <t>Quỹ Ngô Xuân Độ, năm đầu</t>
  </si>
  <si>
    <t>Quỹ Ngô Xuân Độ, từ năm thứ hai</t>
  </si>
  <si>
    <t>Luật Sở hữu trí tuệ, Điều 135</t>
  </si>
  <si>
    <t>0</t>
  </si>
  <si>
    <t>100</t>
  </si>
  <si>
    <t>200</t>
  </si>
  <si>
    <t>300</t>
  </si>
  <si>
    <t>400</t>
  </si>
  <si>
    <t>500</t>
  </si>
  <si>
    <t>600</t>
  </si>
  <si>
    <t>700</t>
  </si>
  <si>
    <t>Hình 2.3. Số đề tài cấp cơ sở theo hình thức kinh phí và kinh phí Nhà trường cấp, giai đoạn 2021 - 2025</t>
  </si>
  <si>
    <t>Nguồn: Nhóm nghiên cứu tổng hợp từ danh mục đề tài khoa học công nghệ cấp cơ sở giai đoạn 2021 - 2025. Đề tài xếp theo năm ghi trong mã số; kinh phí đơn vị triệu đồng.</t>
  </si>
  <si>
    <t>Được cấp kinh phí bằng tiền</t>
  </si>
  <si>
    <t>Chỉ quy đổi giờ nghiên cứu</t>
  </si>
  <si>
    <t>Tự tìm nguồn tài trợ</t>
  </si>
  <si>
    <t>Kinh phí Nhà trường cấp (triệu đồng)</t>
  </si>
  <si>
    <t>Hình 2.4. Giờ nghiên cứu quy đổi và mức thưởng bằng tiền theo loại sản phẩm khoa học</t>
  </si>
  <si>
    <t>Nguồn: Nhóm nghiên cứu tổng hợp từ Bảng 6 và Bảng 7, Quy chế chi tiêu nội bộ Trường Đại học Thành Đô ban hành ngày 01 tháng 8 năm 2026. Sáng chế chuẩn quốc tế là bằng độc quyền theo chuẩn Mỹ, châu Âu, Đông Bắc Á; sáng chế chuẩn Việt Nam là bằng độc quyền theo chuẩn Việt Nam, Trung Quốc, ASEAN. Mức thưởng là tổng tiền thưởng cho một bài báo.</t>
  </si>
  <si>
    <t>Loại sản phẩm</t>
  </si>
  <si>
    <t>Giờ nghiên cứu quy đổi</t>
  </si>
  <si>
    <t>Thưởng bằng tiền (triệu đồng)</t>
  </si>
  <si>
    <t>Sáng chế chuẩn quốc tế</t>
  </si>
  <si>
    <t>Sáng chế chuẩn Việt Nam</t>
  </si>
  <si>
    <t>Giải pháp hữu ích</t>
  </si>
  <si>
    <t>Bài WoS Q1</t>
  </si>
  <si>
    <t>Bài WoS Q2</t>
  </si>
  <si>
    <t>Bài WoS Q3</t>
  </si>
  <si>
    <t>Bài WoS Q4</t>
  </si>
  <si>
    <t>Bài trong nước 1,75 điểm</t>
  </si>
  <si>
    <t>Hình 2.5. Khả năng tính toán bộ tiêu chí đánh giá hiệu quả quản lý quyền sở hữu trí tuệ từ dữ liệu hiện có</t>
  </si>
  <si>
    <t>Nguồn: Đánh giá của nhóm nghiên cứu đối với 16 tiêu chí tại Mục 1.4.2, căn cứ vào các danh mục và văn bản hiện có của Trường Đại học Thành Đô. Chi tiết từng tiêu chí tại tệp dữ liệu kèm theo.</t>
  </si>
  <si>
    <t>Nhóm tiêu chí</t>
  </si>
  <si>
    <t>Tính được đầy đủ</t>
  </si>
  <si>
    <t>Tính được một phần</t>
  </si>
  <si>
    <t>Chưa tính được</t>
  </si>
  <si>
    <t>Đầu vào</t>
  </si>
  <si>
    <t>Quá trình</t>
  </si>
  <si>
    <t>Đầu ra</t>
  </si>
  <si>
    <t>Kết quả</t>
  </si>
  <si>
    <t>Hình 2.6. Tài sản trí tuệ của Nhà trường theo loại hình và tình trạng pháp lý</t>
  </si>
  <si>
    <t>Nguồn: Nhóm nghiên cứu tổng hợp từ Bảng 2.6.</t>
  </si>
  <si>
    <t>Loại hình</t>
  </si>
  <si>
    <t>Đã cấp văn bằng</t>
  </si>
  <si>
    <t>Đang xử lý</t>
  </si>
  <si>
    <t>Trong đó đồng sở hữu với doanh nghiệp</t>
  </si>
  <si>
    <t>Quyền tác giả</t>
  </si>
  <si>
    <t>Nhãn hiệu</t>
  </si>
  <si>
    <t>Kiểu dáng công nghiệp</t>
  </si>
  <si>
    <t>Sáng chế</t>
  </si>
  <si>
    <t>Hình 2.7. Sản phẩm đề tài cấp cơ sở đủ điều kiện xác lập quyền theo nhóm quyền có thể xác lập</t>
  </si>
  <si>
    <t>Nguồn: Nhóm nghiên cứu tổng hợp từ Bảng 2.7.</t>
  </si>
  <si>
    <t>Nhóm quyền có thể xác lập</t>
  </si>
  <si>
    <t>Số sản phẩm</t>
  </si>
  <si>
    <t>Giải pháp hữu ích hoặc sáng chế</t>
  </si>
  <si>
    <t>Sưu tập dữ liệu</t>
  </si>
  <si>
    <t>Kiểu dáng công nghiệp hoặc giải pháp hữu ích</t>
  </si>
  <si>
    <t>Hình 2.8. Chuỗi chuyển hóa từ đề tài cấp cơ sở sang đơn đăng ký sở hữu công nghiệp</t>
  </si>
  <si>
    <t>Nguồn: Nhóm nghiên cứu tính toán từ danh mục đề tài cấp cơ sở và Bảng 2.7.</t>
  </si>
  <si>
    <t>Bậc chuyển hóa</t>
  </si>
  <si>
    <t>Toàn giai đoạn 2021 - 2025</t>
  </si>
  <si>
    <t>Đề tài giao từ năm 2021 đến năm 2024</t>
  </si>
  <si>
    <t>Đề tài đã nghiệm thu</t>
  </si>
  <si>
    <t>Có sản phẩm đủ điều kiện xác lập quyền</t>
  </si>
  <si>
    <t>Đã nộp đơn đăng ký</t>
  </si>
  <si>
    <t>Hình 2.9. Tỷ lệ thực hiện so với chỉ tiêu Kế hoạch 07/KH-ĐHTĐ, cộng dồn hai năm 2024 - 2025</t>
  </si>
  <si>
    <t>Nguồn: Nhóm nghiên cứu tính toán từ mục 2.2.4 Kế hoạch số 07/KH-ĐHTĐ ngày 01 tháng 7 năm 2024 và các danh mục thống kê của Phòng Khoa học Công nghệ. Chỉ tiêu bài báo trong nước gồm bài đăng tạp chí trong nước và tạp chí của Trường; văn bằng sở hữu trí tuệ gồm sáng chế, kiểu dáng công nghiệp, quyền tác giả được cấp; không gồm tham luận hội thảo quốc gia do danh mục không có năm. Màu xanh dương: công bố; xanh lục: đề tài và học liệu; cam: tài sản trí tuệ.</t>
  </si>
  <si>
    <t>Chỉ tiêu</t>
  </si>
  <si>
    <t>Nhóm</t>
  </si>
  <si>
    <t>Kế hoạch 2024 - 2025</t>
  </si>
  <si>
    <t>Thực hiện 2024 - 2025</t>
  </si>
  <si>
    <t>Tỷ lệ thực hiện</t>
  </si>
  <si>
    <t>Công bố</t>
  </si>
  <si>
    <t>Sách có ISBN</t>
  </si>
  <si>
    <t>Tham luận cấp trường</t>
  </si>
  <si>
    <t>Đề tài cấp Bộ, Nhà nước</t>
  </si>
  <si>
    <t>Đề tài và học liệu</t>
  </si>
  <si>
    <t>Văn bằng sở hữu trí tuệ</t>
  </si>
  <si>
    <t>Tài sản trí tuệ</t>
  </si>
  <si>
    <t>Chuyển giao công nghệ</t>
  </si>
  <si>
    <t>NHẬT KÝ CHUẨN HÓA SỐ LIỆU CHƯƠNG 2</t>
  </si>
  <si>
    <t>Nội dung</t>
  </si>
  <si>
    <t>Bản trước</t>
  </si>
  <si>
    <t>Giá trị chuẩn hóa</t>
  </si>
  <si>
    <t>Căn cứ đối chiếu</t>
  </si>
  <si>
    <t>Bản rút gọn, cấu trúc</t>
  </si>
  <si>
    <t>43 trang, 16 hình, 10 bảng</t>
  </si>
  <si>
    <t>Khoảng 25 trang, 9 hình, 8 bảng; bỏ Mục 2.1.4 và 2.1.5 cũ, gộp Mục 2.3.4 vào 2.3.2, bỏ phân mục của 2.4; đánh số hình, bảng theo bản rút gọn</t>
  </si>
  <si>
    <t>Yêu cầu của chủ nhiệm đề tài: chỉ giữ nội dung trực tiếp liên quan</t>
  </si>
  <si>
    <t>Hình bỏ khỏi bản rút gọn</t>
  </si>
  <si>
    <t>Hình 2.1, 2.3, 2.4, 2.5, 2.6, 2.9, 2.13 cũ</t>
  </si>
  <si>
    <t>Số liệu chính giữ trong lời văn; dữ liệu vẫn có trong các sheet DL_ và tệp du_lieu.py</t>
  </si>
  <si>
    <t>Rút gọn</t>
  </si>
  <si>
    <t>Quy chế quản trị tài sản trí tuệ năm 2024</t>
  </si>
  <si>
    <t>Chưa rõ số hiệu</t>
  </si>
  <si>
    <t>Ban hành kèm Quyết định số 217/QĐ-ĐHTĐ, gọi tắt là Quyết định 217</t>
  </si>
  <si>
    <t>Xác nhận của chủ nhiệm đề tài</t>
  </si>
  <si>
    <t>Thông tư 83/2026/TT-BGDĐT về Chuẩn cơ sở giáo dục đại học</t>
  </si>
  <si>
    <t>Chưa có</t>
  </si>
  <si>
    <t>Không đưa vào Chương 2 vì Thông tư có hiệu lực từ ngày 15 tháng 11 năm 2026, chưa áp dụng cho giai đoạn đánh giá; được đưa vào Mục 3.1.2 Thời cơ và thách thức của Chương 3</t>
  </si>
  <si>
    <t>Ý kiến của chủ nhiệm đề tài</t>
  </si>
  <si>
    <t>Ngân sách Quỹ Ngô Xuân Độ</t>
  </si>
  <si>
    <t>5 tỷ đồng</t>
  </si>
  <si>
    <t>5 tỷ đồng giai đoạn 2025 - 2029</t>
  </si>
  <si>
    <t>Biểu đồ</t>
  </si>
  <si>
    <t>Chú giải đặt dưới, bố cục tự động; nhãn trắng trên mọi nền</t>
  </si>
  <si>
    <t>Bố cục cố định: chú giải phía trên, vùng vẽ tách riêng; màu chữ nhãn chọn theo độ tương phản với nền</t>
  </si>
  <si>
    <t>Phản hồi của chủ nhiệm đề tài về chú giải đè biểu đồ và chữ khó đọc</t>
  </si>
  <si>
    <t>Bảng 2.1, tổng các dòng</t>
  </si>
  <si>
    <t>Các dòng cộng lại được 246 người trong khi tổng là 252; dòng Các đơn vị khác gộp số liệu trình độ của Viện Nghiên cứu giáo dục và Chuyển giao tri thức nhưng không gộp số người</t>
  </si>
  <si>
    <t>Tách dòng Viện Nghiên cứu giáo dục và Chuyển giao tri thức 6 người; dòng Các đơn vị khác: 59 người, tiến sĩ 6, thạc sĩ 22, đại học 15</t>
  </si>
  <si>
    <t>Tai lieu thanh do/2026 DS.xlsx</t>
  </si>
  <si>
    <t>Mục 2.1.1, số lĩnh vực đào tạo</t>
  </si>
  <si>
    <t>Bảy lĩnh vực nhưng liệt kê chín</t>
  </si>
  <si>
    <t>Chín lĩnh vực</t>
  </si>
  <si>
    <t>Thông tư 74/2026/TT-BGDĐT, mã lĩnh vực 14, 22, 31, 34, 38, 48, 51, 72, 81</t>
  </si>
  <si>
    <t>Bảng 2.2, đề tài cấp cơ sở</t>
  </si>
  <si>
    <t>37 đề tài: 15, 0, 7, 7, 8</t>
  </si>
  <si>
    <t>38 đề tài: 6, 10, 7, 8, 7 theo năm trong mã số</t>
  </si>
  <si>
    <t>Tổng hợp đề tài KHCN cấp cơ sở của GV 2021-2025.pdf, 38 mã số</t>
  </si>
  <si>
    <t>Bảng 2.2, tham luận hội thảo quốc tế</t>
  </si>
  <si>
    <t>15 lượt, năm 2024 có 4</t>
  </si>
  <si>
    <t>16 lượt, năm 2024 có 5</t>
  </si>
  <si>
    <t>Thống kê báo cáo, tham luận Hội nghị, Hội thảo quốc tế 2021-2025.pdf, cột ngày tổ chức</t>
  </si>
  <si>
    <t>Bảng 2.2, đề tài cấp quốc gia</t>
  </si>
  <si>
    <t>Chưa tách theo năm</t>
  </si>
  <si>
    <t>2024: 1; 2025: 2</t>
  </si>
  <si>
    <t>Đề tài KHCN cấp quốc gia thực hiện giai đoạn 2021-2025.pdf, ngày quyết định phê duyệt kinh phí</t>
  </si>
  <si>
    <t>Tổng bản ghi và sản phẩm độc lập</t>
  </si>
  <si>
    <t>580 bản ghi; khoảng 470 sản phẩm độc lập</t>
  </si>
  <si>
    <t>582 bản ghi; khoảng 475 sản phẩm độc lập</t>
  </si>
  <si>
    <t>Hệ quả của hai dòng trên</t>
  </si>
  <si>
    <t>Kinh phí đề tài cấp cơ sở</t>
  </si>
  <si>
    <t>20 đề tài được cấp 374,25 triệu đồng; 15 quy đổi giờ; 2 tự tìm tài trợ</t>
  </si>
  <si>
    <t>19 đề tài được Trường cấp 424,75 triệu đồng; 16 quy đổi giờ; 3 tự tìm tài trợ</t>
  </si>
  <si>
    <t>Cột kinh phí thực hiện trong danh mục đề tài cấp cơ sở</t>
  </si>
  <si>
    <t>Xếp loại nghiệm thu</t>
  </si>
  <si>
    <t>19 Tốt, 16 Đạt, 1 Khá, 1 Xuất sắc, tổng 37</t>
  </si>
  <si>
    <t>1 Xuất sắc, 19 Tốt, 1 Khá, 17 Đạt, tổng 38</t>
  </si>
  <si>
    <t>Cột xếp loại trong danh mục đề tài cấp cơ sở</t>
  </si>
  <si>
    <t>Bảng 2.3 và chỉ số Herfindahl</t>
  </si>
  <si>
    <t>Viện Quản trị và Công nghệ 9 đề tài; Herfindahl 0,237</t>
  </si>
  <si>
    <t>10 đề tài, gồm đề tài do Khoa Sau đại học chủ trì; Herfindahl 0,238</t>
  </si>
  <si>
    <t>Quy tắc quy đổi đơn vị đã áp dụng cho danh mục giáo trình</t>
  </si>
  <si>
    <t>Bảng 2.4</t>
  </si>
  <si>
    <t>Thiếu quy định tại điểm b khoản 4 Điều 36 Quyết định 213; mức 50 triệu đồng được hiểu là mức thưởng</t>
  </si>
  <si>
    <t>Bổ sung quy định 30% tác giả, 20% đơn vị, 50% Quỹ nghiên cứu khoa học; 50 triệu đồng là mức kinh phí xét duyệt đề tài</t>
  </si>
  <si>
    <t>Quyết định 213/QĐ-ĐHTĐ, Điều 36; Quy chế chi tiêu nội bộ 2026, mục 6.3.5.1</t>
  </si>
  <si>
    <t>Mục 2.2.2, nhân sự Phòng Khoa học Công nghệ</t>
  </si>
  <si>
    <t>Chỉ nêu số lượng 2 người</t>
  </si>
  <si>
    <t>Bổ sung trình độ, chuyên ngành và việc trưởng phòng do Hiệu trưởng kiêm nhiệm</t>
  </si>
  <si>
    <t>Bảng 2.6</t>
  </si>
  <si>
    <t>Phát sinh ở tám nhóm, xác lập ở bốn nhóm</t>
  </si>
  <si>
    <t>Phát sinh ở chín nhóm, có hoạt động xác lập ở bốn nhóm, có văn bằng ở ba nhóm</t>
  </si>
  <si>
    <t>Đếm lại từ chính Bảng 2.6</t>
  </si>
  <si>
    <t>Bảng 2.7, dòng tổng và đoạn bình luận</t>
  </si>
  <si>
    <t>5 thương hiệu, 5 hợp tác, 2 nghiên cứu</t>
  </si>
  <si>
    <t>4 thương hiệu, 6 hợp tác, 2 nghiên cứu</t>
  </si>
  <si>
    <t>Đếm lại từ chính Bảng 2.7</t>
  </si>
  <si>
    <t>Bảng 2.8, năm của ba đề tài đầu</t>
  </si>
  <si>
    <t>Mã số 37-2022, 39-2022, 40-2022</t>
  </si>
  <si>
    <t>Liên hệ đề tài và tài sản trí tuệ</t>
  </si>
  <si>
    <t>Không có điểm giao nhau ngoài trường hợp lá Quế hoa</t>
  </si>
  <si>
    <t>Bổ sung liên hệ chưa được xác nhận giữa đề tài tinh dầu Citrus grandis năm 2023 và kiểu dáng công nghiệp tinh dầu vỏ bưởi đào năm 2024</t>
  </si>
  <si>
    <t>IP_Master_Dataset v08, sheet 13B_PROTECTION_FULL và 16_VERIFICATION_FINDINGS</t>
  </si>
  <si>
    <t>Mục 2.4.1, giáo trình gắn học phần</t>
  </si>
  <si>
    <t>61 trên 87 tài liệu, tương đương 70,1%, ghi số tín chỉ</t>
  </si>
  <si>
    <t>Toàn bộ 61 tài liệu giai đoạn 2022 - 2025 ghi số tín chỉ; danh mục năm 2021 không có trường số tín chỉ</t>
  </si>
  <si>
    <t>Thống kê giáo trình, tài liệu giảng dạy biên soạn 2021-2025.pdf</t>
  </si>
  <si>
    <t>Mục 2.1.5, danh mục hội thảo cấp trường</t>
  </si>
  <si>
    <t>Không trích xuất được nội dung</t>
  </si>
  <si>
    <t>Trích xuất được 279 lượt: 49, 50, 45, 60, 74 và 1 bản ghi sai năm tổ chức</t>
  </si>
  <si>
    <t>Thống kê báo cáo, tham luận Hội thảo cấp trường 2021-2025.pdf</t>
  </si>
  <si>
    <t>Mục 2.5.3</t>
  </si>
  <si>
    <t>Ghi sáu nguyên nhân nhưng liệt kê bảy; chưa tách khách quan và chủ quan</t>
  </si>
  <si>
    <t>Tách hai nhóm nguyên nhân; nhóm chủ quan gồm bảy nguyên nhân</t>
  </si>
  <si>
    <t>Quy tắc tại GEMINI.md</t>
  </si>
  <si>
    <t>Chưa được khai thác trong Chương 2</t>
  </si>
  <si>
    <t>Bổ sung vào Mục 2.2.1, 2.2.2, 2.3.1, 2.5.1, 2.5.3, Bảng 2.4 và Bảng 2.6</t>
  </si>
  <si>
    <t>Tai lieu thanh do/QC SHTT ĐHTĐ.docx; bản được cung cấp chưa ghi số và ngày ban hành</t>
  </si>
  <si>
    <t>Điều 34 Quyết định 213 và giải pháp hữu ích</t>
  </si>
  <si>
    <t>Khẳng định Điều 34 không liệt kê giải pháp hữu ích và dùng làm một nguyên nhân</t>
  </si>
  <si>
    <t>Điều 34 có liệt kê bằng độc quyền giải pháp hữu ích; sửa Bảng 2.6, Mục 2.3.1, 2.5.3 và lời bình Hình 2.14</t>
  </si>
  <si>
    <t>02. QĐ 213_QĐ-ĐHTĐ, Điều 34 khoản 2</t>
  </si>
  <si>
    <t>Số hiệu văn bản 213</t>
  </si>
  <si>
    <t>Quyết định số 213/QĐ-ĐHTĐ năm 2021</t>
  </si>
  <si>
    <t>Quy chế ban hành ngày 28/12/2021 kèm văn bản số 213/QĐ-ĐHTĐ; bản quy chế ghi là Nghị quyết, Kế hoạch 07 ghi Nghị quyết số 213/NQ-HĐT-ĐHTĐ. Đề nghị thống nhất cách gọi</t>
  </si>
  <si>
    <t>Trang bìa Quy chế 213; Kế hoạch 07/KH-ĐHTĐ</t>
  </si>
  <si>
    <t>Mục 2.1.5, độ phủ khai báo</t>
  </si>
  <si>
    <t>Hồ sơ khai 28 bài báo; 25 trên 28 tìm thấy; độ phủ 26,2%</t>
  </si>
  <si>
    <t>26 đề tài khai 32 công bố; độ phủ khoảng 29,9%; bỏ tỷ lệ 89,3% vì không tái lập được từ tài liệu gốc</t>
  </si>
  <si>
    <t>Cột sản phẩm nghiệm thu, danh mục đề tài cấp cơ sở</t>
  </si>
  <si>
    <t>Mục 2.5.2, ý thứ sáu</t>
  </si>
  <si>
    <t>Ba đề tài ghi rõ không có bài báo như cam kết</t>
  </si>
  <si>
    <t>Danh mục gốc không có ghi chú này; thay bằng: 7 đề tài chỉ có báo cáo tổng kết, 5 trong số đó xếp loại Tốt</t>
  </si>
  <si>
    <t>Danh mục đề tài cấp cơ sở</t>
  </si>
  <si>
    <t>Mục 2.2.3, lệ phí đăng ký</t>
  </si>
  <si>
    <t>Chỉ nêu không có dòng chi</t>
  </si>
  <si>
    <t>Bổ sung: Điều 35 giao Phòng KHCN nộp lệ phí nhưng Điều 38 không có mục chi tương ứng</t>
  </si>
  <si>
    <t>Quyết định 213, Điều 35, 38</t>
  </si>
  <si>
    <t>Kế hoạch 07/KH-ĐHTĐ ngày 01/7/2024</t>
  </si>
  <si>
    <t>Chưa sử dụng; tệp là bản quét</t>
  </si>
  <si>
    <t>Nhận dạng chữ và đối chiếu ảnh gốc: số liệu 2021 - 2023 khớp; bổ sung Hình 2.16 so sánh kế hoạch và thực hiện</t>
  </si>
  <si>
    <t>Tai lieu thanh do/KH hoạt động KHCN giai đoạn 2024-2028.pdf</t>
  </si>
  <si>
    <t>Tham luận hội thảo quốc tế 2022 - 2023</t>
  </si>
  <si>
    <t>Danh mục theo ngày tổ chức: 2 và 3; Kế hoạch 07 ghi 1 và 4. Chương 2 dùng số liệu danh mục</t>
  </si>
  <si>
    <t>Danh mục tham luận quốc tế; Kế hoạch 07, Bảng 4</t>
  </si>
  <si>
    <t>Kiểm chứng phép so khớp tác giả</t>
  </si>
  <si>
    <t>Chưa kiểm chứng</t>
  </si>
  <si>
    <t>Tái lập độc lập: 256 trên 405 bài khớp; Viện Y - Dược 55, Viện QT và CN 57, Viện NCGD và CGTT 17 bài; 89 người có bài, Gini 0,828; chênh 1 - 3 đơn vị do 5 họ tên trùng nhau. Giữ số liệu Chương 2</t>
  </si>
  <si>
    <t>2026 DS.xlsx và hai danh mục bài báo</t>
  </si>
  <si>
    <t>Nội dung chưa có tài liệu gốc trong thư mục</t>
  </si>
  <si>
    <t>Điều lệ Quỹ Ngô Xuân Độ; hợp đồng của Viện NCGD và CGTT; tư cách thành viên Mạng lưới Trung tâm Hỗ trợ công nghệ và đổi mới sáng tạo từ năm 2023; đăng ký hoạt động khoa học công nghệ của Viện; sơ đồ tổ chức ngày 16/6/2026. Giữ nguyên, cần bổ sung minh chứng</t>
  </si>
  <si>
    <t>Tệp Du_lieu_thong_ke_KHCN_Thanh_Do_2021_2025.xlsx</t>
  </si>
  <si>
    <t>Bài báo trong nước theo năm: 54, 50, 33, 44, 109</t>
  </si>
  <si>
    <t>Danh mục gốc: 17, 42, 50, 72, 109. Không dùng tệp này để trích dẫn</t>
  </si>
  <si>
    <t>Thống kê bài báo đăng tạp chí khoa học trong nước 2021-2025.pdf</t>
  </si>
  <si>
    <t>DANH MỤC ĐỀ TÀI CẤP CƠ SỞ 2021 - 2025 ĐÃ CHUẨN HÓA</t>
  </si>
  <si>
    <t>Mã số</t>
  </si>
  <si>
    <t>Đơn vị quy đổi</t>
  </si>
  <si>
    <t>Xếp loại</t>
  </si>
  <si>
    <t>Hình thức kinh phí</t>
  </si>
  <si>
    <t>Kinh phí Trường cấp (triệu đồng)</t>
  </si>
  <si>
    <t>Sản phẩm đủ điều kiện xác lập quyền</t>
  </si>
  <si>
    <t>Tình trạng nộp đơn</t>
  </si>
  <si>
    <t>20-2021</t>
  </si>
  <si>
    <t>Viện NN - VH - QT</t>
  </si>
  <si>
    <t>Đạt</t>
  </si>
  <si>
    <t>Quy đổi giờ</t>
  </si>
  <si>
    <t>22-2021</t>
  </si>
  <si>
    <t>24-2021</t>
  </si>
  <si>
    <t>Tốt</t>
  </si>
  <si>
    <t>27-2021</t>
  </si>
  <si>
    <t>28-2021</t>
  </si>
  <si>
    <t>37-2021</t>
  </si>
  <si>
    <t>Viện QT và CN</t>
  </si>
  <si>
    <t>01-2022</t>
  </si>
  <si>
    <t>Phòng KHCN</t>
  </si>
  <si>
    <t>02-2022</t>
  </si>
  <si>
    <t>12-2022</t>
  </si>
  <si>
    <t>13-2022</t>
  </si>
  <si>
    <t>14-2022</t>
  </si>
  <si>
    <t>15-2022</t>
  </si>
  <si>
    <t>37-2022</t>
  </si>
  <si>
    <t>Tiền mặt</t>
  </si>
  <si>
    <t>Mô hình kiểm tra và sửa chữa hệ thống khởi động điện trên ô tô</t>
  </si>
  <si>
    <t>Chưa nộp</t>
  </si>
  <si>
    <t>39-2022</t>
  </si>
  <si>
    <t>Viện Y - Dược</t>
  </si>
  <si>
    <t>Sản phẩm cầm máu ở dạng màng</t>
  </si>
  <si>
    <t>40-2022</t>
  </si>
  <si>
    <t>Bộ mẫu cây thuốc</t>
  </si>
  <si>
    <t>51-2022</t>
  </si>
  <si>
    <t>01-2023</t>
  </si>
  <si>
    <t>Ban GDCB</t>
  </si>
  <si>
    <t>Khá</t>
  </si>
  <si>
    <t>02-2023</t>
  </si>
  <si>
    <t>03-2023</t>
  </si>
  <si>
    <t>04-2023</t>
  </si>
  <si>
    <t>05-2023</t>
  </si>
  <si>
    <t>07-2023</t>
  </si>
  <si>
    <t>08-2023</t>
  </si>
  <si>
    <t>Viện NCGD và CGTT</t>
  </si>
  <si>
    <t>Tinh dầu Citrus grandis, hồ sơ ghi chuyển giao cho Trường thương mại hóa</t>
  </si>
  <si>
    <t>Chưa nộp đơn cho công thức</t>
  </si>
  <si>
    <t>06-2024</t>
  </si>
  <si>
    <t>Bánh xà phòng hữu cơ tảo biển kèm quy trình sản xuất và công thức</t>
  </si>
  <si>
    <t>07-2024</t>
  </si>
  <si>
    <t>100 tiêu bản hiển vi cố định và cẩm nang phát hiện giun sán</t>
  </si>
  <si>
    <t>08-2024</t>
  </si>
  <si>
    <t>Rutin độ tinh khiết 90% kèm quy trình chiết xuất và tinh chế</t>
  </si>
  <si>
    <t>09-2024</t>
  </si>
  <si>
    <t>Thang thuốc 100ml kèm công thức và quy trình sắc</t>
  </si>
  <si>
    <t>10-2024</t>
  </si>
  <si>
    <t>12-2024</t>
  </si>
  <si>
    <t>Tự tìm tài trợ</t>
  </si>
  <si>
    <t>13-2024</t>
  </si>
  <si>
    <t>14-2024</t>
  </si>
  <si>
    <t>01-2025</t>
  </si>
  <si>
    <t>02-2025</t>
  </si>
  <si>
    <t>03-2025</t>
  </si>
  <si>
    <t>04-2025</t>
  </si>
  <si>
    <t>06-2025</t>
  </si>
  <si>
    <t>Công thức bào chế cồn thuốc xoa bóp, hồ sơ ghi dự kiến đăng ký giải pháp hữu ích</t>
  </si>
  <si>
    <t>07-2025</t>
  </si>
  <si>
    <t>Quy trình bào chế viên ngậm giảm ho, hồ sơ ghi dự kiến đăng ký giải pháp hữu ích</t>
  </si>
  <si>
    <t>09-2025</t>
  </si>
  <si>
    <t>Xuất sắc</t>
  </si>
  <si>
    <t>Chiết xuất lá Quế hoa, hồ sơ ghi giai đoạn 2 là sáng chế</t>
  </si>
  <si>
    <t>Đã nộp đơn trong năm 2025</t>
  </si>
  <si>
    <t>Tổng</t>
  </si>
  <si>
    <t>Ghi chú: đề tài 14-2024 tự tìm nguồn tài trợ 19,5 triệu đồng, không tính vào kinh phí Trường cấp; đề tài 09-2025 đề nghị cấp thêm 20 triệu đồng, chưa tính.</t>
  </si>
  <si>
    <t>TÀI SẢN TRÍ TUỆ THUỘC SỞ HỮU CỦA TRƯỜNG ĐẠI HỌC THÀNH ĐÔ</t>
  </si>
  <si>
    <t>Tên tài sản</t>
  </si>
  <si>
    <t>Trạng thái</t>
  </si>
  <si>
    <t>Cơ cấu sở hữu</t>
  </si>
  <si>
    <t>Nguồn hình thành</t>
  </si>
  <si>
    <t>Bộ Logo Trường Đại học Thành Đô</t>
  </si>
  <si>
    <t>Trường đơn sở hữu</t>
  </si>
  <si>
    <t>Thương hiệu</t>
  </si>
  <si>
    <t>Bộ Logo Hệ sinh thái giáo dục</t>
  </si>
  <si>
    <t>Thanh do University</t>
  </si>
  <si>
    <t>Thado Edupark</t>
  </si>
  <si>
    <t>Double2n</t>
  </si>
  <si>
    <t>Đồng sở hữu với doanh nghiệp</t>
  </si>
  <si>
    <t>Hợp tác doanh nghiệp</t>
  </si>
  <si>
    <t>Dung dịch vệ sinh phụ nữ</t>
  </si>
  <si>
    <t>Tinh dầu vỏ bưởi đào</t>
  </si>
  <si>
    <t>Xịt miệng - họng thảo dược</t>
  </si>
  <si>
    <t>Dầu gội nha đam - bưởi đào</t>
  </si>
  <si>
    <t>Kem ủ xả tóc từ Bưởi, Bơ, Dừa</t>
  </si>
  <si>
    <t>Hợp chất furofuran lignan glucoside từ lá cây quế hoa</t>
  </si>
  <si>
    <t>Nghiên cứu</t>
  </si>
  <si>
    <t>Phương pháp chiết tách hợp chất Isoembigenin từ cây Piper aduncum L</t>
  </si>
  <si>
    <t>KHẢ NĂNG TÍNH TOÁN BỘ TIÊU CHÍ TẠI MỤC 1.4.2</t>
  </si>
  <si>
    <t>Tiêu chí</t>
  </si>
  <si>
    <t>Mức độ</t>
  </si>
  <si>
    <t>Căn cứ</t>
  </si>
  <si>
    <t>Kinh phí nộp đơn, duy trì văn bằng, khen thưởng sáng tạo</t>
  </si>
  <si>
    <t>Không có dòng chi riêng cho sở hữu trí tuệ</t>
  </si>
  <si>
    <t>Nhân lực quản lý sở hữu trí tuệ</t>
  </si>
  <si>
    <t>Danh sách nhân sự năm 2026</t>
  </si>
  <si>
    <t>Cơ sở dữ liệu tra cứu, hạ tầng kỹ thuật</t>
  </si>
  <si>
    <t>Có quyền truy cập qua Mạng lưới Trung tâm Hỗ trợ công nghệ và đổi mới sáng tạo, chưa có số liệu sử dụng</t>
  </si>
  <si>
    <t>Mức độ tương thích của quy chế nội bộ với pháp luật</t>
  </si>
  <si>
    <t>Đối chiếu văn bản tại Mục 2.2.1</t>
  </si>
  <si>
    <t>Thời gian xử lý một hồ sơ đề xuất bảo hộ</t>
  </si>
  <si>
    <t>Không lưu ngày tiếp nhận, ngày nộp đơn</t>
  </si>
  <si>
    <t>Mức độ chuẩn hóa biểu mẫu và quy trình phối hợp</t>
  </si>
  <si>
    <t>Có quy trình tại Điều 35 Quyết định 213 và phân công tại Điều 11 Quy chế 2024, chưa có biểu mẫu khai báo</t>
  </si>
  <si>
    <t>Số lớp tập huấn sở hữu trí tuệ</t>
  </si>
  <si>
    <t>Kế hoạch 07/KH-ĐHTĐ chỉ thống kê lượt tập huấn chung, không tách riêng sở hữu trí tuệ</t>
  </si>
  <si>
    <t>Số đơn đăng ký sở hữu công nghiệp</t>
  </si>
  <si>
    <t>Danh mục theo dõi đơn</t>
  </si>
  <si>
    <t>Số văn bằng bảo hộ được cấp</t>
  </si>
  <si>
    <t>Số giấy chứng nhận quyền tác giả cho giáo trình, phần mềm</t>
  </si>
  <si>
    <t>Số công trình có sản phẩm chuyển hóa được thành tài sản trí tuệ</t>
  </si>
  <si>
    <t>Suy ra từ mô tả sản phẩm nghiệm thu, chưa có phiếu nhận diện</t>
  </si>
  <si>
    <t>Số hợp đồng chuyển giao, cấp phép</t>
  </si>
  <si>
    <t>Chỉ có số liệu của một đơn vị</t>
  </si>
  <si>
    <t>Nguồn thu từ khai thác tài sản trí tuệ</t>
  </si>
  <si>
    <t>Phí bản quyền theo doanh số không được theo dõi</t>
  </si>
  <si>
    <t>Tỷ trọng nguồn thu khoa học công nghệ trên tổng thu</t>
  </si>
  <si>
    <t>Không có số liệu tài chính tách riêng</t>
  </si>
  <si>
    <t>Tác động đến kiểm định và xếp hạng</t>
  </si>
  <si>
    <t>Chưa có đối sánh chính thức</t>
  </si>
  <si>
    <t>Mức độ hài lòng và động lực của giảng viên</t>
  </si>
  <si>
    <t>Chưa có khảo sát</t>
  </si>
</sst>
</file>

<file path=xl/styles.xml><?xml version="1.0" encoding="utf-8"?>
<styleSheet xmlns="http://schemas.openxmlformats.org/spreadsheetml/2006/main">
  <numFmts count="2">
    <numFmt numFmtId="164" formatCode="0.00"/>
    <numFmt numFmtId="165" formatCode="0%"/>
  </numFmts>
  <fonts count="6">
    <font>
      <sz val="11"/>
      <color theme="1"/>
      <name val="Calibri"/>
      <family val="2"/>
      <scheme val="minor"/>
    </font>
    <font>
      <b/>
      <sz val="13"/>
      <color theme="1"/>
      <name val="Times New Roman"/>
      <family val="2"/>
    </font>
    <font>
      <sz val="11"/>
      <color theme="1"/>
      <name val="Times New Roman"/>
      <family val="2"/>
    </font>
    <font>
      <b/>
      <sz val="11"/>
      <color theme="1"/>
      <name val="Times New Roman"/>
      <family val="2"/>
    </font>
    <font>
      <u/>
      <sz val="11"/>
      <color rgb="FF1F5FB0"/>
      <name val="Times New Roman"/>
      <family val="2"/>
    </font>
    <font>
      <i/>
      <sz val="10"/>
      <color theme="1"/>
      <name val="Times New Roman"/>
      <family val="2"/>
    </font>
  </fonts>
  <fills count="3">
    <fill>
      <patternFill patternType="none"/>
    </fill>
    <fill>
      <patternFill patternType="gray125"/>
    </fill>
    <fill>
      <patternFill patternType="solid">
        <fgColor rgb="FFDCE8F7"/>
        <bgColor indexed="64"/>
      </patternFill>
    </fill>
  </fills>
  <borders count="3">
    <border>
      <left/>
      <right/>
      <top/>
      <bottom/>
      <diagonal/>
    </border>
    <border>
      <left style="thin">
        <color rgb="FF9FB7D6"/>
      </left>
      <right style="thin">
        <color rgb="FF9FB7D6"/>
      </right>
      <top style="thin">
        <color rgb="FF9FB7D6"/>
      </top>
      <bottom style="thin">
        <color rgb="FF9FB7D6"/>
      </bottom>
      <diagonal/>
    </border>
    <border>
      <left style="thin">
        <color rgb="FFC9C8C3"/>
      </left>
      <right style="thin">
        <color rgb="FFC9C8C3"/>
      </right>
      <top style="thin">
        <color rgb="FFC9C8C3"/>
      </top>
      <bottom style="thin">
        <color rgb="FFC9C8C3"/>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2" fillId="0" borderId="2" xfId="0" applyFont="1" applyBorder="1" applyAlignment="1">
      <alignment vertical="center" wrapText="1"/>
    </xf>
    <xf numFmtId="0" fontId="4" fillId="0" borderId="0" xfId="0" applyFont="1" applyAlignment="1">
      <alignment vertical="center"/>
    </xf>
    <xf numFmtId="0" fontId="5" fillId="0" borderId="0" xfId="0" applyFont="1" applyAlignment="1">
      <alignment vertical="center" wrapText="1"/>
    </xf>
    <xf numFmtId="1" fontId="2" fillId="0" borderId="2" xfId="0" applyNumberFormat="1" applyFont="1" applyBorder="1" applyAlignment="1">
      <alignment vertical="center"/>
    </xf>
    <xf numFmtId="164" fontId="2" fillId="0" borderId="2" xfId="0" applyNumberFormat="1" applyFont="1" applyBorder="1" applyAlignment="1">
      <alignment vertical="center"/>
    </xf>
    <xf numFmtId="165" fontId="2" fillId="0" borderId="2"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70526315789473681"/>
        </c:manualLayout>
      </c:layout>
      <c:barChart>
        <c:barDir val="col"/>
        <c:grouping val="stacked"/>
        <c:ser>
          <c:idx val="0"/>
          <c:order val="0"/>
          <c:tx>
            <c:strRef>
              <c:f>'H2.1'!$B$4</c:f>
              <c:strCache>
                <c:ptCount val="1"/>
                <c:pt idx="0">
                  <c:v>Bài báo trong nước</c:v>
                </c:pt>
              </c:strCache>
            </c:strRef>
          </c:tx>
          <c:spPr>
            <a:solidFill>
              <a:srgbClr val="2A78D6"/>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'H2.1'!$B$5:$B$9</c:f>
              <c:numCache>
                <c:formatCode>General</c:formatCode>
                <c:ptCount val="5"/>
                <c:pt idx="0">
                  <c:v>17</c:v>
                </c:pt>
                <c:pt idx="1">
                  <c:v>42</c:v>
                </c:pt>
                <c:pt idx="2">
                  <c:v>50</c:v>
                </c:pt>
                <c:pt idx="3">
                  <c:v>72</c:v>
                </c:pt>
                <c:pt idx="4">
                  <c:v>109</c:v>
                </c:pt>
              </c:numCache>
            </c:numRef>
          </c:val>
        </c:ser>
        <c:ser>
          <c:idx val="1"/>
          <c:order val="1"/>
          <c:tx>
            <c:strRef>
              <c:f>'H2.1'!$C$4</c:f>
              <c:strCache>
                <c:ptCount val="1"/>
                <c:pt idx="0">
                  <c:v>Bài báo quốc tế</c:v>
                </c:pt>
              </c:strCache>
            </c:strRef>
          </c:tx>
          <c:spPr>
            <a:solidFill>
              <a:srgbClr val="EB683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'H2.1'!$C$5:$C$9</c:f>
              <c:numCache>
                <c:formatCode>General</c:formatCode>
                <c:ptCount val="5"/>
                <c:pt idx="0">
                  <c:v>6</c:v>
                </c:pt>
                <c:pt idx="1">
                  <c:v>13</c:v>
                </c:pt>
                <c:pt idx="2">
                  <c:v>11</c:v>
                </c:pt>
                <c:pt idx="3">
                  <c:v>33</c:v>
                </c:pt>
                <c:pt idx="4">
                  <c:v>52</c:v>
                </c:pt>
              </c:numCache>
            </c:numRef>
          </c:val>
        </c:ser>
        <c:ser>
          <c:idx val="2"/>
          <c:order val="2"/>
          <c:tx>
            <c:strRef>
              <c:f>'H2.1'!$D$4</c:f>
              <c:strCache>
                <c:ptCount val="1"/>
                <c:pt idx="0">
                  <c:v>Giáo trình, tài liệu</c:v>
                </c:pt>
              </c:strCache>
            </c:strRef>
          </c:tx>
          <c:spPr>
            <a:solidFill>
              <a:srgbClr val="1BAF7A"/>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'H2.1'!$D$5:$D$9</c:f>
              <c:numCache>
                <c:formatCode>General</c:formatCode>
                <c:ptCount val="5"/>
                <c:pt idx="0">
                  <c:v>26</c:v>
                </c:pt>
                <c:pt idx="1">
                  <c:v>31</c:v>
                </c:pt>
                <c:pt idx="2">
                  <c:v>12</c:v>
                </c:pt>
                <c:pt idx="3">
                  <c:v>7</c:v>
                </c:pt>
                <c:pt idx="4">
                  <c:v>11</c:v>
                </c:pt>
              </c:numCache>
            </c:numRef>
          </c:val>
        </c:ser>
        <c:ser>
          <c:idx val="3"/>
          <c:order val="3"/>
          <c:tx>
            <c:strRef>
              <c:f>'H2.1'!$E$4</c:f>
              <c:strCache>
                <c:ptCount val="1"/>
                <c:pt idx="0">
                  <c:v>Đề tài cấp cơ sở</c:v>
                </c:pt>
              </c:strCache>
            </c:strRef>
          </c:tx>
          <c:spPr>
            <a:solidFill>
              <a:srgbClr val="EDA1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'H2.1'!$E$5:$E$9</c:f>
              <c:numCache>
                <c:formatCode>General</c:formatCode>
                <c:ptCount val="5"/>
                <c:pt idx="0">
                  <c:v>6</c:v>
                </c:pt>
                <c:pt idx="1">
                  <c:v>10</c:v>
                </c:pt>
                <c:pt idx="2">
                  <c:v>7</c:v>
                </c:pt>
                <c:pt idx="3">
                  <c:v>8</c:v>
                </c:pt>
                <c:pt idx="4">
                  <c:v>7</c:v>
                </c:pt>
              </c:numCache>
            </c:numRef>
          </c:val>
        </c:ser>
        <c:ser>
          <c:idx val="4"/>
          <c:order val="4"/>
          <c:tx>
            <c:strRef>
              <c:f>'H2.1'!$F$4</c:f>
              <c:strCache>
                <c:ptCount val="1"/>
                <c:pt idx="0">
                  <c:v>Sách</c:v>
                </c:pt>
              </c:strCache>
            </c:strRef>
          </c:tx>
          <c:spPr>
            <a:solidFill>
              <a:srgbClr val="E87BA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'H2.1'!$F$5:$F$9</c:f>
              <c:numCache>
                <c:formatCode>General</c:formatCode>
                <c:ptCount val="5"/>
                <c:pt idx="0">
                  <c:v>0</c:v>
                </c:pt>
                <c:pt idx="1">
                  <c:v>2</c:v>
                </c:pt>
                <c:pt idx="2">
                  <c:v>2</c:v>
                </c:pt>
                <c:pt idx="3">
                  <c:v>2</c:v>
                </c:pt>
                <c:pt idx="4">
                  <c:v>6</c:v>
                </c:pt>
              </c:numCache>
            </c:numRef>
          </c:val>
        </c:ser>
        <c:ser>
          <c:idx val="5"/>
          <c:order val="5"/>
          <c:tx>
            <c:strRef>
              <c:f>'H2.1'!$G$4</c:f>
              <c:strCache>
                <c:ptCount val="1"/>
                <c:pt idx="0">
                  <c:v>Tham luận quốc tế</c:v>
                </c:pt>
              </c:strCache>
            </c:strRef>
          </c:tx>
          <c:spPr>
            <a:solidFill>
              <a:srgbClr val="0083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'H2.1'!$G$5:$G$9</c:f>
              <c:numCache>
                <c:formatCode>General</c:formatCode>
                <c:ptCount val="5"/>
                <c:pt idx="0">
                  <c:v>1</c:v>
                </c:pt>
                <c:pt idx="1">
                  <c:v>2</c:v>
                </c:pt>
                <c:pt idx="2">
                  <c:v>3</c:v>
                </c:pt>
                <c:pt idx="3">
                  <c:v>5</c:v>
                </c:pt>
                <c:pt idx="4">
                  <c:v>5</c:v>
                </c:pt>
              </c:numCache>
            </c:numRef>
          </c:val>
        </c:ser>
        <c:ser>
          <c:idx val="6"/>
          <c:order val="6"/>
          <c:tx>
            <c:strRef>
              <c:f>'H2.1'!$H$4</c:f>
              <c:strCache>
                <c:ptCount val="1"/>
                <c:pt idx="0">
                  <c:v>Đề tài cấp quốc gia</c:v>
                </c:pt>
              </c:strCache>
            </c:strRef>
          </c:tx>
          <c:spPr>
            <a:solidFill>
              <a:srgbClr val="4A3AA7"/>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'H2.1'!$H$5:$H$9</c:f>
              <c:numCache>
                <c:formatCode>General</c:formatCode>
                <c:ptCount val="5"/>
                <c:pt idx="0">
                  <c:v>0</c:v>
                </c:pt>
                <c:pt idx="1">
                  <c:v>0</c:v>
                </c:pt>
                <c:pt idx="2">
                  <c:v>0</c:v>
                </c:pt>
                <c:pt idx="3">
                  <c:v>1</c:v>
                </c:pt>
                <c:pt idx="4">
                  <c:v>2</c:v>
                </c:pt>
              </c:numCache>
            </c:numRef>
          </c:val>
        </c:ser>
        <c:gapWidth val="45"/>
        <c:overlap val="100"/>
        <c:axId val="50010001"/>
        <c:axId val="50010002"/>
      </c:barChart>
      <c:lineChart>
        <c:grouping val="standard"/>
        <c:ser>
          <c:idx val="7"/>
          <c:order val="7"/>
          <c:tx>
            <c:strRef>
              <c:f>'H2.1'!$I$4</c:f>
              <c:strCache>
                <c:ptCount val="1"/>
                <c:pt idx="0">
                  <c:v>Tổng số</c:v>
                </c:pt>
              </c:strCache>
            </c:strRef>
          </c:tx>
          <c:spPr>
            <a:ln w="25400">
              <a:solidFill>
                <a:srgbClr val="3B3A36"/>
              </a:solidFill>
            </a:ln>
          </c:spPr>
          <c:marker>
            <c:symbol val="circle"/>
            <c:size val="6"/>
            <c:spPr>
              <a:solidFill>
                <a:srgbClr val="3B3A36"/>
              </a:solidFill>
              <a:ln>
                <a:solidFill>
                  <a:srgbClr val="3B3A36"/>
                </a:solidFill>
              </a:ln>
            </c:spPr>
          </c:marker>
          <c:dLbls>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'H2.1'!$A$5:$A$9</c:f>
              <c:numCache>
                <c:formatCode>General</c:formatCode>
                <c:ptCount val="5"/>
                <c:pt idx="0">
                  <c:v>2021</c:v>
                </c:pt>
                <c:pt idx="1">
                  <c:v>2022</c:v>
                </c:pt>
                <c:pt idx="2">
                  <c:v>2023</c:v>
                </c:pt>
                <c:pt idx="3">
                  <c:v>2024</c:v>
                </c:pt>
                <c:pt idx="4">
                  <c:v>2025</c:v>
                </c:pt>
              </c:numCache>
            </c:numRef>
          </c:cat>
          <c:val>
            <c:numRef>
              <c:f>'H2.1'!$I$5:$I$9</c:f>
              <c:numCache>
                <c:formatCode>General</c:formatCode>
                <c:ptCount val="5"/>
                <c:pt idx="0">
                  <c:v>56</c:v>
                </c:pt>
                <c:pt idx="1">
                  <c:v>100</c:v>
                </c:pt>
                <c:pt idx="2">
                  <c:v>85</c:v>
                </c:pt>
                <c:pt idx="3">
                  <c:v>128</c:v>
                </c:pt>
                <c:pt idx="4">
                  <c:v>192</c:v>
                </c:pt>
              </c:numCache>
            </c:numRef>
          </c:val>
          <c:smooth val="0"/>
        </c:ser>
        <c:marker val="1"/>
        <c:axId val="50010001"/>
        <c:axId val="50010002"/>
      </c:lineChart>
      <c:catAx>
        <c:axId val="5001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2"/>
        <c:crosses val="autoZero"/>
        <c:auto val="1"/>
        <c:lblAlgn val="ctr"/>
        <c:lblOffset val="100"/>
        <c:tickLblSkip val="1"/>
      </c:catAx>
      <c:valAx>
        <c:axId val="5001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64210526315789473"/>
        </c:manualLayout>
      </c:layout>
      <c:lineChart>
        <c:grouping val="standard"/>
        <c:ser>
          <c:idx val="0"/>
          <c:order val="0"/>
          <c:tx>
            <c:strRef>
              <c:f>'H2.2'!$B$4</c:f>
              <c:strCache>
                <c:ptCount val="1"/>
                <c:pt idx="0">
                  <c:v>Quyết định 213, điểm a</c:v>
                </c:pt>
              </c:strCache>
            </c:strRef>
          </c:tx>
          <c:spPr>
            <a:ln w="28575">
              <a:solidFill>
                <a:srgbClr val="2A78D6"/>
              </a:solidFill>
            </a:ln>
          </c:spPr>
          <c:marker>
            <c:symbol val="circle"/>
            <c:size val="6"/>
            <c:spPr>
              <a:solidFill>
                <a:srgbClr val="2A78D6"/>
              </a:solidFill>
              <a:ln>
                <a:solidFill>
                  <a:srgbClr val="2A78D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'H2.2'!$B$5:$B$12</c:f>
              <c:numCache>
                <c:formatCode>General</c:formatCode>
                <c:ptCount val="8"/>
                <c:pt idx="0">
                  <c:v>0</c:v>
                </c:pt>
                <c:pt idx="1">
                  <c:v>30</c:v>
                </c:pt>
                <c:pt idx="2">
                  <c:v>60</c:v>
                </c:pt>
                <c:pt idx="3">
                  <c:v>90</c:v>
                </c:pt>
                <c:pt idx="4">
                  <c:v>100</c:v>
                </c:pt>
                <c:pt idx="5">
                  <c:v>100</c:v>
                </c:pt>
                <c:pt idx="6">
                  <c:v>100</c:v>
                </c:pt>
                <c:pt idx="7">
                  <c:v>100</c:v>
                </c:pt>
              </c:numCache>
            </c:numRef>
          </c:val>
          <c:smooth val="0"/>
        </c:ser>
        <c:ser>
          <c:idx val="1"/>
          <c:order val="1"/>
          <c:tx>
            <c:strRef>
              <c:f>'H2.2'!$C$4</c:f>
              <c:strCache>
                <c:ptCount val="1"/>
                <c:pt idx="0">
                  <c:v>Quyết định 213, điểm b</c:v>
                </c:pt>
              </c:strCache>
            </c:strRef>
          </c:tx>
          <c:spPr>
            <a:ln w="28575">
              <a:solidFill>
                <a:srgbClr val="1BAF7A"/>
              </a:solidFill>
              <a:prstDash val="dash"/>
            </a:ln>
          </c:spPr>
          <c:marker>
            <c:symbol val="circle"/>
            <c:size val="6"/>
            <c:spPr>
              <a:solidFill>
                <a:srgbClr val="1BAF7A"/>
              </a:solidFill>
              <a:ln>
                <a:solidFill>
                  <a:srgbClr val="1BAF7A"/>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'H2.2'!$C$5:$C$12</c:f>
              <c:numCache>
                <c:formatCode>General</c:formatCode>
                <c:ptCount val="8"/>
                <c:pt idx="0">
                  <c:v>0</c:v>
                </c:pt>
                <c:pt idx="1">
                  <c:v>30</c:v>
                </c:pt>
                <c:pt idx="2">
                  <c:v>60</c:v>
                </c:pt>
                <c:pt idx="3">
                  <c:v>90</c:v>
                </c:pt>
                <c:pt idx="4">
                  <c:v>120</c:v>
                </c:pt>
                <c:pt idx="5">
                  <c:v>150</c:v>
                </c:pt>
                <c:pt idx="6">
                  <c:v>180</c:v>
                </c:pt>
                <c:pt idx="7">
                  <c:v>210</c:v>
                </c:pt>
              </c:numCache>
            </c:numRef>
          </c:val>
          <c:smooth val="0"/>
        </c:ser>
        <c:ser>
          <c:idx val="2"/>
          <c:order val="2"/>
          <c:tx>
            <c:strRef>
              <c:f>'H2.2'!$D$4</c:f>
              <c:strCache>
                <c:ptCount val="1"/>
                <c:pt idx="0">
                  <c:v>Quỹ Ngô Xuân Độ, năm đầu</c:v>
                </c:pt>
              </c:strCache>
            </c:strRef>
          </c:tx>
          <c:spPr>
            <a:ln w="28575">
              <a:solidFill>
                <a:srgbClr val="EB6834"/>
              </a:solidFill>
            </a:ln>
          </c:spPr>
          <c:marker>
            <c:symbol val="circle"/>
            <c:size val="6"/>
            <c:spPr>
              <a:solidFill>
                <a:srgbClr val="EB6834"/>
              </a:solidFill>
              <a:ln>
                <a:solidFill>
                  <a:srgbClr val="EB6834"/>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'H2.2'!$D$5:$D$12</c:f>
              <c:numCache>
                <c:formatCode>General</c:formatCode>
                <c:ptCount val="8"/>
                <c:pt idx="0">
                  <c:v>0</c:v>
                </c:pt>
                <c:pt idx="1">
                  <c:v>50</c:v>
                </c:pt>
                <c:pt idx="2">
                  <c:v>100</c:v>
                </c:pt>
                <c:pt idx="3">
                  <c:v>150</c:v>
                </c:pt>
                <c:pt idx="4">
                  <c:v>200</c:v>
                </c:pt>
                <c:pt idx="5">
                  <c:v>250</c:v>
                </c:pt>
                <c:pt idx="6">
                  <c:v>300</c:v>
                </c:pt>
                <c:pt idx="7">
                  <c:v>350</c:v>
                </c:pt>
              </c:numCache>
            </c:numRef>
          </c:val>
          <c:smooth val="0"/>
        </c:ser>
        <c:ser>
          <c:idx val="3"/>
          <c:order val="3"/>
          <c:tx>
            <c:strRef>
              <c:f>'H2.2'!$E$4</c:f>
              <c:strCache>
                <c:ptCount val="1"/>
                <c:pt idx="0">
                  <c:v>Quỹ Ngô Xuân Độ, từ năm thứ hai</c:v>
                </c:pt>
              </c:strCache>
            </c:strRef>
          </c:tx>
          <c:spPr>
            <a:ln w="28575">
              <a:solidFill>
                <a:srgbClr val="4A3AA7"/>
              </a:solidFill>
              <a:prstDash val="dash"/>
            </a:ln>
          </c:spPr>
          <c:marker>
            <c:symbol val="circle"/>
            <c:size val="6"/>
            <c:spPr>
              <a:solidFill>
                <a:srgbClr val="4A3AA7"/>
              </a:solidFill>
              <a:ln>
                <a:solidFill>
                  <a:srgbClr val="4A3AA7"/>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'H2.2'!$E$5:$E$12</c:f>
              <c:numCache>
                <c:formatCode>General</c:formatCode>
                <c:ptCount val="8"/>
                <c:pt idx="0">
                  <c:v>0</c:v>
                </c:pt>
                <c:pt idx="1">
                  <c:v>20</c:v>
                </c:pt>
                <c:pt idx="2">
                  <c:v>40</c:v>
                </c:pt>
                <c:pt idx="3">
                  <c:v>60</c:v>
                </c:pt>
                <c:pt idx="4">
                  <c:v>80</c:v>
                </c:pt>
                <c:pt idx="5">
                  <c:v>100</c:v>
                </c:pt>
                <c:pt idx="6">
                  <c:v>120</c:v>
                </c:pt>
                <c:pt idx="7">
                  <c:v>140</c:v>
                </c:pt>
              </c:numCache>
            </c:numRef>
          </c:val>
          <c:smooth val="0"/>
        </c:ser>
        <c:ser>
          <c:idx val="4"/>
          <c:order val="4"/>
          <c:tx>
            <c:strRef>
              <c:f>'H2.2'!$F$4</c:f>
              <c:strCache>
                <c:ptCount val="1"/>
                <c:pt idx="0">
                  <c:v>Luật Sở hữu trí tuệ, Điều 135</c:v>
                </c:pt>
              </c:strCache>
            </c:strRef>
          </c:tx>
          <c:spPr>
            <a:ln w="19050">
              <a:solidFill>
                <a:srgbClr val="3B3A36"/>
              </a:solidFill>
              <a:prstDash val="sysDot"/>
            </a:ln>
          </c:spPr>
          <c:marker>
            <c:symbol val="circle"/>
            <c:size val="6"/>
            <c:spPr>
              <a:solidFill>
                <a:srgbClr val="3B3A36"/>
              </a:solidFill>
              <a:ln>
                <a:solidFill>
                  <a:srgbClr val="3B3A3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'H2.2'!$F$5:$F$12</c:f>
              <c:numCache>
                <c:formatCode>General</c:formatCode>
                <c:ptCount val="8"/>
                <c:pt idx="0">
                  <c:v>0</c:v>
                </c:pt>
                <c:pt idx="1">
                  <c:v>15</c:v>
                </c:pt>
                <c:pt idx="2">
                  <c:v>30</c:v>
                </c:pt>
                <c:pt idx="3">
                  <c:v>45</c:v>
                </c:pt>
                <c:pt idx="4">
                  <c:v>60</c:v>
                </c:pt>
                <c:pt idx="5">
                  <c:v>75</c:v>
                </c:pt>
                <c:pt idx="6">
                  <c:v>90</c:v>
                </c:pt>
                <c:pt idx="7">
                  <c:v>105</c:v>
                </c:pt>
              </c:numCache>
            </c:numRef>
          </c:val>
          <c:smooth val="0"/>
        </c:ser>
        <c:marker val="1"/>
        <c:axId val="50020001"/>
        <c:axId val="50020002"/>
      </c:lineChart>
      <c:catAx>
        <c:axId val="50020001"/>
        <c:scaling>
          <c:orientation val="minMax"/>
        </c:scaling>
        <c:axPos val="b"/>
        <c:title>
          <c:tx>
            <c:rich>
              <a:bodyPr/>
              <a:lstStyle/>
              <a:p>
                <a:pPr>
                  <a:defRPr sz="1000" b="1" baseline="0">
                    <a:solidFill>
                      <a:srgbClr val="262522"/>
                    </a:solidFill>
                    <a:latin typeface="Times New Roman"/>
                  </a:defRPr>
                </a:pPr>
                <a:r>
                  <a:rPr lang="en-US" sz="1000" b="1" baseline="0">
                    <a:solidFill>
                      <a:srgbClr val="262522"/>
                    </a:solidFill>
                    <a:latin typeface="Times New Roman"/>
                  </a:rPr>
                  <a:t>Khoản thu từ một hợp đồng chuyển giao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2"/>
        <c:crosses val="autoZero"/>
        <c:auto val="1"/>
        <c:lblAlgn val="ctr"/>
        <c:lblOffset val="100"/>
        <c:tickLblSkip val="1"/>
      </c:catAx>
      <c:valAx>
        <c:axId val="50020002"/>
        <c:scaling>
          <c:orientation val="minMax"/>
          <c:min val="0"/>
        </c:scaling>
        <c:axPos val="l"/>
        <c:majorGridlines>
          <c:spPr>
            <a:ln w="6350">
              <a:solidFill>
                <a:srgbClr val="DEDDD8"/>
              </a:solidFill>
            </a:ln>
          </c:spPr>
        </c:majorGridlines>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Phần của tác giả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6666666666666666"/>
          <c:w val="0.78709677419354829"/>
          <c:h val="0.74444444444444446"/>
        </c:manualLayout>
      </c:layout>
      <c:barChart>
        <c:barDir val="col"/>
        <c:grouping val="stacked"/>
        <c:ser>
          <c:idx val="0"/>
          <c:order val="0"/>
          <c:tx>
            <c:strRef>
              <c:f>'H2.3'!$B$4</c:f>
              <c:strCache>
                <c:ptCount val="1"/>
                <c:pt idx="0">
                  <c:v>Được cấp kinh phí bằng tiền</c:v>
                </c:pt>
              </c:strCache>
            </c:strRef>
          </c:tx>
          <c:spPr>
            <a:solidFill>
              <a:srgbClr val="2A78D6"/>
            </a:solidFill>
            <a:ln w="9525">
              <a:solidFill>
                <a:srgbClr val="FFFFFF"/>
              </a:solidFill>
            </a:ln>
          </c:spPr>
          <c:cat>
            <c:numRef>
              <c:f>'H2.3'!$A$5:$A$9</c:f>
              <c:numCache>
                <c:formatCode>General</c:formatCode>
                <c:ptCount val="5"/>
                <c:pt idx="0">
                  <c:v>2021</c:v>
                </c:pt>
                <c:pt idx="1">
                  <c:v>2022</c:v>
                </c:pt>
                <c:pt idx="2">
                  <c:v>2023</c:v>
                </c:pt>
                <c:pt idx="3">
                  <c:v>2024</c:v>
                </c:pt>
                <c:pt idx="4">
                  <c:v>2025</c:v>
                </c:pt>
              </c:numCache>
            </c:numRef>
          </c:cat>
          <c:val>
            <c:numRef>
              <c:f>'H2.3'!$B$5:$B$9</c:f>
              <c:numCache>
                <c:formatCode>General</c:formatCode>
                <c:ptCount val="5"/>
                <c:pt idx="0">
                  <c:v>0</c:v>
                </c:pt>
                <c:pt idx="1">
                  <c:v>3</c:v>
                </c:pt>
                <c:pt idx="2">
                  <c:v>7</c:v>
                </c:pt>
                <c:pt idx="3">
                  <c:v>5</c:v>
                </c:pt>
                <c:pt idx="4">
                  <c:v>4</c:v>
                </c:pt>
              </c:numCache>
            </c:numRef>
          </c:val>
        </c:ser>
        <c:ser>
          <c:idx val="1"/>
          <c:order val="1"/>
          <c:tx>
            <c:strRef>
              <c:f>'H2.3'!$C$4</c:f>
              <c:strCache>
                <c:ptCount val="1"/>
                <c:pt idx="0">
                  <c:v>Chỉ quy đổi giờ nghiên cứu</c:v>
                </c:pt>
              </c:strCache>
            </c:strRef>
          </c:tx>
          <c:spPr>
            <a:solidFill>
              <a:srgbClr val="A8A7A1"/>
            </a:solidFill>
            <a:ln w="9525">
              <a:solidFill>
                <a:srgbClr val="FFFFFF"/>
              </a:solidFill>
            </a:ln>
          </c:spPr>
          <c:cat>
            <c:numRef>
              <c:f>'H2.3'!$A$5:$A$9</c:f>
              <c:numCache>
                <c:formatCode>General</c:formatCode>
                <c:ptCount val="5"/>
                <c:pt idx="0">
                  <c:v>2021</c:v>
                </c:pt>
                <c:pt idx="1">
                  <c:v>2022</c:v>
                </c:pt>
                <c:pt idx="2">
                  <c:v>2023</c:v>
                </c:pt>
                <c:pt idx="3">
                  <c:v>2024</c:v>
                </c:pt>
                <c:pt idx="4">
                  <c:v>2025</c:v>
                </c:pt>
              </c:numCache>
            </c:numRef>
          </c:cat>
          <c:val>
            <c:numRef>
              <c:f>'H2.3'!$C$5:$C$9</c:f>
              <c:numCache>
                <c:formatCode>General</c:formatCode>
                <c:ptCount val="5"/>
                <c:pt idx="0">
                  <c:v>6</c:v>
                </c:pt>
                <c:pt idx="1">
                  <c:v>7</c:v>
                </c:pt>
                <c:pt idx="2">
                  <c:v>0</c:v>
                </c:pt>
                <c:pt idx="3">
                  <c:v>0</c:v>
                </c:pt>
                <c:pt idx="4">
                  <c:v>3</c:v>
                </c:pt>
              </c:numCache>
            </c:numRef>
          </c:val>
        </c:ser>
        <c:ser>
          <c:idx val="2"/>
          <c:order val="2"/>
          <c:tx>
            <c:strRef>
              <c:f>'H2.3'!$D$4</c:f>
              <c:strCache>
                <c:ptCount val="1"/>
                <c:pt idx="0">
                  <c:v>Tự tìm nguồn tài trợ</c:v>
                </c:pt>
              </c:strCache>
            </c:strRef>
          </c:tx>
          <c:spPr>
            <a:solidFill>
              <a:srgbClr val="EDA100"/>
            </a:solidFill>
            <a:ln w="9525">
              <a:solidFill>
                <a:srgbClr val="FFFFFF"/>
              </a:solidFill>
            </a:ln>
          </c:spPr>
          <c:cat>
            <c:numRef>
              <c:f>'H2.3'!$A$5:$A$9</c:f>
              <c:numCache>
                <c:formatCode>General</c:formatCode>
                <c:ptCount val="5"/>
                <c:pt idx="0">
                  <c:v>2021</c:v>
                </c:pt>
                <c:pt idx="1">
                  <c:v>2022</c:v>
                </c:pt>
                <c:pt idx="2">
                  <c:v>2023</c:v>
                </c:pt>
                <c:pt idx="3">
                  <c:v>2024</c:v>
                </c:pt>
                <c:pt idx="4">
                  <c:v>2025</c:v>
                </c:pt>
              </c:numCache>
            </c:numRef>
          </c:cat>
          <c:val>
            <c:numRef>
              <c:f>'H2.3'!$D$5:$D$9</c:f>
              <c:numCache>
                <c:formatCode>General</c:formatCode>
                <c:ptCount val="5"/>
                <c:pt idx="0">
                  <c:v>0</c:v>
                </c:pt>
                <c:pt idx="1">
                  <c:v>0</c:v>
                </c:pt>
                <c:pt idx="2">
                  <c:v>0</c:v>
                </c:pt>
                <c:pt idx="3">
                  <c:v>3</c:v>
                </c:pt>
                <c:pt idx="4">
                  <c:v>0</c:v>
                </c:pt>
              </c:numCache>
            </c:numRef>
          </c:val>
        </c:ser>
        <c:gapWidth val="60"/>
        <c:overlap val="100"/>
        <c:axId val="50030001"/>
        <c:axId val="50030002"/>
      </c:barChart>
      <c:lineChart>
        <c:grouping val="standard"/>
        <c:ser>
          <c:idx val="3"/>
          <c:order val="3"/>
          <c:tx>
            <c:strRef>
              <c:f>'H2.3'!$E$4</c:f>
              <c:strCache>
                <c:ptCount val="1"/>
                <c:pt idx="0">
                  <c:v>Kinh phí Nhà trường cấp (triệu đồng)</c:v>
                </c:pt>
              </c:strCache>
            </c:strRef>
          </c:tx>
          <c:spPr>
            <a:ln w="25400">
              <a:solidFill>
                <a:srgbClr val="EB6834"/>
              </a:solidFill>
            </a:ln>
          </c:spPr>
          <c:marker>
            <c:symbol val="circle"/>
            <c:size val="6"/>
            <c:spPr>
              <a:solidFill>
                <a:srgbClr val="EB6834"/>
              </a:solidFill>
              <a:ln>
                <a:solidFill>
                  <a:srgbClr val="EB6834"/>
                </a:solidFill>
              </a:ln>
            </c:spPr>
          </c:marker>
          <c:dLbls>
            <c:dLbl>
              <c:idx val="0"/>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'H2.3'!$A$5:$A$9</c:f>
              <c:numCache>
                <c:formatCode>General</c:formatCode>
                <c:ptCount val="5"/>
                <c:pt idx="0">
                  <c:v>2021</c:v>
                </c:pt>
                <c:pt idx="1">
                  <c:v>2022</c:v>
                </c:pt>
                <c:pt idx="2">
                  <c:v>2023</c:v>
                </c:pt>
                <c:pt idx="3">
                  <c:v>2024</c:v>
                </c:pt>
                <c:pt idx="4">
                  <c:v>2025</c:v>
                </c:pt>
              </c:numCache>
            </c:numRef>
          </c:cat>
          <c:val>
            <c:numRef>
              <c:f>'H2.3'!$E$5:$E$9</c:f>
              <c:numCache>
                <c:formatCode>General</c:formatCode>
                <c:ptCount val="5"/>
                <c:pt idx="0">
                  <c:v>0</c:v>
                </c:pt>
                <c:pt idx="1">
                  <c:v>84</c:v>
                </c:pt>
                <c:pt idx="2">
                  <c:v>70</c:v>
                </c:pt>
                <c:pt idx="3">
                  <c:v>125.75</c:v>
                </c:pt>
                <c:pt idx="4">
                  <c:v>145</c:v>
                </c:pt>
              </c:numCache>
            </c:numRef>
          </c:val>
          <c:smooth val="0"/>
        </c:ser>
        <c:marker val="1"/>
        <c:axId val="60030001"/>
        <c:axId val="60030002"/>
      </c:lineChart>
      <c:catAx>
        <c:axId val="5003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2"/>
        <c:crosses val="autoZero"/>
        <c:auto val="1"/>
        <c:lblAlgn val="ctr"/>
        <c:lblOffset val="100"/>
        <c:tickLblSkip val="1"/>
      </c:catAx>
      <c:valAx>
        <c:axId val="5003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1"/>
        <c:crosses val="autoZero"/>
        <c:crossBetween val="between"/>
      </c:valAx>
      <c:valAx>
        <c:axId val="60030002"/>
        <c:scaling>
          <c:orientation val="minMax"/>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Kinh phí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ln>
          <a:noFill/>
        </a:ln>
      </c:spPr>
    </c:plotArea>
    <c:legend>
      <c:legendPos val="t"/>
      <c:layout>
        <c:manualLayout>
          <c:xMode val="edge"/>
          <c:yMode val="edge"/>
          <c:x val="0.02"/>
          <c:y val="0.011111111111111112"/>
          <c:w val="0.95999999999999996"/>
          <c:h val="0.127777777777777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0000000000000001"/>
          <c:w val="0.78709677419354829"/>
          <c:h val="0.64000000000000001"/>
        </c:manualLayout>
      </c:layout>
      <c:barChart>
        <c:barDir val="col"/>
        <c:grouping val="clustered"/>
        <c:ser>
          <c:idx val="0"/>
          <c:order val="0"/>
          <c:tx>
            <c:strRef>
              <c:f>'H2.4'!$B$4</c:f>
              <c:strCache>
                <c:ptCount val="1"/>
                <c:pt idx="0">
                  <c:v>Giờ nghiên cứu quy đổi</c:v>
                </c:pt>
              </c:strCache>
            </c:strRef>
          </c:tx>
          <c:spPr>
            <a:solidFill>
              <a:srgbClr val="2A78D6"/>
            </a:solidFill>
            <a:ln w="9525">
              <a:solidFill>
                <a:srgbClr val="FFFFFF"/>
              </a:solidFill>
            </a:ln>
          </c:spPr>
          <c:dPt>
            <c:idx val="0"/>
            <c:spPr>
              <a:solidFill>
                <a:srgbClr val="4A3AA7"/>
              </a:solidFill>
              <a:ln w="9525">
                <a:solidFill>
                  <a:srgbClr val="FFFFFF"/>
                </a:solidFill>
              </a:ln>
            </c:spPr>
          </c:dPt>
          <c:dPt>
            <c:idx val="1"/>
            <c:spPr>
              <a:solidFill>
                <a:srgbClr val="4A3AA7"/>
              </a:solidFill>
              <a:ln w="9525">
                <a:solidFill>
                  <a:srgbClr val="FFFFFF"/>
                </a:solidFill>
              </a:ln>
            </c:spPr>
          </c:dPt>
          <c:dPt>
            <c:idx val="2"/>
            <c:spPr>
              <a:solidFill>
                <a:srgbClr val="4A3AA7"/>
              </a:solidFill>
              <a:ln w="9525">
                <a:solidFill>
                  <a:srgbClr val="FFFFFF"/>
                </a:solidFill>
              </a:ln>
            </c:spPr>
          </c:dPt>
          <c:dPt>
            <c:idx val="3"/>
            <c:spPr>
              <a:solidFill>
                <a:srgbClr val="2A78D6"/>
              </a:solidFill>
              <a:ln w="9525">
                <a:solidFill>
                  <a:srgbClr val="FFFFFF"/>
                </a:solidFill>
              </a:ln>
            </c:spPr>
          </c:dPt>
          <c:dPt>
            <c:idx val="4"/>
            <c:spPr>
              <a:solidFill>
                <a:srgbClr val="2A78D6"/>
              </a:solidFill>
              <a:ln w="9525">
                <a:solidFill>
                  <a:srgbClr val="FFFFFF"/>
                </a:solidFill>
              </a:ln>
            </c:spPr>
          </c:dPt>
          <c:dPt>
            <c:idx val="5"/>
            <c:spPr>
              <a:solidFill>
                <a:srgbClr val="2A78D6"/>
              </a:solidFill>
              <a:ln w="9525">
                <a:solidFill>
                  <a:srgbClr val="FFFFFF"/>
                </a:solidFill>
              </a:ln>
            </c:spPr>
          </c:dPt>
          <c:dPt>
            <c:idx val="6"/>
            <c:spPr>
              <a:solidFill>
                <a:srgbClr val="2A78D6"/>
              </a:solidFill>
              <a:ln w="9525">
                <a:solidFill>
                  <a:srgbClr val="FFFFFF"/>
                </a:solidFill>
              </a:ln>
            </c:spPr>
          </c:dPt>
          <c:dPt>
            <c:idx val="7"/>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'H2.4'!$A$5:$A$12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'H2.4'!$B$5:$B$12</c:f>
              <c:numCache>
                <c:formatCode>General</c:formatCode>
                <c:ptCount val="8"/>
                <c:pt idx="0">
                  <c:v>600</c:v>
                </c:pt>
                <c:pt idx="1">
                  <c:v>360</c:v>
                </c:pt>
                <c:pt idx="2">
                  <c:v>180</c:v>
                </c:pt>
                <c:pt idx="3">
                  <c:v>300</c:v>
                </c:pt>
                <c:pt idx="4">
                  <c:v>270</c:v>
                </c:pt>
                <c:pt idx="5">
                  <c:v>240</c:v>
                </c:pt>
                <c:pt idx="6">
                  <c:v>240</c:v>
                </c:pt>
                <c:pt idx="7">
                  <c:v>150</c:v>
                </c:pt>
              </c:numCache>
            </c:numRef>
          </c:val>
        </c:ser>
        <c:gapWidth val="60"/>
        <c:axId val="50040001"/>
        <c:axId val="50040002"/>
      </c:barChart>
      <c:lineChart>
        <c:grouping val="standard"/>
        <c:ser>
          <c:idx val="1"/>
          <c:order val="1"/>
          <c:tx>
            <c:strRef>
              <c:f>'H2.4'!$C$4</c:f>
              <c:strCache>
                <c:ptCount val="1"/>
                <c:pt idx="0">
                  <c:v>Thưởng bằng tiền (triệu đồng)</c:v>
                </c:pt>
              </c:strCache>
            </c:strRef>
          </c:tx>
          <c:spPr>
            <a:ln>
              <a:noFill/>
            </a:ln>
          </c:spPr>
          <c:marker>
            <c:symbol val="circle"/>
            <c:size val="8"/>
            <c:spPr>
              <a:solidFill>
                <a:srgbClr val="EB6834"/>
              </a:solidFill>
              <a:ln w="12700">
                <a:solidFill>
                  <a:srgbClr val="FFFFFF"/>
                </a:solidFill>
              </a:ln>
            </c:spPr>
          </c:marker>
          <c:dLbls>
            <c:dLbl>
              <c:idx val="0"/>
              <c:delete val="1"/>
            </c:dLbl>
            <c:dLbl>
              <c:idx val="1"/>
              <c:delete val="1"/>
            </c:dLbl>
            <c:dLbl>
              <c:idx val="2"/>
              <c:delete val="1"/>
            </c:dLbl>
            <c:dLbl>
              <c:idx val="7"/>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strRef>
              <c:f>'H2.4'!$A$5:$A$12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'H2.4'!$C$5:$C$12</c:f>
              <c:numCache>
                <c:formatCode>General</c:formatCode>
                <c:ptCount val="8"/>
                <c:pt idx="0">
                  <c:v>0</c:v>
                </c:pt>
                <c:pt idx="1">
                  <c:v>0</c:v>
                </c:pt>
                <c:pt idx="2">
                  <c:v>0</c:v>
                </c:pt>
                <c:pt idx="3">
                  <c:v>20</c:v>
                </c:pt>
                <c:pt idx="4">
                  <c:v>15</c:v>
                </c:pt>
                <c:pt idx="5">
                  <c:v>12</c:v>
                </c:pt>
                <c:pt idx="6">
                  <c:v>10</c:v>
                </c:pt>
                <c:pt idx="7">
                  <c:v>0</c:v>
                </c:pt>
              </c:numCache>
            </c:numRef>
          </c:val>
          <c:smooth val="0"/>
        </c:ser>
        <c:marker val="1"/>
        <c:axId val="60040001"/>
        <c:axId val="60040002"/>
      </c:lineChart>
      <c:catAx>
        <c:axId val="50040001"/>
        <c:scaling>
          <c:orientation val="minMax"/>
        </c:scaling>
        <c:axPos val="b"/>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2"/>
        <c:crosses val="autoZero"/>
        <c:auto val="1"/>
        <c:lblAlgn val="ctr"/>
        <c:lblOffset val="100"/>
        <c:tickLblSkip val="1"/>
      </c:catAx>
      <c:valAx>
        <c:axId val="50040002"/>
        <c:scaling>
          <c:orientation val="minMax"/>
          <c:max val="900"/>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Giờ nghiên cứu quy đổi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1"/>
        <c:crosses val="autoZero"/>
        <c:crossBetween val="between"/>
      </c:valAx>
      <c:valAx>
        <c:axId val="60040002"/>
        <c:scaling>
          <c:orientation val="minMax"/>
          <c:max val="25"/>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Thưởng bằng tiền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40001"/>
        <c:crosses val="max"/>
        <c:crossBetween val="between"/>
      </c:valAx>
      <c:catAx>
        <c:axId val="60040001"/>
        <c:scaling>
          <c:orientation val="minMax"/>
        </c:scaling>
        <c:delete val="1"/>
        <c:axPos val="b"/>
        <c:tickLblPos val="none"/>
        <c:crossAx val="60040002"/>
        <c:crosses val="autoZero"/>
        <c:auto val="1"/>
        <c:lblAlgn val="ctr"/>
        <c:lblOffset val="100"/>
      </c:catAx>
      <c:spPr>
        <a:ln>
          <a:noFill/>
        </a:ln>
      </c:spPr>
    </c:plotArea>
    <c:legend>
      <c:legendPos val="t"/>
      <c:layout>
        <c:manualLayout>
          <c:xMode val="edge"/>
          <c:yMode val="edge"/>
          <c:x val="0.02"/>
          <c:y val="0.01"/>
          <c:w val="0.95999999999999996"/>
          <c:h val="0.065000000000000002"/>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5870967741935485"/>
          <c:y val="0.19607843137254904"/>
          <c:w val="0.77032258064516124"/>
          <c:h val="0.58823529411764697"/>
        </c:manualLayout>
      </c:layout>
      <c:barChart>
        <c:barDir val="bar"/>
        <c:grouping val="stacked"/>
        <c:ser>
          <c:idx val="0"/>
          <c:order val="0"/>
          <c:tx>
            <c:strRef>
              <c:f>'H2.5'!$B$4</c:f>
              <c:strCache>
                <c:ptCount val="1"/>
                <c:pt idx="0">
                  <c:v>Tính được đầy đủ</c:v>
                </c:pt>
              </c:strCache>
            </c:strRef>
          </c:tx>
          <c:spPr>
            <a:solidFill>
              <a:srgbClr val="1BAF7A"/>
            </a:solidFill>
            <a:ln w="9525">
              <a:solidFill>
                <a:srgbClr val="FFFFFF"/>
              </a:solidFill>
            </a:ln>
          </c:spPr>
          <c:dLbls>
            <c:dLbl>
              <c:idx val="3"/>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'H2.5'!$A$5:$A$8</c:f>
              <c:strCache>
                <c:ptCount val="4"/>
                <c:pt idx="0">
                  <c:v>Đầu vào</c:v>
                </c:pt>
                <c:pt idx="1">
                  <c:v>Quá trình</c:v>
                </c:pt>
                <c:pt idx="2">
                  <c:v>Đầu ra</c:v>
                </c:pt>
                <c:pt idx="3">
                  <c:v>Kết quả</c:v>
                </c:pt>
              </c:strCache>
            </c:strRef>
          </c:cat>
          <c:val>
            <c:numRef>
              <c:f>'H2.5'!$B$5:$B$8</c:f>
              <c:numCache>
                <c:formatCode>General</c:formatCode>
                <c:ptCount val="4"/>
                <c:pt idx="0">
                  <c:v>1</c:v>
                </c:pt>
                <c:pt idx="1">
                  <c:v>1</c:v>
                </c:pt>
                <c:pt idx="2">
                  <c:v>3</c:v>
                </c:pt>
                <c:pt idx="3">
                  <c:v>0</c:v>
                </c:pt>
              </c:numCache>
            </c:numRef>
          </c:val>
        </c:ser>
        <c:ser>
          <c:idx val="1"/>
          <c:order val="1"/>
          <c:tx>
            <c:strRef>
              <c:f>'H2.5'!$C$4</c:f>
              <c:strCache>
                <c:ptCount val="1"/>
                <c:pt idx="0">
                  <c:v>Tính được một phần</c:v>
                </c:pt>
              </c:strCache>
            </c:strRef>
          </c:tx>
          <c:spPr>
            <a:solidFill>
              <a:srgbClr val="EDA100"/>
            </a:solidFill>
            <a:ln w="9525">
              <a:solidFill>
                <a:srgbClr val="FFFFFF"/>
              </a:solidFill>
            </a:ln>
          </c:spPr>
          <c:dLbls>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'H2.5'!$A$5:$A$8</c:f>
              <c:strCache>
                <c:ptCount val="4"/>
                <c:pt idx="0">
                  <c:v>Đầu vào</c:v>
                </c:pt>
                <c:pt idx="1">
                  <c:v>Quá trình</c:v>
                </c:pt>
                <c:pt idx="2">
                  <c:v>Đầu ra</c:v>
                </c:pt>
                <c:pt idx="3">
                  <c:v>Kết quả</c:v>
                </c:pt>
              </c:strCache>
            </c:strRef>
          </c:cat>
          <c:val>
            <c:numRef>
              <c:f>'H2.5'!$C$5:$C$8</c:f>
              <c:numCache>
                <c:formatCode>General</c:formatCode>
                <c:ptCount val="4"/>
                <c:pt idx="0">
                  <c:v>1</c:v>
                </c:pt>
                <c:pt idx="1">
                  <c:v>1</c:v>
                </c:pt>
                <c:pt idx="2">
                  <c:v>1</c:v>
                </c:pt>
                <c:pt idx="3">
                  <c:v>1</c:v>
                </c:pt>
              </c:numCache>
            </c:numRef>
          </c:val>
        </c:ser>
        <c:ser>
          <c:idx val="2"/>
          <c:order val="2"/>
          <c:tx>
            <c:strRef>
              <c:f>'H2.5'!$D$4</c:f>
              <c:strCache>
                <c:ptCount val="1"/>
                <c:pt idx="0">
                  <c:v>Chưa tính được</c:v>
                </c:pt>
              </c:strCache>
            </c:strRef>
          </c:tx>
          <c:spPr>
            <a:solidFill>
              <a:srgbClr val="EB6834"/>
            </a:solidFill>
            <a:ln w="9525">
              <a:solidFill>
                <a:srgbClr val="FFFFFF"/>
              </a:solidFill>
            </a:ln>
          </c:spPr>
          <c:dLbls>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'H2.5'!$A$5:$A$8</c:f>
              <c:strCache>
                <c:ptCount val="4"/>
                <c:pt idx="0">
                  <c:v>Đầu vào</c:v>
                </c:pt>
                <c:pt idx="1">
                  <c:v>Quá trình</c:v>
                </c:pt>
                <c:pt idx="2">
                  <c:v>Đầu ra</c:v>
                </c:pt>
                <c:pt idx="3">
                  <c:v>Kết quả</c:v>
                </c:pt>
              </c:strCache>
            </c:strRef>
          </c:cat>
          <c:val>
            <c:numRef>
              <c:f>'H2.5'!$D$5:$D$8</c:f>
              <c:numCache>
                <c:formatCode>General</c:formatCode>
                <c:ptCount val="4"/>
                <c:pt idx="0">
                  <c:v>1</c:v>
                </c:pt>
                <c:pt idx="1">
                  <c:v>2</c:v>
                </c:pt>
                <c:pt idx="2">
                  <c:v>0</c:v>
                </c:pt>
                <c:pt idx="3">
                  <c:v>4</c:v>
                </c:pt>
              </c:numCache>
            </c:numRef>
          </c:val>
        </c:ser>
        <c:gapWidth val="50"/>
        <c:overlap val="100"/>
        <c:axId val="50050001"/>
        <c:axId val="50050002"/>
      </c:barChart>
      <c:catAx>
        <c:axId val="5005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2"/>
        <c:crosses val="autoZero"/>
        <c:auto val="1"/>
        <c:lblAlgn val="ctr"/>
        <c:lblOffset val="100"/>
        <c:tickLblSkip val="1"/>
      </c:catAx>
      <c:valAx>
        <c:axId val="5005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tiêu chí</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0580645161290326"/>
          <c:y val="0.19607843137254904"/>
          <c:w val="0.62322580645161296"/>
          <c:h val="0.58823529411764697"/>
        </c:manualLayout>
      </c:layout>
      <c:barChart>
        <c:barDir val="bar"/>
        <c:grouping val="stacked"/>
        <c:ser>
          <c:idx val="0"/>
          <c:order val="0"/>
          <c:tx>
            <c:strRef>
              <c:f>'H2.6'!$B$4</c:f>
              <c:strCache>
                <c:ptCount val="1"/>
                <c:pt idx="0">
                  <c:v>Đã cấp văn bằng</c:v>
                </c:pt>
              </c:strCache>
            </c:strRef>
          </c:tx>
          <c:spPr>
            <a:solidFill>
              <a:srgbClr val="2A78D6"/>
            </a:solidFill>
            <a:ln w="9525">
              <a:solidFill>
                <a:srgbClr val="FFFFFF"/>
              </a:solidFill>
            </a:ln>
          </c:spPr>
          <c:dLbls>
            <c:dLbl>
              <c:idx val="3"/>
              <c:delete val="1"/>
            </c:dLbl>
            <c:numFmt formatCode="0" sourceLinked="0"/>
            <c:txPr>
              <a:bodyPr/>
              <a:lstStyle/>
              <a:p>
                <a:pPr>
                  <a:defRPr sz="900" b="1" baseline="0">
                    <a:solidFill>
                      <a:srgbClr val="FFFFFF"/>
                    </a:solidFill>
                    <a:latin typeface="Times New Roman"/>
                  </a:defRPr>
                </a:pPr>
                <a:endParaRPr lang="en-US"/>
              </a:p>
            </c:txPr>
            <c:dLblPos val="ctr"/>
            <c:showLegendKey val="0"/>
            <c:showVal val="1"/>
            <c:showCatName val="0"/>
            <c:showSerName val="0"/>
            <c:showPercent val="0"/>
            <c:showBubbleSize val="0"/>
          </c:dLbls>
          <c:cat>
            <c:strRef>
              <c:f>'H2.6'!$A$5:$A$8</c:f>
              <c:strCache>
                <c:ptCount val="4"/>
                <c:pt idx="0">
                  <c:v>Quyền tác giả</c:v>
                </c:pt>
                <c:pt idx="1">
                  <c:v>Nhãn hiệu</c:v>
                </c:pt>
                <c:pt idx="2">
                  <c:v>Kiểu dáng công nghiệp</c:v>
                </c:pt>
                <c:pt idx="3">
                  <c:v>Sáng chế</c:v>
                </c:pt>
              </c:strCache>
            </c:strRef>
          </c:cat>
          <c:val>
            <c:numRef>
              <c:f>'H2.6'!$B$5:$B$8</c:f>
              <c:numCache>
                <c:formatCode>General</c:formatCode>
                <c:ptCount val="4"/>
                <c:pt idx="0">
                  <c:v>2</c:v>
                </c:pt>
                <c:pt idx="1">
                  <c:v>2</c:v>
                </c:pt>
                <c:pt idx="2">
                  <c:v>5</c:v>
                </c:pt>
                <c:pt idx="3">
                  <c:v>0</c:v>
                </c:pt>
              </c:numCache>
            </c:numRef>
          </c:val>
        </c:ser>
        <c:ser>
          <c:idx val="1"/>
          <c:order val="1"/>
          <c:tx>
            <c:strRef>
              <c:f>'H2.6'!$C$4</c:f>
              <c:strCache>
                <c:ptCount val="1"/>
                <c:pt idx="0">
                  <c:v>Đang xử lý</c:v>
                </c:pt>
              </c:strCache>
            </c:strRef>
          </c:tx>
          <c:spPr>
            <a:solidFill>
              <a:srgbClr val="EDA100"/>
            </a:solidFill>
            <a:ln w="9525">
              <a:solidFill>
                <a:srgbClr val="FFFFFF"/>
              </a:solidFill>
            </a:ln>
          </c:spPr>
          <c:dLbls>
            <c:dLbl>
              <c:idx val="0"/>
              <c:delete val="1"/>
            </c:dLbl>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Quyền tác giả</c:v>
                </c:pt>
                <c:pt idx="1">
                  <c:v>Nhãn hiệu</c:v>
                </c:pt>
                <c:pt idx="2">
                  <c:v>Kiểu dáng công nghiệp</c:v>
                </c:pt>
                <c:pt idx="3">
                  <c:v>Sáng chế</c:v>
                </c:pt>
              </c:strCache>
            </c:strRef>
          </c:cat>
          <c:val>
            <c:numRef>
              <c:f>'H2.6'!$C$5:$C$8</c:f>
              <c:numCache>
                <c:formatCode>General</c:formatCode>
                <c:ptCount val="4"/>
                <c:pt idx="0">
                  <c:v>0</c:v>
                </c:pt>
                <c:pt idx="1">
                  <c:v>1</c:v>
                </c:pt>
                <c:pt idx="2">
                  <c:v>0</c:v>
                </c:pt>
                <c:pt idx="3">
                  <c:v>2</c:v>
                </c:pt>
              </c:numCache>
            </c:numRef>
          </c:val>
        </c:ser>
        <c:gapWidth val="55"/>
        <c:overlap val="100"/>
        <c:axId val="50060001"/>
        <c:axId val="50060002"/>
      </c:barChart>
      <c:catAx>
        <c:axId val="5006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2"/>
        <c:crosses val="autoZero"/>
        <c:auto val="1"/>
        <c:lblAlgn val="ctr"/>
        <c:lblOffset val="100"/>
        <c:tickLblSkip val="1"/>
      </c:catAx>
      <c:valAx>
        <c:axId val="5006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tài sản</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049999999999999996"/>
          <c:w val="0.55161290322580647"/>
          <c:h val="0.76666666666666661"/>
        </c:manualLayout>
      </c:layout>
      <c:barChart>
        <c:barDir val="bar"/>
        <c:grouping val="clustered"/>
        <c:ser>
          <c:idx val="0"/>
          <c:order val="0"/>
          <c:tx>
            <c:strRef>
              <c:f>'H2.7'!$B$4</c:f>
              <c:strCache>
                <c:ptCount val="1"/>
                <c:pt idx="0">
                  <c:v>Số sản phẩm</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1BAF7A"/>
              </a:solidFill>
              <a:ln w="9525">
                <a:solidFill>
                  <a:srgbClr val="FFFFFF"/>
                </a:solidFill>
              </a:ln>
            </c:spPr>
          </c:dPt>
          <c:dPt>
            <c:idx val="4"/>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'H2.7'!$A$5:$A$9</c:f>
              <c:strCache>
                <c:ptCount val="5"/>
                <c:pt idx="0">
                  <c:v>Giải pháp hữu ích</c:v>
                </c:pt>
                <c:pt idx="1">
                  <c:v>Giải pháp hữu ích hoặc sáng chế</c:v>
                </c:pt>
                <c:pt idx="2">
                  <c:v>Sáng chế</c:v>
                </c:pt>
                <c:pt idx="3">
                  <c:v>Sưu tập dữ liệu</c:v>
                </c:pt>
                <c:pt idx="4">
                  <c:v>Kiểu dáng công nghiệp hoặc giải pháp hữu ích</c:v>
                </c:pt>
              </c:strCache>
            </c:strRef>
          </c:cat>
          <c:val>
            <c:numRef>
              <c:f>'H2.7'!$B$5:$B$9</c:f>
              <c:numCache>
                <c:formatCode>General</c:formatCode>
                <c:ptCount val="5"/>
                <c:pt idx="0">
                  <c:v>5</c:v>
                </c:pt>
                <c:pt idx="1">
                  <c:v>2</c:v>
                </c:pt>
                <c:pt idx="2">
                  <c:v>1</c:v>
                </c:pt>
                <c:pt idx="3">
                  <c:v>2</c:v>
                </c:pt>
                <c:pt idx="4">
                  <c:v>1</c:v>
                </c:pt>
              </c:numCache>
            </c:numRef>
          </c:val>
        </c:ser>
        <c:gapWidth val="60"/>
        <c:axId val="50070001"/>
        <c:axId val="50070002"/>
      </c:barChart>
      <c:catAx>
        <c:axId val="5007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2"/>
        <c:crosses val="autoZero"/>
        <c:auto val="1"/>
        <c:lblAlgn val="ctr"/>
        <c:lblOffset val="100"/>
        <c:tickLblSkip val="1"/>
      </c:catAx>
      <c:valAx>
        <c:axId val="5007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19230769230769229"/>
          <c:w val="0.55161290322580647"/>
          <c:h val="0.59615384615384615"/>
        </c:manualLayout>
      </c:layout>
      <c:barChart>
        <c:barDir val="bar"/>
        <c:grouping val="clustered"/>
        <c:ser>
          <c:idx val="0"/>
          <c:order val="0"/>
          <c:tx>
            <c:strRef>
              <c:f>'H2.8'!$B$4</c:f>
              <c:strCache>
                <c:ptCount val="1"/>
                <c:pt idx="0">
                  <c:v>Toàn giai đoạn 2021 - 2025</c:v>
                </c:pt>
              </c:strCache>
            </c:strRef>
          </c:tx>
          <c:spPr>
            <a:solidFill>
              <a:srgbClr val="2A78D6"/>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'H2.8'!$A$5:$A$7</c:f>
              <c:strCache>
                <c:ptCount val="3"/>
                <c:pt idx="0">
                  <c:v>Đề tài đã nghiệm thu</c:v>
                </c:pt>
                <c:pt idx="1">
                  <c:v>Có sản phẩm đủ điều kiện xác lập quyền</c:v>
                </c:pt>
                <c:pt idx="2">
                  <c:v>Đã nộp đơn đăng ký</c:v>
                </c:pt>
              </c:strCache>
            </c:strRef>
          </c:cat>
          <c:val>
            <c:numRef>
              <c:f>'H2.8'!$B$5:$B$7</c:f>
              <c:numCache>
                <c:formatCode>General</c:formatCode>
                <c:ptCount val="3"/>
                <c:pt idx="0">
                  <c:v>38</c:v>
                </c:pt>
                <c:pt idx="1">
                  <c:v>11</c:v>
                </c:pt>
                <c:pt idx="2">
                  <c:v>1</c:v>
                </c:pt>
              </c:numCache>
            </c:numRef>
          </c:val>
        </c:ser>
        <c:ser>
          <c:idx val="1"/>
          <c:order val="1"/>
          <c:tx>
            <c:strRef>
              <c:f>'H2.8'!$C$4</c:f>
              <c:strCache>
                <c:ptCount val="1"/>
                <c:pt idx="0">
                  <c:v>Đề tài giao từ năm 2021 đến năm 2024</c:v>
                </c:pt>
              </c:strCache>
            </c:strRef>
          </c:tx>
          <c:spPr>
            <a:solidFill>
              <a:srgbClr val="1BAF7A"/>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'H2.8'!$A$5:$A$7</c:f>
              <c:strCache>
                <c:ptCount val="3"/>
                <c:pt idx="0">
                  <c:v>Đề tài đã nghiệm thu</c:v>
                </c:pt>
                <c:pt idx="1">
                  <c:v>Có sản phẩm đủ điều kiện xác lập quyền</c:v>
                </c:pt>
                <c:pt idx="2">
                  <c:v>Đã nộp đơn đăng ký</c:v>
                </c:pt>
              </c:strCache>
            </c:strRef>
          </c:cat>
          <c:val>
            <c:numRef>
              <c:f>'H2.8'!$C$5:$C$7</c:f>
              <c:numCache>
                <c:formatCode>General</c:formatCode>
                <c:ptCount val="3"/>
                <c:pt idx="0">
                  <c:v>31</c:v>
                </c:pt>
                <c:pt idx="1">
                  <c:v>8</c:v>
                </c:pt>
                <c:pt idx="2">
                  <c:v>0</c:v>
                </c:pt>
              </c:numCache>
            </c:numRef>
          </c:val>
        </c:ser>
        <c:gapWidth val="45"/>
        <c:axId val="50080001"/>
        <c:axId val="50080002"/>
      </c:barChart>
      <c:catAx>
        <c:axId val="5008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2"/>
        <c:crosses val="autoZero"/>
        <c:auto val="1"/>
        <c:lblAlgn val="ctr"/>
        <c:lblOffset val="100"/>
        <c:tickLblSkip val="1"/>
      </c:catAx>
      <c:valAx>
        <c:axId val="5008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1"/>
        <c:crosses val="max"/>
        <c:crossBetween val="between"/>
      </c:valAx>
      <c:spPr>
        <a:ln>
          <a:noFill/>
        </a:ln>
      </c:spPr>
    </c:plotArea>
    <c:legend>
      <c:legendPos val="t"/>
      <c:layout>
        <c:manualLayout>
          <c:xMode val="edge"/>
          <c:yMode val="edge"/>
          <c:x val="0.02"/>
          <c:y val="0.019230769230769232"/>
          <c:w val="0.95999999999999996"/>
          <c:h val="0.125"/>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3032258064516129"/>
          <c:y val="0.034883720930232558"/>
          <c:w val="0.59870967741935477"/>
          <c:h val="0.83720930232558133"/>
        </c:manualLayout>
      </c:layout>
      <c:barChart>
        <c:barDir val="bar"/>
        <c:grouping val="clustered"/>
        <c:ser>
          <c:idx val="0"/>
          <c:order val="0"/>
          <c:tx>
            <c:strRef>
              <c:f>'H2.9'!$E$4</c:f>
              <c:strCache>
                <c:ptCount val="1"/>
                <c:pt idx="0">
                  <c:v>Tỷ lệ thực hiện</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2A78D6"/>
              </a:solidFill>
              <a:ln w="9525">
                <a:solidFill>
                  <a:srgbClr val="FFFFFF"/>
                </a:solidFill>
              </a:ln>
            </c:spPr>
          </c:dPt>
          <c:dPt>
            <c:idx val="4"/>
            <c:spPr>
              <a:solidFill>
                <a:srgbClr val="1BAF7A"/>
              </a:solidFill>
              <a:ln w="9525">
                <a:solidFill>
                  <a:srgbClr val="FFFFFF"/>
                </a:solidFill>
              </a:ln>
            </c:spPr>
          </c:dPt>
          <c:dPt>
            <c:idx val="5"/>
            <c:spPr>
              <a:solidFill>
                <a:srgbClr val="1BAF7A"/>
              </a:solidFill>
              <a:ln w="9525">
                <a:solidFill>
                  <a:srgbClr val="FFFFFF"/>
                </a:solidFill>
              </a:ln>
            </c:spPr>
          </c:dPt>
          <c:dPt>
            <c:idx val="6"/>
            <c:spPr>
              <a:solidFill>
                <a:srgbClr val="2A78D6"/>
              </a:solidFill>
              <a:ln w="9525">
                <a:solidFill>
                  <a:srgbClr val="FFFFFF"/>
                </a:solidFill>
              </a:ln>
            </c:spPr>
          </c:dPt>
          <c:dPt>
            <c:idx val="7"/>
            <c:spPr>
              <a:solidFill>
                <a:srgbClr val="1BAF7A"/>
              </a:solidFill>
              <a:ln w="9525">
                <a:solidFill>
                  <a:srgbClr val="FFFFFF"/>
                </a:solidFill>
              </a:ln>
            </c:spPr>
          </c:dPt>
          <c:dPt>
            <c:idx val="8"/>
            <c:spPr>
              <a:solidFill>
                <a:srgbClr val="EB6834"/>
              </a:solidFill>
              <a:ln w="9525">
                <a:solidFill>
                  <a:srgbClr val="FFFFFF"/>
                </a:solidFill>
              </a:ln>
            </c:spPr>
          </c:dPt>
          <c:dPt>
            <c:idx val="9"/>
            <c:spPr>
              <a:solidFill>
                <a:srgbClr val="EB6834"/>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'H2.9'!$A$5:$A$14</c:f>
              <c:strCache>
                <c:ptCount val="10"/>
                <c:pt idx="0">
                  <c:v>Bài báo quốc tế</c:v>
                </c:pt>
                <c:pt idx="1">
                  <c:v>Sách có ISBN</c:v>
                </c:pt>
                <c:pt idx="2">
                  <c:v>Tham luận cấp trường</c:v>
                </c:pt>
                <c:pt idx="3">
                  <c:v>Bài báo trong nước</c:v>
                </c:pt>
                <c:pt idx="4">
                  <c:v>Đề tài cấp Bộ, Nhà nước</c:v>
                </c:pt>
                <c:pt idx="5">
                  <c:v>Đề tài cấp cơ sở</c:v>
                </c:pt>
                <c:pt idx="6">
                  <c:v>Tham luận quốc tế</c:v>
                </c:pt>
                <c:pt idx="7">
                  <c:v>Giáo trình, tài liệu</c:v>
                </c:pt>
                <c:pt idx="8">
                  <c:v>Văn bằng sở hữu trí tuệ</c:v>
                </c:pt>
                <c:pt idx="9">
                  <c:v>Chuyển giao công nghệ</c:v>
                </c:pt>
              </c:strCache>
            </c:strRef>
          </c:cat>
          <c:val>
            <c:numRef>
              <c:f>'H2.9'!$E$5:$E$14</c:f>
              <c:numCache>
                <c:formatCode>General</c:formatCode>
                <c:ptCount val="10"/>
                <c:pt idx="0">
                  <c:v>2.833333333333333</c:v>
                </c:pt>
                <c:pt idx="1">
                  <c:v>2.666666666666667</c:v>
                </c:pt>
                <c:pt idx="2">
                  <c:v>2.233333333333333</c:v>
                </c:pt>
                <c:pt idx="3">
                  <c:v>1.645454545454546</c:v>
                </c:pt>
                <c:pt idx="4">
                  <c:v>1.5</c:v>
                </c:pt>
                <c:pt idx="5">
                  <c:v>1.071428571428571</c:v>
                </c:pt>
                <c:pt idx="6">
                  <c:v>0.9090909090909091</c:v>
                </c:pt>
                <c:pt idx="7">
                  <c:v>0.9</c:v>
                </c:pt>
                <c:pt idx="8">
                  <c:v>1.5</c:v>
                </c:pt>
                <c:pt idx="9">
                  <c:v>0</c:v>
                </c:pt>
              </c:numCache>
            </c:numRef>
          </c:val>
        </c:ser>
        <c:gapWidth val="45"/>
        <c:axId val="50090001"/>
        <c:axId val="50090002"/>
      </c:barChart>
      <c:catAx>
        <c:axId val="5009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2"/>
        <c:crosses val="autoZero"/>
        <c:auto val="1"/>
        <c:lblAlgn val="ctr"/>
        <c:lblOffset val="100"/>
        <c:tickLblSkip val="1"/>
      </c:catAx>
      <c:valAx>
        <c:axId val="5009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Tỷ lệ thực hiện so với kế hoạch</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1000125</xdr:colOff>
      <xdr:row>39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1000125</xdr:colOff>
      <xdr:row>42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390525</xdr:colOff>
      <xdr:row>38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314325</xdr:colOff>
      <xdr:row>43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0</xdr:rowOff>
    </xdr:from>
    <xdr:to>
      <xdr:col>9</xdr:col>
      <xdr:colOff>276225</xdr:colOff>
      <xdr:row>29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314325</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390525</xdr:colOff>
      <xdr:row>41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width="10.7109375" customWidth="1"/>
    <col min="2" max="2" width="95.7109375" customWidth="1"/>
    <col min="3" max="3" width="24.7109375" customWidth="1"/>
  </cols>
  <sheetData>
    <row r="1" spans="1:3">
      <c r="A1" s="1" t="s">
        <v>0</v>
      </c>
    </row>
    <row r="2" spans="1:3">
      <c r="A2" s="2" t="s">
        <v>1</v>
      </c>
    </row>
    <row r="4" spans="1:3">
      <c r="A4" s="3" t="s">
        <v>2</v>
      </c>
      <c r="B4" s="3" t="s">
        <v>3</v>
      </c>
      <c r="C4" s="3" t="s">
        <v>4</v>
      </c>
    </row>
    <row r="5" spans="1:3">
      <c r="A5" s="4" t="s">
        <v>5</v>
      </c>
      <c r="B5" s="4" t="s">
        <v>6</v>
      </c>
      <c r="C5" s="5" t="s">
        <v>7</v>
      </c>
    </row>
    <row r="6" spans="1:3">
      <c r="A6" s="4" t="s">
        <v>8</v>
      </c>
      <c r="B6" s="4" t="s">
        <v>9</v>
      </c>
      <c r="C6" s="5" t="s">
        <v>10</v>
      </c>
    </row>
    <row r="7" spans="1:3">
      <c r="A7" s="4" t="s">
        <v>11</v>
      </c>
      <c r="B7" s="4" t="s">
        <v>12</v>
      </c>
      <c r="C7" s="5" t="s">
        <v>13</v>
      </c>
    </row>
    <row r="8" spans="1:3">
      <c r="A8" s="4" t="s">
        <v>14</v>
      </c>
      <c r="B8" s="4" t="s">
        <v>15</v>
      </c>
      <c r="C8" s="5" t="s">
        <v>16</v>
      </c>
    </row>
    <row r="9" spans="1:3">
      <c r="A9" s="4" t="s">
        <v>17</v>
      </c>
      <c r="B9" s="4" t="s">
        <v>18</v>
      </c>
      <c r="C9" s="5" t="s">
        <v>19</v>
      </c>
    </row>
    <row r="10" spans="1:3">
      <c r="A10" s="4" t="s">
        <v>20</v>
      </c>
      <c r="B10" s="4" t="s">
        <v>21</v>
      </c>
      <c r="C10" s="5" t="s">
        <v>22</v>
      </c>
    </row>
    <row r="11" spans="1:3">
      <c r="A11" s="4" t="s">
        <v>23</v>
      </c>
      <c r="B11" s="4" t="s">
        <v>24</v>
      </c>
      <c r="C11" s="5" t="s">
        <v>25</v>
      </c>
    </row>
    <row r="12" spans="1:3">
      <c r="A12" s="4" t="s">
        <v>26</v>
      </c>
      <c r="B12" s="4" t="s">
        <v>27</v>
      </c>
      <c r="C12" s="5" t="s">
        <v>28</v>
      </c>
    </row>
    <row r="13" spans="1:3">
      <c r="A13" s="4" t="s">
        <v>29</v>
      </c>
      <c r="B13" s="4" t="s">
        <v>30</v>
      </c>
      <c r="C13" s="5" t="s">
        <v>31</v>
      </c>
    </row>
    <row r="15" spans="1:3">
      <c r="B15" s="4" t="s">
        <v>32</v>
      </c>
      <c r="C15" s="5" t="s">
        <v>33</v>
      </c>
    </row>
    <row r="16" spans="1:3">
      <c r="B16" s="4" t="s">
        <v>34</v>
      </c>
      <c r="C16" s="5" t="s">
        <v>35</v>
      </c>
    </row>
    <row r="17" spans="2:3">
      <c r="B17" s="4" t="s">
        <v>36</v>
      </c>
      <c r="C17" s="5" t="s">
        <v>37</v>
      </c>
    </row>
    <row r="18" spans="2:3">
      <c r="B18" s="4" t="s">
        <v>38</v>
      </c>
      <c r="C18" s="5" t="s">
        <v>39</v>
      </c>
    </row>
  </sheetData>
  <hyperlinks>
    <hyperlink ref="C5" location="'H2.1'!A1" display="H2.1"/>
    <hyperlink ref="C6" location="'H2.2'!A1" display="H2.2"/>
    <hyperlink ref="C7" location="'H2.3'!A1" display="H2.3"/>
    <hyperlink ref="C8" location="'H2.4'!A1" display="H2.4"/>
    <hyperlink ref="C9" location="'H2.5'!A1" display="H2.5"/>
    <hyperlink ref="C10" location="'H2.6'!A1" display="H2.6"/>
    <hyperlink ref="C11" location="'H2.7'!A1" display="H2.7"/>
    <hyperlink ref="C12" location="'H2.8'!A1" display="H2.8"/>
    <hyperlink ref="C13" location="'H2.9'!A1" display="H2.9"/>
    <hyperlink ref="C15" location="'Nhat_ky_chuan_hoa'!A1" display="Nhat_ky_chuan_hoa"/>
    <hyperlink ref="C16" location="'DL_De_tai'!A1" display="DL_De_tai"/>
    <hyperlink ref="C17" location="'DL_TSTT'!A1" display="DL_TSTT"/>
    <hyperlink ref="C18" location="'DL_Tieu_chi'!A1" display="DL_Tieu_chi"/>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I9"/>
  <sheetViews>
    <sheetView workbookViewId="0"/>
  </sheetViews>
  <sheetFormatPr defaultRowHeight="15"/>
  <cols>
    <col min="1" max="1" width="42.7109375" customWidth="1"/>
    <col min="2" max="9" width="17.7109375" customWidth="1"/>
  </cols>
  <sheetData>
    <row r="1" spans="1:9">
      <c r="A1" s="1" t="s">
        <v>40</v>
      </c>
    </row>
    <row r="2" spans="1:9" ht="42" customHeight="1">
      <c r="A2" s="6" t="s">
        <v>41</v>
      </c>
      <c r="B2" s="6"/>
      <c r="C2" s="6"/>
      <c r="D2" s="6"/>
      <c r="E2" s="6"/>
      <c r="F2" s="6"/>
      <c r="G2" s="6"/>
      <c r="H2" s="6"/>
      <c r="I2" s="6"/>
    </row>
    <row r="4" spans="1:9" ht="45" customHeight="1">
      <c r="A4" s="3" t="s">
        <v>42</v>
      </c>
      <c r="B4" s="3" t="s">
        <v>43</v>
      </c>
      <c r="C4" s="3" t="s">
        <v>44</v>
      </c>
      <c r="D4" s="3" t="s">
        <v>45</v>
      </c>
      <c r="E4" s="3" t="s">
        <v>46</v>
      </c>
      <c r="F4" s="3" t="s">
        <v>47</v>
      </c>
      <c r="G4" s="3" t="s">
        <v>48</v>
      </c>
      <c r="H4" s="3" t="s">
        <v>49</v>
      </c>
      <c r="I4" s="3" t="s">
        <v>50</v>
      </c>
    </row>
    <row r="5" spans="1:9">
      <c r="A5" s="4" t="s">
        <v>51</v>
      </c>
      <c r="B5" s="7">
        <v>17</v>
      </c>
      <c r="C5" s="7">
        <v>6</v>
      </c>
      <c r="D5" s="7">
        <v>26</v>
      </c>
      <c r="E5" s="7">
        <v>6</v>
      </c>
      <c r="F5" s="7">
        <v>0</v>
      </c>
      <c r="G5" s="7">
        <v>1</v>
      </c>
      <c r="H5" s="7">
        <v>0</v>
      </c>
      <c r="I5" s="7">
        <v>56</v>
      </c>
    </row>
    <row r="6" spans="1:9">
      <c r="A6" s="4" t="s">
        <v>52</v>
      </c>
      <c r="B6" s="7">
        <v>42</v>
      </c>
      <c r="C6" s="7">
        <v>13</v>
      </c>
      <c r="D6" s="7">
        <v>31</v>
      </c>
      <c r="E6" s="7">
        <v>10</v>
      </c>
      <c r="F6" s="7">
        <v>2</v>
      </c>
      <c r="G6" s="7">
        <v>2</v>
      </c>
      <c r="H6" s="7">
        <v>0</v>
      </c>
      <c r="I6" s="7">
        <v>100</v>
      </c>
    </row>
    <row r="7" spans="1:9">
      <c r="A7" s="4" t="s">
        <v>53</v>
      </c>
      <c r="B7" s="7">
        <v>50</v>
      </c>
      <c r="C7" s="7">
        <v>11</v>
      </c>
      <c r="D7" s="7">
        <v>12</v>
      </c>
      <c r="E7" s="7">
        <v>7</v>
      </c>
      <c r="F7" s="7">
        <v>2</v>
      </c>
      <c r="G7" s="7">
        <v>3</v>
      </c>
      <c r="H7" s="7">
        <v>0</v>
      </c>
      <c r="I7" s="7">
        <v>85</v>
      </c>
    </row>
    <row r="8" spans="1:9">
      <c r="A8" s="4" t="s">
        <v>54</v>
      </c>
      <c r="B8" s="7">
        <v>72</v>
      </c>
      <c r="C8" s="7">
        <v>33</v>
      </c>
      <c r="D8" s="7">
        <v>7</v>
      </c>
      <c r="E8" s="7">
        <v>8</v>
      </c>
      <c r="F8" s="7">
        <v>2</v>
      </c>
      <c r="G8" s="7">
        <v>5</v>
      </c>
      <c r="H8" s="7">
        <v>1</v>
      </c>
      <c r="I8" s="7">
        <v>128</v>
      </c>
    </row>
    <row r="9" spans="1:9">
      <c r="A9" s="4" t="s">
        <v>55</v>
      </c>
      <c r="B9" s="7">
        <v>109</v>
      </c>
      <c r="C9" s="7">
        <v>52</v>
      </c>
      <c r="D9" s="7">
        <v>11</v>
      </c>
      <c r="E9" s="7">
        <v>7</v>
      </c>
      <c r="F9" s="7">
        <v>6</v>
      </c>
      <c r="G9" s="7">
        <v>5</v>
      </c>
      <c r="H9" s="7">
        <v>2</v>
      </c>
      <c r="I9" s="7">
        <v>192</v>
      </c>
    </row>
  </sheetData>
  <mergeCells count="1">
    <mergeCell ref="A2:I2"/>
  </mergeCells>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6" width="17.7109375" customWidth="1"/>
  </cols>
  <sheetData>
    <row r="1" spans="1:6">
      <c r="A1" s="1" t="s">
        <v>56</v>
      </c>
    </row>
    <row r="2" spans="1:6" ht="42" customHeight="1">
      <c r="A2" s="6" t="s">
        <v>57</v>
      </c>
      <c r="B2" s="6"/>
      <c r="C2" s="6"/>
      <c r="D2" s="6"/>
      <c r="E2" s="6"/>
      <c r="F2" s="6"/>
    </row>
    <row r="4" spans="1:6" ht="45" customHeight="1">
      <c r="A4" s="3" t="s">
        <v>58</v>
      </c>
      <c r="B4" s="3" t="s">
        <v>59</v>
      </c>
      <c r="C4" s="3" t="s">
        <v>60</v>
      </c>
      <c r="D4" s="3" t="s">
        <v>61</v>
      </c>
      <c r="E4" s="3" t="s">
        <v>62</v>
      </c>
      <c r="F4" s="3" t="s">
        <v>63</v>
      </c>
    </row>
    <row r="5" spans="1:6">
      <c r="A5" s="4" t="s">
        <v>64</v>
      </c>
      <c r="B5" s="7">
        <v>0</v>
      </c>
      <c r="C5" s="7">
        <v>0</v>
      </c>
      <c r="D5" s="7">
        <v>0</v>
      </c>
      <c r="E5" s="7">
        <v>0</v>
      </c>
      <c r="F5" s="7">
        <v>0</v>
      </c>
    </row>
    <row r="6" spans="1:6">
      <c r="A6" s="4" t="s">
        <v>65</v>
      </c>
      <c r="B6" s="7">
        <v>30</v>
      </c>
      <c r="C6" s="7">
        <v>30</v>
      </c>
      <c r="D6" s="7">
        <v>50</v>
      </c>
      <c r="E6" s="7">
        <v>20</v>
      </c>
      <c r="F6" s="7">
        <v>15</v>
      </c>
    </row>
    <row r="7" spans="1:6">
      <c r="A7" s="4" t="s">
        <v>66</v>
      </c>
      <c r="B7" s="7">
        <v>60</v>
      </c>
      <c r="C7" s="7">
        <v>60</v>
      </c>
      <c r="D7" s="7">
        <v>100</v>
      </c>
      <c r="E7" s="7">
        <v>40</v>
      </c>
      <c r="F7" s="7">
        <v>30</v>
      </c>
    </row>
    <row r="8" spans="1:6">
      <c r="A8" s="4" t="s">
        <v>67</v>
      </c>
      <c r="B8" s="7">
        <v>90</v>
      </c>
      <c r="C8" s="7">
        <v>90</v>
      </c>
      <c r="D8" s="7">
        <v>150</v>
      </c>
      <c r="E8" s="7">
        <v>60</v>
      </c>
      <c r="F8" s="7">
        <v>45</v>
      </c>
    </row>
    <row r="9" spans="1:6">
      <c r="A9" s="4" t="s">
        <v>68</v>
      </c>
      <c r="B9" s="7">
        <v>100</v>
      </c>
      <c r="C9" s="7">
        <v>120</v>
      </c>
      <c r="D9" s="7">
        <v>200</v>
      </c>
      <c r="E9" s="7">
        <v>80</v>
      </c>
      <c r="F9" s="7">
        <v>60</v>
      </c>
    </row>
    <row r="10" spans="1:6">
      <c r="A10" s="4" t="s">
        <v>69</v>
      </c>
      <c r="B10" s="7">
        <v>100</v>
      </c>
      <c r="C10" s="7">
        <v>150</v>
      </c>
      <c r="D10" s="7">
        <v>250</v>
      </c>
      <c r="E10" s="7">
        <v>100</v>
      </c>
      <c r="F10" s="7">
        <v>75</v>
      </c>
    </row>
    <row r="11" spans="1:6">
      <c r="A11" s="4" t="s">
        <v>70</v>
      </c>
      <c r="B11" s="7">
        <v>100</v>
      </c>
      <c r="C11" s="7">
        <v>180</v>
      </c>
      <c r="D11" s="7">
        <v>300</v>
      </c>
      <c r="E11" s="7">
        <v>120</v>
      </c>
      <c r="F11" s="7">
        <v>90</v>
      </c>
    </row>
    <row r="12" spans="1:6">
      <c r="A12" s="4" t="s">
        <v>71</v>
      </c>
      <c r="B12" s="7">
        <v>100</v>
      </c>
      <c r="C12" s="7">
        <v>210</v>
      </c>
      <c r="D12" s="7">
        <v>350</v>
      </c>
      <c r="E12" s="7">
        <v>140</v>
      </c>
      <c r="F12" s="7">
        <v>105</v>
      </c>
    </row>
  </sheetData>
  <mergeCells count="1">
    <mergeCell ref="A2:F2"/>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5" width="17.7109375" customWidth="1"/>
  </cols>
  <sheetData>
    <row r="1" spans="1:6">
      <c r="A1" s="1" t="s">
        <v>72</v>
      </c>
    </row>
    <row r="2" spans="1:6" ht="42" customHeight="1">
      <c r="A2" s="6" t="s">
        <v>73</v>
      </c>
      <c r="B2" s="6"/>
      <c r="C2" s="6"/>
      <c r="D2" s="6"/>
      <c r="E2" s="6"/>
      <c r="F2" s="6"/>
    </row>
    <row r="4" spans="1:6" ht="45" customHeight="1">
      <c r="A4" s="3" t="s">
        <v>42</v>
      </c>
      <c r="B4" s="3" t="s">
        <v>74</v>
      </c>
      <c r="C4" s="3" t="s">
        <v>75</v>
      </c>
      <c r="D4" s="3" t="s">
        <v>76</v>
      </c>
      <c r="E4" s="3" t="s">
        <v>77</v>
      </c>
    </row>
    <row r="5" spans="1:6">
      <c r="A5" s="4" t="s">
        <v>51</v>
      </c>
      <c r="B5" s="7">
        <v>0</v>
      </c>
      <c r="C5" s="7">
        <v>6</v>
      </c>
      <c r="D5" s="7">
        <v>0</v>
      </c>
      <c r="E5" s="8">
        <v>0</v>
      </c>
    </row>
    <row r="6" spans="1:6">
      <c r="A6" s="4" t="s">
        <v>52</v>
      </c>
      <c r="B6" s="7">
        <v>3</v>
      </c>
      <c r="C6" s="7">
        <v>7</v>
      </c>
      <c r="D6" s="7">
        <v>0</v>
      </c>
      <c r="E6" s="8">
        <v>84</v>
      </c>
    </row>
    <row r="7" spans="1:6">
      <c r="A7" s="4" t="s">
        <v>53</v>
      </c>
      <c r="B7" s="7">
        <v>7</v>
      </c>
      <c r="C7" s="7">
        <v>0</v>
      </c>
      <c r="D7" s="7">
        <v>0</v>
      </c>
      <c r="E7" s="8">
        <v>70</v>
      </c>
    </row>
    <row r="8" spans="1:6">
      <c r="A8" s="4" t="s">
        <v>54</v>
      </c>
      <c r="B8" s="7">
        <v>5</v>
      </c>
      <c r="C8" s="7">
        <v>0</v>
      </c>
      <c r="D8" s="7">
        <v>3</v>
      </c>
      <c r="E8" s="8">
        <v>125.75</v>
      </c>
    </row>
    <row r="9" spans="1:6">
      <c r="A9" s="4" t="s">
        <v>55</v>
      </c>
      <c r="B9" s="7">
        <v>4</v>
      </c>
      <c r="C9" s="7">
        <v>3</v>
      </c>
      <c r="D9" s="7">
        <v>0</v>
      </c>
      <c r="E9" s="8">
        <v>145</v>
      </c>
    </row>
  </sheetData>
  <mergeCells count="1">
    <mergeCell ref="A2:F2"/>
  </mergeCells>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3" width="17.7109375" customWidth="1"/>
  </cols>
  <sheetData>
    <row r="1" spans="1:6">
      <c r="A1" s="1" t="s">
        <v>78</v>
      </c>
    </row>
    <row r="2" spans="1:6" ht="42" customHeight="1">
      <c r="A2" s="6" t="s">
        <v>79</v>
      </c>
      <c r="B2" s="6"/>
      <c r="C2" s="6"/>
      <c r="D2" s="6"/>
      <c r="E2" s="6"/>
      <c r="F2" s="6"/>
    </row>
    <row r="4" spans="1:6" ht="45" customHeight="1">
      <c r="A4" s="3" t="s">
        <v>80</v>
      </c>
      <c r="B4" s="3" t="s">
        <v>81</v>
      </c>
      <c r="C4" s="3" t="s">
        <v>82</v>
      </c>
    </row>
    <row r="5" spans="1:6">
      <c r="A5" s="4" t="s">
        <v>83</v>
      </c>
      <c r="B5" s="7">
        <v>600</v>
      </c>
      <c r="C5" s="7">
        <v>0</v>
      </c>
    </row>
    <row r="6" spans="1:6">
      <c r="A6" s="4" t="s">
        <v>84</v>
      </c>
      <c r="B6" s="7">
        <v>360</v>
      </c>
      <c r="C6" s="7">
        <v>0</v>
      </c>
    </row>
    <row r="7" spans="1:6">
      <c r="A7" s="4" t="s">
        <v>85</v>
      </c>
      <c r="B7" s="7">
        <v>180</v>
      </c>
      <c r="C7" s="7">
        <v>0</v>
      </c>
    </row>
    <row r="8" spans="1:6">
      <c r="A8" s="4" t="s">
        <v>86</v>
      </c>
      <c r="B8" s="7">
        <v>300</v>
      </c>
      <c r="C8" s="7">
        <v>20</v>
      </c>
    </row>
    <row r="9" spans="1:6">
      <c r="A9" s="4" t="s">
        <v>87</v>
      </c>
      <c r="B9" s="7">
        <v>270</v>
      </c>
      <c r="C9" s="7">
        <v>15</v>
      </c>
    </row>
    <row r="10" spans="1:6">
      <c r="A10" s="4" t="s">
        <v>88</v>
      </c>
      <c r="B10" s="7">
        <v>240</v>
      </c>
      <c r="C10" s="7">
        <v>12</v>
      </c>
    </row>
    <row r="11" spans="1:6">
      <c r="A11" s="4" t="s">
        <v>89</v>
      </c>
      <c r="B11" s="7">
        <v>240</v>
      </c>
      <c r="C11" s="7">
        <v>10</v>
      </c>
    </row>
    <row r="12" spans="1:6">
      <c r="A12" s="4" t="s">
        <v>90</v>
      </c>
      <c r="B12" s="7">
        <v>150</v>
      </c>
      <c r="C12" s="7">
        <v>0</v>
      </c>
    </row>
  </sheetData>
  <mergeCells count="1">
    <mergeCell ref="A2:F2"/>
  </mergeCells>
  <pageMargins left="0.7" right="0.7" top="0.75" bottom="0.7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91</v>
      </c>
    </row>
    <row r="2" spans="1:6" ht="42" customHeight="1">
      <c r="A2" s="6" t="s">
        <v>92</v>
      </c>
      <c r="B2" s="6"/>
      <c r="C2" s="6"/>
      <c r="D2" s="6"/>
      <c r="E2" s="6"/>
      <c r="F2" s="6"/>
    </row>
    <row r="4" spans="1:6" ht="45" customHeight="1">
      <c r="A4" s="3" t="s">
        <v>93</v>
      </c>
      <c r="B4" s="3" t="s">
        <v>94</v>
      </c>
      <c r="C4" s="3" t="s">
        <v>95</v>
      </c>
      <c r="D4" s="3" t="s">
        <v>96</v>
      </c>
    </row>
    <row r="5" spans="1:6">
      <c r="A5" s="4" t="s">
        <v>97</v>
      </c>
      <c r="B5" s="7">
        <v>1</v>
      </c>
      <c r="C5" s="7">
        <v>1</v>
      </c>
      <c r="D5" s="7">
        <v>1</v>
      </c>
    </row>
    <row r="6" spans="1:6">
      <c r="A6" s="4" t="s">
        <v>98</v>
      </c>
      <c r="B6" s="7">
        <v>1</v>
      </c>
      <c r="C6" s="7">
        <v>1</v>
      </c>
      <c r="D6" s="7">
        <v>2</v>
      </c>
    </row>
    <row r="7" spans="1:6">
      <c r="A7" s="4" t="s">
        <v>99</v>
      </c>
      <c r="B7" s="7">
        <v>3</v>
      </c>
      <c r="C7" s="7">
        <v>1</v>
      </c>
      <c r="D7" s="7">
        <v>0</v>
      </c>
    </row>
    <row r="8" spans="1:6">
      <c r="A8" s="4" t="s">
        <v>100</v>
      </c>
      <c r="B8" s="7">
        <v>0</v>
      </c>
      <c r="C8" s="7">
        <v>1</v>
      </c>
      <c r="D8" s="7">
        <v>4</v>
      </c>
    </row>
  </sheetData>
  <mergeCells count="1">
    <mergeCell ref="A2:F2"/>
  </mergeCells>
  <pageMargins left="0.7" right="0.7" top="0.75" bottom="0.7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101</v>
      </c>
    </row>
    <row r="2" spans="1:6" ht="42" customHeight="1">
      <c r="A2" s="6" t="s">
        <v>102</v>
      </c>
      <c r="B2" s="6"/>
      <c r="C2" s="6"/>
      <c r="D2" s="6"/>
      <c r="E2" s="6"/>
      <c r="F2" s="6"/>
    </row>
    <row r="4" spans="1:6" ht="45" customHeight="1">
      <c r="A4" s="3" t="s">
        <v>103</v>
      </c>
      <c r="B4" s="3" t="s">
        <v>104</v>
      </c>
      <c r="C4" s="3" t="s">
        <v>105</v>
      </c>
      <c r="D4" s="3" t="s">
        <v>106</v>
      </c>
    </row>
    <row r="5" spans="1:6">
      <c r="A5" s="4" t="s">
        <v>107</v>
      </c>
      <c r="B5" s="7">
        <v>2</v>
      </c>
      <c r="C5" s="7">
        <v>0</v>
      </c>
      <c r="D5" s="7">
        <v>0</v>
      </c>
    </row>
    <row r="6" spans="1:6">
      <c r="A6" s="4" t="s">
        <v>108</v>
      </c>
      <c r="B6" s="7">
        <v>2</v>
      </c>
      <c r="C6" s="7">
        <v>1</v>
      </c>
      <c r="D6" s="7">
        <v>1</v>
      </c>
    </row>
    <row r="7" spans="1:6">
      <c r="A7" s="4" t="s">
        <v>109</v>
      </c>
      <c r="B7" s="7">
        <v>5</v>
      </c>
      <c r="C7" s="7">
        <v>0</v>
      </c>
      <c r="D7" s="7">
        <v>5</v>
      </c>
    </row>
    <row r="8" spans="1:6">
      <c r="A8" s="4" t="s">
        <v>110</v>
      </c>
      <c r="B8" s="7">
        <v>0</v>
      </c>
      <c r="C8" s="7">
        <v>2</v>
      </c>
      <c r="D8" s="7">
        <v>0</v>
      </c>
    </row>
  </sheetData>
  <mergeCells count="1">
    <mergeCell ref="A2:F2"/>
  </mergeCells>
  <pageMargins left="0.7" right="0.7" top="0.75" bottom="0.7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2" width="17.7109375" customWidth="1"/>
  </cols>
  <sheetData>
    <row r="1" spans="1:6">
      <c r="A1" s="1" t="s">
        <v>111</v>
      </c>
    </row>
    <row r="2" spans="1:6" ht="42" customHeight="1">
      <c r="A2" s="6" t="s">
        <v>112</v>
      </c>
      <c r="B2" s="6"/>
      <c r="C2" s="6"/>
      <c r="D2" s="6"/>
      <c r="E2" s="6"/>
      <c r="F2" s="6"/>
    </row>
    <row r="4" spans="1:6" ht="45" customHeight="1">
      <c r="A4" s="3" t="s">
        <v>113</v>
      </c>
      <c r="B4" s="3" t="s">
        <v>114</v>
      </c>
    </row>
    <row r="5" spans="1:6">
      <c r="A5" s="4" t="s">
        <v>85</v>
      </c>
      <c r="B5" s="7">
        <v>5</v>
      </c>
    </row>
    <row r="6" spans="1:6">
      <c r="A6" s="4" t="s">
        <v>115</v>
      </c>
      <c r="B6" s="7">
        <v>2</v>
      </c>
    </row>
    <row r="7" spans="1:6">
      <c r="A7" s="4" t="s">
        <v>110</v>
      </c>
      <c r="B7" s="7">
        <v>1</v>
      </c>
    </row>
    <row r="8" spans="1:6">
      <c r="A8" s="4" t="s">
        <v>116</v>
      </c>
      <c r="B8" s="7">
        <v>2</v>
      </c>
    </row>
    <row r="9" spans="1:6">
      <c r="A9" s="4" t="s">
        <v>117</v>
      </c>
      <c r="B9" s="7">
        <v>1</v>
      </c>
    </row>
  </sheetData>
  <mergeCells count="1">
    <mergeCell ref="A2:F2"/>
  </mergeCells>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A1:F7"/>
  <sheetViews>
    <sheetView workbookViewId="0"/>
  </sheetViews>
  <sheetFormatPr defaultRowHeight="15"/>
  <cols>
    <col min="1" max="1" width="42.7109375" customWidth="1"/>
    <col min="2" max="3" width="17.7109375" customWidth="1"/>
  </cols>
  <sheetData>
    <row r="1" spans="1:6">
      <c r="A1" s="1" t="s">
        <v>118</v>
      </c>
    </row>
    <row r="2" spans="1:6" ht="42" customHeight="1">
      <c r="A2" s="6" t="s">
        <v>119</v>
      </c>
      <c r="B2" s="6"/>
      <c r="C2" s="6"/>
      <c r="D2" s="6"/>
      <c r="E2" s="6"/>
      <c r="F2" s="6"/>
    </row>
    <row r="4" spans="1:6" ht="45" customHeight="1">
      <c r="A4" s="3" t="s">
        <v>120</v>
      </c>
      <c r="B4" s="3" t="s">
        <v>121</v>
      </c>
      <c r="C4" s="3" t="s">
        <v>122</v>
      </c>
    </row>
    <row r="5" spans="1:6">
      <c r="A5" s="4" t="s">
        <v>123</v>
      </c>
      <c r="B5" s="7">
        <v>38</v>
      </c>
      <c r="C5" s="7">
        <v>31</v>
      </c>
    </row>
    <row r="6" spans="1:6">
      <c r="A6" s="4" t="s">
        <v>124</v>
      </c>
      <c r="B6" s="7">
        <v>11</v>
      </c>
      <c r="C6" s="7">
        <v>8</v>
      </c>
    </row>
    <row r="7" spans="1:6">
      <c r="A7" s="4" t="s">
        <v>125</v>
      </c>
      <c r="B7" s="7">
        <v>1</v>
      </c>
      <c r="C7" s="7">
        <v>0</v>
      </c>
    </row>
  </sheetData>
  <mergeCells count="1">
    <mergeCell ref="A2:F2"/>
  </mergeCells>
  <pageMargins left="0.7" right="0.7" top="0.75" bottom="0.7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F14"/>
  <sheetViews>
    <sheetView workbookViewId="0"/>
  </sheetViews>
  <sheetFormatPr defaultRowHeight="15"/>
  <cols>
    <col min="1" max="1" width="42.7109375" customWidth="1"/>
    <col min="2" max="5" width="17.7109375" customWidth="1"/>
  </cols>
  <sheetData>
    <row r="1" spans="1:6">
      <c r="A1" s="1" t="s">
        <v>126</v>
      </c>
    </row>
    <row r="2" spans="1:6" ht="42" customHeight="1">
      <c r="A2" s="6" t="s">
        <v>127</v>
      </c>
      <c r="B2" s="6"/>
      <c r="C2" s="6"/>
      <c r="D2" s="6"/>
      <c r="E2" s="6"/>
      <c r="F2" s="6"/>
    </row>
    <row r="4" spans="1:6" ht="45" customHeight="1">
      <c r="A4" s="3" t="s">
        <v>128</v>
      </c>
      <c r="B4" s="3" t="s">
        <v>129</v>
      </c>
      <c r="C4" s="3" t="s">
        <v>130</v>
      </c>
      <c r="D4" s="3" t="s">
        <v>131</v>
      </c>
      <c r="E4" s="3" t="s">
        <v>132</v>
      </c>
    </row>
    <row r="5" spans="1:6">
      <c r="A5" s="4" t="s">
        <v>44</v>
      </c>
      <c r="B5" s="4" t="s">
        <v>133</v>
      </c>
      <c r="C5" s="7">
        <v>30</v>
      </c>
      <c r="D5" s="7">
        <v>85</v>
      </c>
      <c r="E5" s="9">
        <v>2.833333333333333</v>
      </c>
    </row>
    <row r="6" spans="1:6">
      <c r="A6" s="4" t="s">
        <v>134</v>
      </c>
      <c r="B6" s="4" t="s">
        <v>133</v>
      </c>
      <c r="C6" s="7">
        <v>3</v>
      </c>
      <c r="D6" s="7">
        <v>8</v>
      </c>
      <c r="E6" s="9">
        <v>2.666666666666667</v>
      </c>
    </row>
    <row r="7" spans="1:6">
      <c r="A7" s="4" t="s">
        <v>135</v>
      </c>
      <c r="B7" s="4" t="s">
        <v>133</v>
      </c>
      <c r="C7" s="7">
        <v>60</v>
      </c>
      <c r="D7" s="7">
        <v>134</v>
      </c>
      <c r="E7" s="9">
        <v>2.233333333333333</v>
      </c>
    </row>
    <row r="8" spans="1:6">
      <c r="A8" s="4" t="s">
        <v>43</v>
      </c>
      <c r="B8" s="4" t="s">
        <v>133</v>
      </c>
      <c r="C8" s="7">
        <v>110</v>
      </c>
      <c r="D8" s="7">
        <v>181</v>
      </c>
      <c r="E8" s="9">
        <v>1.645454545454546</v>
      </c>
    </row>
    <row r="9" spans="1:6">
      <c r="A9" s="4" t="s">
        <v>136</v>
      </c>
      <c r="B9" s="4" t="s">
        <v>137</v>
      </c>
      <c r="C9" s="7">
        <v>2</v>
      </c>
      <c r="D9" s="7">
        <v>3</v>
      </c>
      <c r="E9" s="9">
        <v>1.5</v>
      </c>
    </row>
    <row r="10" spans="1:6">
      <c r="A10" s="4" t="s">
        <v>46</v>
      </c>
      <c r="B10" s="4" t="s">
        <v>137</v>
      </c>
      <c r="C10" s="7">
        <v>14</v>
      </c>
      <c r="D10" s="7">
        <v>15</v>
      </c>
      <c r="E10" s="9">
        <v>1.071428571428571</v>
      </c>
    </row>
    <row r="11" spans="1:6">
      <c r="A11" s="4" t="s">
        <v>48</v>
      </c>
      <c r="B11" s="4" t="s">
        <v>133</v>
      </c>
      <c r="C11" s="7">
        <v>11</v>
      </c>
      <c r="D11" s="7">
        <v>10</v>
      </c>
      <c r="E11" s="9">
        <v>0.9090909090909091</v>
      </c>
    </row>
    <row r="12" spans="1:6">
      <c r="A12" s="4" t="s">
        <v>45</v>
      </c>
      <c r="B12" s="4" t="s">
        <v>137</v>
      </c>
      <c r="C12" s="7">
        <v>20</v>
      </c>
      <c r="D12" s="7">
        <v>18</v>
      </c>
      <c r="E12" s="9">
        <v>0.9</v>
      </c>
    </row>
    <row r="13" spans="1:6">
      <c r="A13" s="4" t="s">
        <v>138</v>
      </c>
      <c r="B13" s="4" t="s">
        <v>139</v>
      </c>
      <c r="C13" s="7">
        <v>4</v>
      </c>
      <c r="D13" s="7">
        <v>6</v>
      </c>
      <c r="E13" s="9">
        <v>1.5</v>
      </c>
    </row>
    <row r="14" spans="1:6">
      <c r="A14" s="4" t="s">
        <v>140</v>
      </c>
      <c r="B14" s="4" t="s">
        <v>139</v>
      </c>
      <c r="C14" s="7">
        <v>1</v>
      </c>
      <c r="D14" s="7">
        <v>0</v>
      </c>
      <c r="E14" s="9">
        <v>0</v>
      </c>
    </row>
  </sheetData>
  <mergeCells count="1">
    <mergeCell ref="A2:F2"/>
  </mergeCells>
  <pageMargins left="0.7" right="0.7" top="0.75" bottom="0.7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dimension ref="A1:D38"/>
  <sheetViews>
    <sheetView workbookViewId="0"/>
  </sheetViews>
  <sheetFormatPr defaultRowHeight="15"/>
  <cols>
    <col min="1" max="1" width="32.7109375" customWidth="1"/>
    <col min="2" max="3" width="55.7109375" customWidth="1"/>
    <col min="4" max="4" width="50.7109375" customWidth="1"/>
  </cols>
  <sheetData>
    <row r="1" spans="1:4">
      <c r="A1" s="1" t="s">
        <v>141</v>
      </c>
    </row>
    <row r="3" spans="1:4">
      <c r="A3" s="3" t="s">
        <v>142</v>
      </c>
      <c r="B3" s="3" t="s">
        <v>143</v>
      </c>
      <c r="C3" s="3" t="s">
        <v>144</v>
      </c>
      <c r="D3" s="3" t="s">
        <v>145</v>
      </c>
    </row>
    <row r="4" spans="1:4">
      <c r="A4" s="4" t="s">
        <v>146</v>
      </c>
      <c r="B4" s="4" t="s">
        <v>147</v>
      </c>
      <c r="C4" s="4" t="s">
        <v>148</v>
      </c>
      <c r="D4" s="4" t="s">
        <v>149</v>
      </c>
    </row>
    <row r="5" spans="1:4">
      <c r="A5" s="4" t="s">
        <v>150</v>
      </c>
      <c r="B5" s="4" t="s">
        <v>151</v>
      </c>
      <c r="C5" s="4" t="s">
        <v>152</v>
      </c>
      <c r="D5" s="4" t="s">
        <v>153</v>
      </c>
    </row>
    <row r="6" spans="1:4">
      <c r="A6" s="4" t="s">
        <v>154</v>
      </c>
      <c r="B6" s="4" t="s">
        <v>155</v>
      </c>
      <c r="C6" s="4" t="s">
        <v>156</v>
      </c>
      <c r="D6" s="4" t="s">
        <v>157</v>
      </c>
    </row>
    <row r="7" spans="1:4">
      <c r="A7" s="4" t="s">
        <v>158</v>
      </c>
      <c r="B7" s="4" t="s">
        <v>159</v>
      </c>
      <c r="C7" s="4" t="s">
        <v>160</v>
      </c>
      <c r="D7" s="4" t="s">
        <v>161</v>
      </c>
    </row>
    <row r="8" spans="1:4">
      <c r="A8" s="4" t="s">
        <v>162</v>
      </c>
      <c r="B8" s="4" t="s">
        <v>163</v>
      </c>
      <c r="C8" s="4" t="s">
        <v>164</v>
      </c>
      <c r="D8" s="4" t="s">
        <v>157</v>
      </c>
    </row>
    <row r="9" spans="1:4">
      <c r="A9" s="4" t="s">
        <v>165</v>
      </c>
      <c r="B9" s="4" t="s">
        <v>166</v>
      </c>
      <c r="C9" s="4" t="s">
        <v>167</v>
      </c>
      <c r="D9" s="4" t="s">
        <v>168</v>
      </c>
    </row>
    <row r="10" spans="1:4">
      <c r="A10" s="4" t="s">
        <v>169</v>
      </c>
      <c r="B10" s="4" t="s">
        <v>170</v>
      </c>
      <c r="C10" s="4" t="s">
        <v>171</v>
      </c>
      <c r="D10" s="4" t="s">
        <v>172</v>
      </c>
    </row>
    <row r="11" spans="1:4">
      <c r="A11" s="4" t="s">
        <v>173</v>
      </c>
      <c r="B11" s="4" t="s">
        <v>174</v>
      </c>
      <c r="C11" s="4" t="s">
        <v>175</v>
      </c>
      <c r="D11" s="4" t="s">
        <v>176</v>
      </c>
    </row>
    <row r="12" spans="1:4">
      <c r="A12" s="4" t="s">
        <v>177</v>
      </c>
      <c r="B12" s="4" t="s">
        <v>178</v>
      </c>
      <c r="C12" s="4" t="s">
        <v>179</v>
      </c>
      <c r="D12" s="4" t="s">
        <v>180</v>
      </c>
    </row>
    <row r="13" spans="1:4">
      <c r="A13" s="4" t="s">
        <v>181</v>
      </c>
      <c r="B13" s="4" t="s">
        <v>182</v>
      </c>
      <c r="C13" s="4" t="s">
        <v>183</v>
      </c>
      <c r="D13" s="4" t="s">
        <v>184</v>
      </c>
    </row>
    <row r="14" spans="1:4">
      <c r="A14" s="4" t="s">
        <v>185</v>
      </c>
      <c r="B14" s="4" t="s">
        <v>186</v>
      </c>
      <c r="C14" s="4" t="s">
        <v>187</v>
      </c>
      <c r="D14" s="4" t="s">
        <v>188</v>
      </c>
    </row>
    <row r="15" spans="1:4">
      <c r="A15" s="4" t="s">
        <v>189</v>
      </c>
      <c r="B15" s="4" t="s">
        <v>190</v>
      </c>
      <c r="C15" s="4" t="s">
        <v>191</v>
      </c>
      <c r="D15" s="4" t="s">
        <v>192</v>
      </c>
    </row>
    <row r="16" spans="1:4">
      <c r="A16" s="4" t="s">
        <v>193</v>
      </c>
      <c r="B16" s="4" t="s">
        <v>194</v>
      </c>
      <c r="C16" s="4" t="s">
        <v>195</v>
      </c>
      <c r="D16" s="4" t="s">
        <v>196</v>
      </c>
    </row>
    <row r="17" spans="1:4">
      <c r="A17" s="4" t="s">
        <v>197</v>
      </c>
      <c r="B17" s="4" t="s">
        <v>198</v>
      </c>
      <c r="C17" s="4" t="s">
        <v>199</v>
      </c>
      <c r="D17" s="4" t="s">
        <v>200</v>
      </c>
    </row>
    <row r="18" spans="1:4">
      <c r="A18" s="4" t="s">
        <v>201</v>
      </c>
      <c r="B18" s="4" t="s">
        <v>202</v>
      </c>
      <c r="C18" s="4" t="s">
        <v>203</v>
      </c>
      <c r="D18" s="4" t="s">
        <v>204</v>
      </c>
    </row>
    <row r="19" spans="1:4">
      <c r="A19" s="4" t="s">
        <v>205</v>
      </c>
      <c r="B19" s="4" t="s">
        <v>206</v>
      </c>
      <c r="C19" s="4" t="s">
        <v>207</v>
      </c>
      <c r="D19" s="4" t="s">
        <v>208</v>
      </c>
    </row>
    <row r="20" spans="1:4">
      <c r="A20" s="4" t="s">
        <v>209</v>
      </c>
      <c r="B20" s="4" t="s">
        <v>210</v>
      </c>
      <c r="C20" s="4" t="s">
        <v>211</v>
      </c>
      <c r="D20" s="4" t="s">
        <v>172</v>
      </c>
    </row>
    <row r="21" spans="1:4">
      <c r="A21" s="4" t="s">
        <v>212</v>
      </c>
      <c r="B21" s="4" t="s">
        <v>213</v>
      </c>
      <c r="C21" s="4" t="s">
        <v>214</v>
      </c>
      <c r="D21" s="4" t="s">
        <v>215</v>
      </c>
    </row>
    <row r="22" spans="1:4">
      <c r="A22" s="4" t="s">
        <v>216</v>
      </c>
      <c r="B22" s="4" t="s">
        <v>217</v>
      </c>
      <c r="C22" s="4" t="s">
        <v>218</v>
      </c>
      <c r="D22" s="4" t="s">
        <v>219</v>
      </c>
    </row>
    <row r="23" spans="1:4">
      <c r="A23" s="4" t="s">
        <v>220</v>
      </c>
      <c r="B23" s="4" t="s">
        <v>51</v>
      </c>
      <c r="C23" s="4" t="s">
        <v>52</v>
      </c>
      <c r="D23" s="4" t="s">
        <v>221</v>
      </c>
    </row>
    <row r="24" spans="1:4">
      <c r="A24" s="4" t="s">
        <v>222</v>
      </c>
      <c r="B24" s="4" t="s">
        <v>223</v>
      </c>
      <c r="C24" s="4" t="s">
        <v>224</v>
      </c>
      <c r="D24" s="4" t="s">
        <v>225</v>
      </c>
    </row>
    <row r="25" spans="1:4">
      <c r="A25" s="4" t="s">
        <v>226</v>
      </c>
      <c r="B25" s="4" t="s">
        <v>227</v>
      </c>
      <c r="C25" s="4" t="s">
        <v>228</v>
      </c>
      <c r="D25" s="4" t="s">
        <v>229</v>
      </c>
    </row>
    <row r="26" spans="1:4">
      <c r="A26" s="4" t="s">
        <v>230</v>
      </c>
      <c r="B26" s="4" t="s">
        <v>231</v>
      </c>
      <c r="C26" s="4" t="s">
        <v>232</v>
      </c>
      <c r="D26" s="4" t="s">
        <v>233</v>
      </c>
    </row>
    <row r="27" spans="1:4">
      <c r="A27" s="4" t="s">
        <v>234</v>
      </c>
      <c r="B27" s="4" t="s">
        <v>235</v>
      </c>
      <c r="C27" s="4" t="s">
        <v>236</v>
      </c>
      <c r="D27" s="4" t="s">
        <v>237</v>
      </c>
    </row>
    <row r="28" spans="1:4">
      <c r="A28" s="4" t="s">
        <v>154</v>
      </c>
      <c r="B28" s="4" t="s">
        <v>238</v>
      </c>
      <c r="C28" s="4" t="s">
        <v>239</v>
      </c>
      <c r="D28" s="4" t="s">
        <v>240</v>
      </c>
    </row>
    <row r="29" spans="1:4">
      <c r="A29" s="4" t="s">
        <v>241</v>
      </c>
      <c r="B29" s="4" t="s">
        <v>242</v>
      </c>
      <c r="C29" s="4" t="s">
        <v>243</v>
      </c>
      <c r="D29" s="4" t="s">
        <v>244</v>
      </c>
    </row>
    <row r="30" spans="1:4">
      <c r="A30" s="4" t="s">
        <v>245</v>
      </c>
      <c r="B30" s="4" t="s">
        <v>246</v>
      </c>
      <c r="C30" s="4" t="s">
        <v>247</v>
      </c>
      <c r="D30" s="4" t="s">
        <v>248</v>
      </c>
    </row>
    <row r="31" spans="1:4">
      <c r="A31" s="4" t="s">
        <v>249</v>
      </c>
      <c r="B31" s="4" t="s">
        <v>250</v>
      </c>
      <c r="C31" s="4" t="s">
        <v>251</v>
      </c>
      <c r="D31" s="4" t="s">
        <v>252</v>
      </c>
    </row>
    <row r="32" spans="1:4">
      <c r="A32" s="4" t="s">
        <v>253</v>
      </c>
      <c r="B32" s="4" t="s">
        <v>254</v>
      </c>
      <c r="C32" s="4" t="s">
        <v>255</v>
      </c>
      <c r="D32" s="4" t="s">
        <v>256</v>
      </c>
    </row>
    <row r="33" spans="1:4">
      <c r="A33" s="4" t="s">
        <v>257</v>
      </c>
      <c r="B33" s="4" t="s">
        <v>258</v>
      </c>
      <c r="C33" s="4" t="s">
        <v>259</v>
      </c>
      <c r="D33" s="4" t="s">
        <v>260</v>
      </c>
    </row>
    <row r="34" spans="1:4">
      <c r="A34" s="4" t="s">
        <v>261</v>
      </c>
      <c r="B34" s="4" t="s">
        <v>262</v>
      </c>
      <c r="C34" s="4" t="s">
        <v>263</v>
      </c>
      <c r="D34" s="4" t="s">
        <v>264</v>
      </c>
    </row>
    <row r="35" spans="1:4">
      <c r="A35" s="4" t="s">
        <v>265</v>
      </c>
      <c r="B35" s="4"/>
      <c r="C35" s="4" t="s">
        <v>266</v>
      </c>
      <c r="D35" s="4" t="s">
        <v>267</v>
      </c>
    </row>
    <row r="36" spans="1:4">
      <c r="A36" s="4" t="s">
        <v>268</v>
      </c>
      <c r="B36" s="4" t="s">
        <v>269</v>
      </c>
      <c r="C36" s="4" t="s">
        <v>270</v>
      </c>
      <c r="D36" s="4" t="s">
        <v>271</v>
      </c>
    </row>
    <row r="37" spans="1:4">
      <c r="A37" s="4" t="s">
        <v>272</v>
      </c>
      <c r="B37" s="4"/>
      <c r="C37" s="4" t="s">
        <v>273</v>
      </c>
      <c r="D37" s="4"/>
    </row>
    <row r="38" spans="1:4">
      <c r="A38" s="4" t="s">
        <v>274</v>
      </c>
      <c r="B38" s="4" t="s">
        <v>275</v>
      </c>
      <c r="C38" s="4" t="s">
        <v>276</v>
      </c>
      <c r="D38" s="4" t="s">
        <v>277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44"/>
  <sheetViews>
    <sheetView workbookViewId="0"/>
  </sheetViews>
  <sheetFormatPr defaultRowHeight="15"/>
  <cols>
    <col min="1" max="2" width="10.7109375" customWidth="1"/>
    <col min="3" max="5" width="20.7109375" customWidth="1"/>
    <col min="6" max="6" width="16.7109375" customWidth="1"/>
    <col min="7" max="9" width="40.7109375" customWidth="1"/>
  </cols>
  <sheetData>
    <row r="1" spans="1:9">
      <c r="A1" s="1" t="s">
        <v>278</v>
      </c>
    </row>
    <row r="3" spans="1:9">
      <c r="A3" s="3" t="s">
        <v>279</v>
      </c>
      <c r="B3" s="3" t="s">
        <v>42</v>
      </c>
      <c r="C3" s="3" t="s">
        <v>280</v>
      </c>
      <c r="D3" s="3" t="s">
        <v>281</v>
      </c>
      <c r="E3" s="3" t="s">
        <v>282</v>
      </c>
      <c r="F3" s="3" t="s">
        <v>283</v>
      </c>
      <c r="G3" s="3" t="s">
        <v>284</v>
      </c>
      <c r="H3" s="3" t="s">
        <v>113</v>
      </c>
      <c r="I3" s="3" t="s">
        <v>285</v>
      </c>
    </row>
    <row r="4" spans="1:9">
      <c r="A4" s="4" t="s">
        <v>286</v>
      </c>
      <c r="B4" s="4">
        <v>2021</v>
      </c>
      <c r="C4" s="4" t="s">
        <v>287</v>
      </c>
      <c r="D4" s="4" t="s">
        <v>288</v>
      </c>
      <c r="E4" s="4" t="s">
        <v>289</v>
      </c>
      <c r="F4" s="8">
        <v>0</v>
      </c>
      <c r="G4" s="4"/>
      <c r="H4" s="4"/>
      <c r="I4" s="4"/>
    </row>
    <row r="5" spans="1:9">
      <c r="A5" s="4" t="s">
        <v>290</v>
      </c>
      <c r="B5" s="4">
        <v>2021</v>
      </c>
      <c r="C5" s="4" t="s">
        <v>287</v>
      </c>
      <c r="D5" s="4" t="s">
        <v>288</v>
      </c>
      <c r="E5" s="4" t="s">
        <v>289</v>
      </c>
      <c r="F5" s="8">
        <v>0</v>
      </c>
      <c r="G5" s="4"/>
      <c r="H5" s="4"/>
      <c r="I5" s="4"/>
    </row>
    <row r="6" spans="1:9">
      <c r="A6" s="4" t="s">
        <v>291</v>
      </c>
      <c r="B6" s="4">
        <v>2021</v>
      </c>
      <c r="C6" s="4" t="s">
        <v>287</v>
      </c>
      <c r="D6" s="4" t="s">
        <v>292</v>
      </c>
      <c r="E6" s="4" t="s">
        <v>289</v>
      </c>
      <c r="F6" s="8">
        <v>0</v>
      </c>
      <c r="G6" s="4"/>
      <c r="H6" s="4"/>
      <c r="I6" s="4"/>
    </row>
    <row r="7" spans="1:9">
      <c r="A7" s="4" t="s">
        <v>293</v>
      </c>
      <c r="B7" s="4">
        <v>2021</v>
      </c>
      <c r="C7" s="4" t="s">
        <v>287</v>
      </c>
      <c r="D7" s="4" t="s">
        <v>288</v>
      </c>
      <c r="E7" s="4" t="s">
        <v>289</v>
      </c>
      <c r="F7" s="8">
        <v>0</v>
      </c>
      <c r="G7" s="4"/>
      <c r="H7" s="4"/>
      <c r="I7" s="4"/>
    </row>
    <row r="8" spans="1:9">
      <c r="A8" s="4" t="s">
        <v>294</v>
      </c>
      <c r="B8" s="4">
        <v>2021</v>
      </c>
      <c r="C8" s="4" t="s">
        <v>287</v>
      </c>
      <c r="D8" s="4" t="s">
        <v>288</v>
      </c>
      <c r="E8" s="4" t="s">
        <v>289</v>
      </c>
      <c r="F8" s="8">
        <v>0</v>
      </c>
      <c r="G8" s="4"/>
      <c r="H8" s="4"/>
      <c r="I8" s="4"/>
    </row>
    <row r="9" spans="1:9">
      <c r="A9" s="4" t="s">
        <v>295</v>
      </c>
      <c r="B9" s="4">
        <v>2021</v>
      </c>
      <c r="C9" s="4" t="s">
        <v>296</v>
      </c>
      <c r="D9" s="4" t="s">
        <v>288</v>
      </c>
      <c r="E9" s="4" t="s">
        <v>289</v>
      </c>
      <c r="F9" s="8">
        <v>0</v>
      </c>
      <c r="G9" s="4"/>
      <c r="H9" s="4"/>
      <c r="I9" s="4"/>
    </row>
    <row r="10" spans="1:9">
      <c r="A10" s="4" t="s">
        <v>297</v>
      </c>
      <c r="B10" s="4">
        <v>2022</v>
      </c>
      <c r="C10" s="4" t="s">
        <v>298</v>
      </c>
      <c r="D10" s="4" t="s">
        <v>292</v>
      </c>
      <c r="E10" s="4" t="s">
        <v>289</v>
      </c>
      <c r="F10" s="8">
        <v>0</v>
      </c>
      <c r="G10" s="4"/>
      <c r="H10" s="4"/>
      <c r="I10" s="4"/>
    </row>
    <row r="11" spans="1:9">
      <c r="A11" s="4" t="s">
        <v>299</v>
      </c>
      <c r="B11" s="4">
        <v>2022</v>
      </c>
      <c r="C11" s="4" t="s">
        <v>296</v>
      </c>
      <c r="D11" s="4" t="s">
        <v>288</v>
      </c>
      <c r="E11" s="4" t="s">
        <v>289</v>
      </c>
      <c r="F11" s="8">
        <v>0</v>
      </c>
      <c r="G11" s="4"/>
      <c r="H11" s="4"/>
      <c r="I11" s="4"/>
    </row>
    <row r="12" spans="1:9">
      <c r="A12" s="4" t="s">
        <v>300</v>
      </c>
      <c r="B12" s="4">
        <v>2022</v>
      </c>
      <c r="C12" s="4" t="s">
        <v>287</v>
      </c>
      <c r="D12" s="4" t="s">
        <v>292</v>
      </c>
      <c r="E12" s="4" t="s">
        <v>289</v>
      </c>
      <c r="F12" s="8">
        <v>0</v>
      </c>
      <c r="G12" s="4"/>
      <c r="H12" s="4"/>
      <c r="I12" s="4"/>
    </row>
    <row r="13" spans="1:9">
      <c r="A13" s="4" t="s">
        <v>301</v>
      </c>
      <c r="B13" s="4">
        <v>2022</v>
      </c>
      <c r="C13" s="4" t="s">
        <v>287</v>
      </c>
      <c r="D13" s="4" t="s">
        <v>292</v>
      </c>
      <c r="E13" s="4" t="s">
        <v>289</v>
      </c>
      <c r="F13" s="8">
        <v>0</v>
      </c>
      <c r="G13" s="4"/>
      <c r="H13" s="4"/>
      <c r="I13" s="4"/>
    </row>
    <row r="14" spans="1:9">
      <c r="A14" s="4" t="s">
        <v>302</v>
      </c>
      <c r="B14" s="4">
        <v>2022</v>
      </c>
      <c r="C14" s="4" t="s">
        <v>287</v>
      </c>
      <c r="D14" s="4" t="s">
        <v>292</v>
      </c>
      <c r="E14" s="4" t="s">
        <v>289</v>
      </c>
      <c r="F14" s="8">
        <v>0</v>
      </c>
      <c r="G14" s="4"/>
      <c r="H14" s="4"/>
      <c r="I14" s="4"/>
    </row>
    <row r="15" spans="1:9">
      <c r="A15" s="4" t="s">
        <v>303</v>
      </c>
      <c r="B15" s="4">
        <v>2022</v>
      </c>
      <c r="C15" s="4" t="s">
        <v>287</v>
      </c>
      <c r="D15" s="4" t="s">
        <v>292</v>
      </c>
      <c r="E15" s="4" t="s">
        <v>289</v>
      </c>
      <c r="F15" s="8">
        <v>0</v>
      </c>
      <c r="G15" s="4"/>
      <c r="H15" s="4"/>
      <c r="I15" s="4"/>
    </row>
    <row r="16" spans="1:9">
      <c r="A16" s="4" t="s">
        <v>304</v>
      </c>
      <c r="B16" s="4">
        <v>2022</v>
      </c>
      <c r="C16" s="4" t="s">
        <v>296</v>
      </c>
      <c r="D16" s="4" t="s">
        <v>288</v>
      </c>
      <c r="E16" s="4" t="s">
        <v>305</v>
      </c>
      <c r="F16" s="8">
        <v>5</v>
      </c>
      <c r="G16" s="4" t="s">
        <v>306</v>
      </c>
      <c r="H16" s="4" t="s">
        <v>117</v>
      </c>
      <c r="I16" s="4" t="s">
        <v>307</v>
      </c>
    </row>
    <row r="17" spans="1:9">
      <c r="A17" s="4" t="s">
        <v>308</v>
      </c>
      <c r="B17" s="4">
        <v>2022</v>
      </c>
      <c r="C17" s="4" t="s">
        <v>309</v>
      </c>
      <c r="D17" s="4" t="s">
        <v>288</v>
      </c>
      <c r="E17" s="4" t="s">
        <v>305</v>
      </c>
      <c r="F17" s="8">
        <v>29</v>
      </c>
      <c r="G17" s="4" t="s">
        <v>310</v>
      </c>
      <c r="H17" s="4" t="s">
        <v>115</v>
      </c>
      <c r="I17" s="4" t="s">
        <v>307</v>
      </c>
    </row>
    <row r="18" spans="1:9">
      <c r="A18" s="4" t="s">
        <v>311</v>
      </c>
      <c r="B18" s="4">
        <v>2022</v>
      </c>
      <c r="C18" s="4" t="s">
        <v>309</v>
      </c>
      <c r="D18" s="4" t="s">
        <v>288</v>
      </c>
      <c r="E18" s="4" t="s">
        <v>305</v>
      </c>
      <c r="F18" s="8">
        <v>50</v>
      </c>
      <c r="G18" s="4" t="s">
        <v>312</v>
      </c>
      <c r="H18" s="4" t="s">
        <v>116</v>
      </c>
      <c r="I18" s="4" t="s">
        <v>307</v>
      </c>
    </row>
    <row r="19" spans="1:9">
      <c r="A19" s="4" t="s">
        <v>313</v>
      </c>
      <c r="B19" s="4">
        <v>2022</v>
      </c>
      <c r="C19" s="4" t="s">
        <v>296</v>
      </c>
      <c r="D19" s="4" t="s">
        <v>288</v>
      </c>
      <c r="E19" s="4" t="s">
        <v>289</v>
      </c>
      <c r="F19" s="8">
        <v>0</v>
      </c>
      <c r="G19" s="4"/>
      <c r="H19" s="4"/>
      <c r="I19" s="4"/>
    </row>
    <row r="20" spans="1:9">
      <c r="A20" s="4" t="s">
        <v>314</v>
      </c>
      <c r="B20" s="4">
        <v>2023</v>
      </c>
      <c r="C20" s="4" t="s">
        <v>315</v>
      </c>
      <c r="D20" s="4" t="s">
        <v>316</v>
      </c>
      <c r="E20" s="4" t="s">
        <v>305</v>
      </c>
      <c r="F20" s="8">
        <v>3</v>
      </c>
      <c r="G20" s="4"/>
      <c r="H20" s="4"/>
      <c r="I20" s="4"/>
    </row>
    <row r="21" spans="1:9">
      <c r="A21" s="4" t="s">
        <v>317</v>
      </c>
      <c r="B21" s="4">
        <v>2023</v>
      </c>
      <c r="C21" s="4" t="s">
        <v>287</v>
      </c>
      <c r="D21" s="4" t="s">
        <v>292</v>
      </c>
      <c r="E21" s="4" t="s">
        <v>305</v>
      </c>
      <c r="F21" s="8">
        <v>5</v>
      </c>
      <c r="G21" s="4"/>
      <c r="H21" s="4"/>
      <c r="I21" s="4"/>
    </row>
    <row r="22" spans="1:9">
      <c r="A22" s="4" t="s">
        <v>318</v>
      </c>
      <c r="B22" s="4">
        <v>2023</v>
      </c>
      <c r="C22" s="4" t="s">
        <v>287</v>
      </c>
      <c r="D22" s="4" t="s">
        <v>292</v>
      </c>
      <c r="E22" s="4" t="s">
        <v>305</v>
      </c>
      <c r="F22" s="8">
        <v>3</v>
      </c>
      <c r="G22" s="4"/>
      <c r="H22" s="4"/>
      <c r="I22" s="4"/>
    </row>
    <row r="23" spans="1:9">
      <c r="A23" s="4" t="s">
        <v>319</v>
      </c>
      <c r="B23" s="4">
        <v>2023</v>
      </c>
      <c r="C23" s="4" t="s">
        <v>287</v>
      </c>
      <c r="D23" s="4" t="s">
        <v>288</v>
      </c>
      <c r="E23" s="4" t="s">
        <v>305</v>
      </c>
      <c r="F23" s="8">
        <v>3</v>
      </c>
      <c r="G23" s="4"/>
      <c r="H23" s="4"/>
      <c r="I23" s="4"/>
    </row>
    <row r="24" spans="1:9">
      <c r="A24" s="4" t="s">
        <v>320</v>
      </c>
      <c r="B24" s="4">
        <v>2023</v>
      </c>
      <c r="C24" s="4" t="s">
        <v>296</v>
      </c>
      <c r="D24" s="4" t="s">
        <v>292</v>
      </c>
      <c r="E24" s="4" t="s">
        <v>305</v>
      </c>
      <c r="F24" s="8">
        <v>5</v>
      </c>
      <c r="G24" s="4"/>
      <c r="H24" s="4"/>
      <c r="I24" s="4"/>
    </row>
    <row r="25" spans="1:9">
      <c r="A25" s="4" t="s">
        <v>321</v>
      </c>
      <c r="B25" s="4">
        <v>2023</v>
      </c>
      <c r="C25" s="4" t="s">
        <v>296</v>
      </c>
      <c r="D25" s="4" t="s">
        <v>288</v>
      </c>
      <c r="E25" s="4" t="s">
        <v>305</v>
      </c>
      <c r="F25" s="8">
        <v>1</v>
      </c>
      <c r="G25" s="4"/>
      <c r="H25" s="4"/>
      <c r="I25" s="4"/>
    </row>
    <row r="26" spans="1:9">
      <c r="A26" s="4" t="s">
        <v>322</v>
      </c>
      <c r="B26" s="4">
        <v>2023</v>
      </c>
      <c r="C26" s="4" t="s">
        <v>323</v>
      </c>
      <c r="D26" s="4" t="s">
        <v>292</v>
      </c>
      <c r="E26" s="4" t="s">
        <v>305</v>
      </c>
      <c r="F26" s="8">
        <v>50</v>
      </c>
      <c r="G26" s="4" t="s">
        <v>324</v>
      </c>
      <c r="H26" s="4" t="s">
        <v>85</v>
      </c>
      <c r="I26" s="4" t="s">
        <v>325</v>
      </c>
    </row>
    <row r="27" spans="1:9">
      <c r="A27" s="4" t="s">
        <v>326</v>
      </c>
      <c r="B27" s="4">
        <v>2024</v>
      </c>
      <c r="C27" s="4" t="s">
        <v>309</v>
      </c>
      <c r="D27" s="4" t="s">
        <v>292</v>
      </c>
      <c r="E27" s="4" t="s">
        <v>305</v>
      </c>
      <c r="F27" s="8">
        <v>58</v>
      </c>
      <c r="G27" s="4" t="s">
        <v>327</v>
      </c>
      <c r="H27" s="4" t="s">
        <v>85</v>
      </c>
      <c r="I27" s="4" t="s">
        <v>307</v>
      </c>
    </row>
    <row r="28" spans="1:9">
      <c r="A28" s="4" t="s">
        <v>328</v>
      </c>
      <c r="B28" s="4">
        <v>2024</v>
      </c>
      <c r="C28" s="4" t="s">
        <v>309</v>
      </c>
      <c r="D28" s="4" t="s">
        <v>292</v>
      </c>
      <c r="E28" s="4" t="s">
        <v>305</v>
      </c>
      <c r="F28" s="8">
        <v>43</v>
      </c>
      <c r="G28" s="4" t="s">
        <v>329</v>
      </c>
      <c r="H28" s="4" t="s">
        <v>116</v>
      </c>
      <c r="I28" s="4" t="s">
        <v>307</v>
      </c>
    </row>
    <row r="29" spans="1:9">
      <c r="A29" s="4" t="s">
        <v>330</v>
      </c>
      <c r="B29" s="4">
        <v>2024</v>
      </c>
      <c r="C29" s="4" t="s">
        <v>309</v>
      </c>
      <c r="D29" s="4" t="s">
        <v>292</v>
      </c>
      <c r="E29" s="4" t="s">
        <v>305</v>
      </c>
      <c r="F29" s="8">
        <v>13.25</v>
      </c>
      <c r="G29" s="4" t="s">
        <v>331</v>
      </c>
      <c r="H29" s="4" t="s">
        <v>115</v>
      </c>
      <c r="I29" s="4" t="s">
        <v>307</v>
      </c>
    </row>
    <row r="30" spans="1:9">
      <c r="A30" s="4" t="s">
        <v>332</v>
      </c>
      <c r="B30" s="4">
        <v>2024</v>
      </c>
      <c r="C30" s="4" t="s">
        <v>309</v>
      </c>
      <c r="D30" s="4" t="s">
        <v>288</v>
      </c>
      <c r="E30" s="4" t="s">
        <v>305</v>
      </c>
      <c r="F30" s="8">
        <v>8.5</v>
      </c>
      <c r="G30" s="4" t="s">
        <v>333</v>
      </c>
      <c r="H30" s="4" t="s">
        <v>85</v>
      </c>
      <c r="I30" s="4" t="s">
        <v>307</v>
      </c>
    </row>
    <row r="31" spans="1:9">
      <c r="A31" s="4" t="s">
        <v>334</v>
      </c>
      <c r="B31" s="4">
        <v>2024</v>
      </c>
      <c r="C31" s="4" t="s">
        <v>315</v>
      </c>
      <c r="D31" s="4" t="s">
        <v>288</v>
      </c>
      <c r="E31" s="4" t="s">
        <v>305</v>
      </c>
      <c r="F31" s="8">
        <v>3</v>
      </c>
      <c r="G31" s="4"/>
      <c r="H31" s="4"/>
      <c r="I31" s="4"/>
    </row>
    <row r="32" spans="1:9">
      <c r="A32" s="4" t="s">
        <v>335</v>
      </c>
      <c r="B32" s="4">
        <v>2024</v>
      </c>
      <c r="C32" s="4" t="s">
        <v>323</v>
      </c>
      <c r="D32" s="4" t="s">
        <v>288</v>
      </c>
      <c r="E32" s="4" t="s">
        <v>336</v>
      </c>
      <c r="F32" s="8">
        <v>0</v>
      </c>
      <c r="G32" s="4"/>
      <c r="H32" s="4"/>
      <c r="I32" s="4"/>
    </row>
    <row r="33" spans="1:9">
      <c r="A33" s="4" t="s">
        <v>337</v>
      </c>
      <c r="B33" s="4">
        <v>2024</v>
      </c>
      <c r="C33" s="4" t="s">
        <v>315</v>
      </c>
      <c r="D33" s="4" t="s">
        <v>288</v>
      </c>
      <c r="E33" s="4" t="s">
        <v>336</v>
      </c>
      <c r="F33" s="8">
        <v>0</v>
      </c>
      <c r="G33" s="4"/>
      <c r="H33" s="4"/>
      <c r="I33" s="4"/>
    </row>
    <row r="34" spans="1:9">
      <c r="A34" s="4" t="s">
        <v>338</v>
      </c>
      <c r="B34" s="4">
        <v>2024</v>
      </c>
      <c r="C34" s="4" t="s">
        <v>323</v>
      </c>
      <c r="D34" s="4" t="s">
        <v>288</v>
      </c>
      <c r="E34" s="4" t="s">
        <v>336</v>
      </c>
      <c r="F34" s="8">
        <v>0</v>
      </c>
      <c r="G34" s="4"/>
      <c r="H34" s="4"/>
      <c r="I34" s="4"/>
    </row>
    <row r="35" spans="1:9">
      <c r="A35" s="4" t="s">
        <v>339</v>
      </c>
      <c r="B35" s="4">
        <v>2025</v>
      </c>
      <c r="C35" s="4" t="s">
        <v>296</v>
      </c>
      <c r="D35" s="4" t="s">
        <v>292</v>
      </c>
      <c r="E35" s="4" t="s">
        <v>305</v>
      </c>
      <c r="F35" s="8">
        <v>5</v>
      </c>
      <c r="G35" s="4"/>
      <c r="H35" s="4"/>
      <c r="I35" s="4"/>
    </row>
    <row r="36" spans="1:9">
      <c r="A36" s="4" t="s">
        <v>340</v>
      </c>
      <c r="B36" s="4">
        <v>2025</v>
      </c>
      <c r="C36" s="4" t="s">
        <v>296</v>
      </c>
      <c r="D36" s="4" t="s">
        <v>292</v>
      </c>
      <c r="E36" s="4" t="s">
        <v>289</v>
      </c>
      <c r="F36" s="8">
        <v>0</v>
      </c>
      <c r="G36" s="4"/>
      <c r="H36" s="4"/>
      <c r="I36" s="4"/>
    </row>
    <row r="37" spans="1:9">
      <c r="A37" s="4" t="s">
        <v>341</v>
      </c>
      <c r="B37" s="4">
        <v>2025</v>
      </c>
      <c r="C37" s="4" t="s">
        <v>296</v>
      </c>
      <c r="D37" s="4" t="s">
        <v>292</v>
      </c>
      <c r="E37" s="4" t="s">
        <v>289</v>
      </c>
      <c r="F37" s="8">
        <v>0</v>
      </c>
      <c r="G37" s="4"/>
      <c r="H37" s="4"/>
      <c r="I37" s="4"/>
    </row>
    <row r="38" spans="1:9">
      <c r="A38" s="4" t="s">
        <v>342</v>
      </c>
      <c r="B38" s="4">
        <v>2025</v>
      </c>
      <c r="C38" s="4" t="s">
        <v>296</v>
      </c>
      <c r="D38" s="4" t="s">
        <v>292</v>
      </c>
      <c r="E38" s="4" t="s">
        <v>289</v>
      </c>
      <c r="F38" s="8">
        <v>0</v>
      </c>
      <c r="G38" s="4"/>
      <c r="H38" s="4"/>
      <c r="I38" s="4"/>
    </row>
    <row r="39" spans="1:9">
      <c r="A39" s="4" t="s">
        <v>343</v>
      </c>
      <c r="B39" s="4">
        <v>2025</v>
      </c>
      <c r="C39" s="4" t="s">
        <v>309</v>
      </c>
      <c r="D39" s="4" t="s">
        <v>292</v>
      </c>
      <c r="E39" s="4" t="s">
        <v>305</v>
      </c>
      <c r="F39" s="8">
        <v>30</v>
      </c>
      <c r="G39" s="4" t="s">
        <v>344</v>
      </c>
      <c r="H39" s="4" t="s">
        <v>85</v>
      </c>
      <c r="I39" s="4" t="s">
        <v>307</v>
      </c>
    </row>
    <row r="40" spans="1:9">
      <c r="A40" s="4" t="s">
        <v>345</v>
      </c>
      <c r="B40" s="4">
        <v>2025</v>
      </c>
      <c r="C40" s="4" t="s">
        <v>309</v>
      </c>
      <c r="D40" s="4" t="s">
        <v>292</v>
      </c>
      <c r="E40" s="4" t="s">
        <v>305</v>
      </c>
      <c r="F40" s="8">
        <v>30</v>
      </c>
      <c r="G40" s="4" t="s">
        <v>346</v>
      </c>
      <c r="H40" s="4" t="s">
        <v>85</v>
      </c>
      <c r="I40" s="4" t="s">
        <v>307</v>
      </c>
    </row>
    <row r="41" spans="1:9">
      <c r="A41" s="4" t="s">
        <v>347</v>
      </c>
      <c r="B41" s="4">
        <v>2025</v>
      </c>
      <c r="C41" s="4" t="s">
        <v>309</v>
      </c>
      <c r="D41" s="4" t="s">
        <v>348</v>
      </c>
      <c r="E41" s="4" t="s">
        <v>305</v>
      </c>
      <c r="F41" s="8">
        <v>80</v>
      </c>
      <c r="G41" s="4" t="s">
        <v>349</v>
      </c>
      <c r="H41" s="4" t="s">
        <v>110</v>
      </c>
      <c r="I41" s="4" t="s">
        <v>350</v>
      </c>
    </row>
    <row r="42" spans="1:9">
      <c r="E42" s="3" t="s">
        <v>351</v>
      </c>
      <c r="F42" s="8">
        <f>SUM(F4:F41)</f>
        <v>424.75</v>
      </c>
    </row>
    <row r="44" spans="1:9">
      <c r="A44" s="2" t="s">
        <v>352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15"/>
  <sheetViews>
    <sheetView workbookViewId="0"/>
  </sheetViews>
  <sheetFormatPr defaultRowHeight="15"/>
  <cols>
    <col min="1" max="1" width="22.7109375" customWidth="1"/>
    <col min="2" max="2" width="60.7109375" customWidth="1"/>
    <col min="3" max="3" width="8.7109375" customWidth="1"/>
    <col min="4" max="6" width="28.7109375" customWidth="1"/>
  </cols>
  <sheetData>
    <row r="1" spans="1:6">
      <c r="A1" s="1" t="s">
        <v>353</v>
      </c>
    </row>
    <row r="3" spans="1:6">
      <c r="A3" s="3" t="s">
        <v>103</v>
      </c>
      <c r="B3" s="3" t="s">
        <v>354</v>
      </c>
      <c r="C3" s="3" t="s">
        <v>42</v>
      </c>
      <c r="D3" s="3" t="s">
        <v>355</v>
      </c>
      <c r="E3" s="3" t="s">
        <v>356</v>
      </c>
      <c r="F3" s="3" t="s">
        <v>357</v>
      </c>
    </row>
    <row r="4" spans="1:6">
      <c r="A4" s="4" t="s">
        <v>107</v>
      </c>
      <c r="B4" s="4" t="s">
        <v>358</v>
      </c>
      <c r="C4" s="4">
        <v>2021</v>
      </c>
      <c r="D4" s="4" t="s">
        <v>104</v>
      </c>
      <c r="E4" s="4" t="s">
        <v>359</v>
      </c>
      <c r="F4" s="4" t="s">
        <v>360</v>
      </c>
    </row>
    <row r="5" spans="1:6">
      <c r="A5" s="4" t="s">
        <v>107</v>
      </c>
      <c r="B5" s="4" t="s">
        <v>361</v>
      </c>
      <c r="C5" s="4">
        <v>2023</v>
      </c>
      <c r="D5" s="4" t="s">
        <v>104</v>
      </c>
      <c r="E5" s="4" t="s">
        <v>359</v>
      </c>
      <c r="F5" s="4" t="s">
        <v>360</v>
      </c>
    </row>
    <row r="6" spans="1:6">
      <c r="A6" s="4" t="s">
        <v>108</v>
      </c>
      <c r="B6" s="4" t="s">
        <v>362</v>
      </c>
      <c r="C6" s="4">
        <v>2023</v>
      </c>
      <c r="D6" s="4" t="s">
        <v>104</v>
      </c>
      <c r="E6" s="4" t="s">
        <v>359</v>
      </c>
      <c r="F6" s="4" t="s">
        <v>360</v>
      </c>
    </row>
    <row r="7" spans="1:6">
      <c r="A7" s="4" t="s">
        <v>108</v>
      </c>
      <c r="B7" s="4" t="s">
        <v>363</v>
      </c>
      <c r="C7" s="4">
        <v>2025</v>
      </c>
      <c r="D7" s="4" t="s">
        <v>104</v>
      </c>
      <c r="E7" s="4" t="s">
        <v>359</v>
      </c>
      <c r="F7" s="4" t="s">
        <v>360</v>
      </c>
    </row>
    <row r="8" spans="1:6">
      <c r="A8" s="4" t="s">
        <v>108</v>
      </c>
      <c r="B8" s="4" t="s">
        <v>364</v>
      </c>
      <c r="C8" s="4">
        <v>2023</v>
      </c>
      <c r="D8" s="4" t="s">
        <v>105</v>
      </c>
      <c r="E8" s="4" t="s">
        <v>365</v>
      </c>
      <c r="F8" s="4" t="s">
        <v>366</v>
      </c>
    </row>
    <row r="9" spans="1:6">
      <c r="A9" s="4" t="s">
        <v>109</v>
      </c>
      <c r="B9" s="4" t="s">
        <v>367</v>
      </c>
      <c r="C9" s="4">
        <v>2024</v>
      </c>
      <c r="D9" s="4" t="s">
        <v>104</v>
      </c>
      <c r="E9" s="4" t="s">
        <v>365</v>
      </c>
      <c r="F9" s="4" t="s">
        <v>366</v>
      </c>
    </row>
    <row r="10" spans="1:6">
      <c r="A10" s="4" t="s">
        <v>109</v>
      </c>
      <c r="B10" s="4" t="s">
        <v>368</v>
      </c>
      <c r="C10" s="4">
        <v>2024</v>
      </c>
      <c r="D10" s="4" t="s">
        <v>104</v>
      </c>
      <c r="E10" s="4" t="s">
        <v>365</v>
      </c>
      <c r="F10" s="4" t="s">
        <v>366</v>
      </c>
    </row>
    <row r="11" spans="1:6">
      <c r="A11" s="4" t="s">
        <v>109</v>
      </c>
      <c r="B11" s="4" t="s">
        <v>369</v>
      </c>
      <c r="C11" s="4">
        <v>2024</v>
      </c>
      <c r="D11" s="4" t="s">
        <v>104</v>
      </c>
      <c r="E11" s="4" t="s">
        <v>365</v>
      </c>
      <c r="F11" s="4" t="s">
        <v>366</v>
      </c>
    </row>
    <row r="12" spans="1:6">
      <c r="A12" s="4" t="s">
        <v>109</v>
      </c>
      <c r="B12" s="4" t="s">
        <v>370</v>
      </c>
      <c r="C12" s="4">
        <v>2024</v>
      </c>
      <c r="D12" s="4" t="s">
        <v>104</v>
      </c>
      <c r="E12" s="4" t="s">
        <v>365</v>
      </c>
      <c r="F12" s="4" t="s">
        <v>366</v>
      </c>
    </row>
    <row r="13" spans="1:6">
      <c r="A13" s="4" t="s">
        <v>109</v>
      </c>
      <c r="B13" s="4" t="s">
        <v>371</v>
      </c>
      <c r="C13" s="4">
        <v>2024</v>
      </c>
      <c r="D13" s="4" t="s">
        <v>104</v>
      </c>
      <c r="E13" s="4" t="s">
        <v>365</v>
      </c>
      <c r="F13" s="4" t="s">
        <v>366</v>
      </c>
    </row>
    <row r="14" spans="1:6">
      <c r="A14" s="4" t="s">
        <v>110</v>
      </c>
      <c r="B14" s="4" t="s">
        <v>372</v>
      </c>
      <c r="C14" s="4">
        <v>2025</v>
      </c>
      <c r="D14" s="4" t="s">
        <v>105</v>
      </c>
      <c r="E14" s="4" t="s">
        <v>359</v>
      </c>
      <c r="F14" s="4" t="s">
        <v>373</v>
      </c>
    </row>
    <row r="15" spans="1:6">
      <c r="A15" s="4" t="s">
        <v>110</v>
      </c>
      <c r="B15" s="4" t="s">
        <v>374</v>
      </c>
      <c r="C15" s="4">
        <v>2026</v>
      </c>
      <c r="D15" s="4" t="s">
        <v>105</v>
      </c>
      <c r="E15" s="4" t="s">
        <v>359</v>
      </c>
      <c r="F15" s="4" t="s">
        <v>373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14.7109375" customWidth="1"/>
    <col min="2" max="2" width="60.7109375" customWidth="1"/>
    <col min="3" max="3" width="22.7109375" customWidth="1"/>
    <col min="4" max="4" width="70.7109375" customWidth="1"/>
  </cols>
  <sheetData>
    <row r="1" spans="1:4">
      <c r="A1" s="1" t="s">
        <v>375</v>
      </c>
    </row>
    <row r="3" spans="1:4">
      <c r="A3" s="3" t="s">
        <v>129</v>
      </c>
      <c r="B3" s="3" t="s">
        <v>376</v>
      </c>
      <c r="C3" s="3" t="s">
        <v>377</v>
      </c>
      <c r="D3" s="3" t="s">
        <v>378</v>
      </c>
    </row>
    <row r="4" spans="1:4">
      <c r="A4" s="4" t="s">
        <v>97</v>
      </c>
      <c r="B4" s="4" t="s">
        <v>379</v>
      </c>
      <c r="C4" s="4" t="s">
        <v>96</v>
      </c>
      <c r="D4" s="4" t="s">
        <v>380</v>
      </c>
    </row>
    <row r="5" spans="1:4">
      <c r="A5" s="4" t="s">
        <v>97</v>
      </c>
      <c r="B5" s="4" t="s">
        <v>381</v>
      </c>
      <c r="C5" s="4" t="s">
        <v>94</v>
      </c>
      <c r="D5" s="4" t="s">
        <v>382</v>
      </c>
    </row>
    <row r="6" spans="1:4">
      <c r="A6" s="4" t="s">
        <v>97</v>
      </c>
      <c r="B6" s="4" t="s">
        <v>383</v>
      </c>
      <c r="C6" s="4" t="s">
        <v>95</v>
      </c>
      <c r="D6" s="4" t="s">
        <v>384</v>
      </c>
    </row>
    <row r="7" spans="1:4">
      <c r="A7" s="4" t="s">
        <v>98</v>
      </c>
      <c r="B7" s="4" t="s">
        <v>385</v>
      </c>
      <c r="C7" s="4" t="s">
        <v>94</v>
      </c>
      <c r="D7" s="4" t="s">
        <v>386</v>
      </c>
    </row>
    <row r="8" spans="1:4">
      <c r="A8" s="4" t="s">
        <v>98</v>
      </c>
      <c r="B8" s="4" t="s">
        <v>387</v>
      </c>
      <c r="C8" s="4" t="s">
        <v>96</v>
      </c>
      <c r="D8" s="4" t="s">
        <v>388</v>
      </c>
    </row>
    <row r="9" spans="1:4">
      <c r="A9" s="4" t="s">
        <v>98</v>
      </c>
      <c r="B9" s="4" t="s">
        <v>389</v>
      </c>
      <c r="C9" s="4" t="s">
        <v>95</v>
      </c>
      <c r="D9" s="4" t="s">
        <v>390</v>
      </c>
    </row>
    <row r="10" spans="1:4">
      <c r="A10" s="4" t="s">
        <v>98</v>
      </c>
      <c r="B10" s="4" t="s">
        <v>391</v>
      </c>
      <c r="C10" s="4" t="s">
        <v>96</v>
      </c>
      <c r="D10" s="4" t="s">
        <v>392</v>
      </c>
    </row>
    <row r="11" spans="1:4">
      <c r="A11" s="4" t="s">
        <v>99</v>
      </c>
      <c r="B11" s="4" t="s">
        <v>393</v>
      </c>
      <c r="C11" s="4" t="s">
        <v>94</v>
      </c>
      <c r="D11" s="4" t="s">
        <v>394</v>
      </c>
    </row>
    <row r="12" spans="1:4">
      <c r="A12" s="4" t="s">
        <v>99</v>
      </c>
      <c r="B12" s="4" t="s">
        <v>395</v>
      </c>
      <c r="C12" s="4" t="s">
        <v>94</v>
      </c>
      <c r="D12" s="4" t="s">
        <v>394</v>
      </c>
    </row>
    <row r="13" spans="1:4">
      <c r="A13" s="4" t="s">
        <v>99</v>
      </c>
      <c r="B13" s="4" t="s">
        <v>396</v>
      </c>
      <c r="C13" s="4" t="s">
        <v>94</v>
      </c>
      <c r="D13" s="4" t="s">
        <v>394</v>
      </c>
    </row>
    <row r="14" spans="1:4">
      <c r="A14" s="4" t="s">
        <v>99</v>
      </c>
      <c r="B14" s="4" t="s">
        <v>397</v>
      </c>
      <c r="C14" s="4" t="s">
        <v>95</v>
      </c>
      <c r="D14" s="4" t="s">
        <v>398</v>
      </c>
    </row>
    <row r="15" spans="1:4">
      <c r="A15" s="4" t="s">
        <v>100</v>
      </c>
      <c r="B15" s="4" t="s">
        <v>399</v>
      </c>
      <c r="C15" s="4" t="s">
        <v>95</v>
      </c>
      <c r="D15" s="4" t="s">
        <v>400</v>
      </c>
    </row>
    <row r="16" spans="1:4">
      <c r="A16" s="4" t="s">
        <v>100</v>
      </c>
      <c r="B16" s="4" t="s">
        <v>401</v>
      </c>
      <c r="C16" s="4" t="s">
        <v>96</v>
      </c>
      <c r="D16" s="4" t="s">
        <v>402</v>
      </c>
    </row>
    <row r="17" spans="1:4">
      <c r="A17" s="4" t="s">
        <v>100</v>
      </c>
      <c r="B17" s="4" t="s">
        <v>403</v>
      </c>
      <c r="C17" s="4" t="s">
        <v>96</v>
      </c>
      <c r="D17" s="4" t="s">
        <v>404</v>
      </c>
    </row>
    <row r="18" spans="1:4">
      <c r="A18" s="4" t="s">
        <v>100</v>
      </c>
      <c r="B18" s="4" t="s">
        <v>405</v>
      </c>
      <c r="C18" s="4" t="s">
        <v>96</v>
      </c>
      <c r="D18" s="4" t="s">
        <v>406</v>
      </c>
    </row>
    <row r="19" spans="1:4">
      <c r="A19" s="4" t="s">
        <v>100</v>
      </c>
      <c r="B19" s="4" t="s">
        <v>407</v>
      </c>
      <c r="C19" s="4" t="s">
        <v>96</v>
      </c>
      <c r="D19" s="4"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Muc_luc</vt:lpstr>
      <vt:lpstr>H2.1</vt:lpstr>
      <vt:lpstr>H2.2</vt:lpstr>
      <vt:lpstr>H2.3</vt:lpstr>
      <vt:lpstr>H2.4</vt:lpstr>
      <vt:lpstr>H2.5</vt:lpstr>
      <vt:lpstr>H2.6</vt:lpstr>
      <vt:lpstr>H2.7</vt:lpstr>
      <vt:lpstr>H2.8</vt:lpstr>
      <vt:lpstr>H2.9</vt:lpstr>
      <vt:lpstr>Nhat_ky_chuan_hoa</vt:lpstr>
      <vt:lpstr>DL_De_tai</vt:lpstr>
      <vt:lpstr>DL_TSTT</vt:lpstr>
      <vt:lpstr>DL_Tieu_chi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2026-09-30T18:54:00Z</dcterms:created>
  <dcterms:modified xsi:type="dcterms:W3CDTF">2026-09-30T18:54:00Z</dcterms:modified>
</cp:coreProperties>
</file>