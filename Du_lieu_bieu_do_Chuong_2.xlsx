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3" sheetId="4" r:id="rId4"/>
    <sheet name="H2.4" sheetId="5" r:id="rId5"/>
    <sheet name="H2.5" sheetId="6" r:id="rId6"/>
    <sheet name="H2.6" sheetId="7" r:id="rId7"/>
    <sheet name="H2.7" sheetId="8" r:id="rId8"/>
    <sheet name="H2.8" sheetId="9" r:id="rId9"/>
    <sheet name="H2.9" sheetId="10" r:id="rId10"/>
    <sheet name="H2.10" sheetId="11" r:id="rId11"/>
    <sheet name="H2.11" sheetId="12" r:id="rId12"/>
    <sheet name="H2.12" sheetId="13" r:id="rId13"/>
    <sheet name="H2.13" sheetId="14" r:id="rId14"/>
    <sheet name="H2.14" sheetId="15" r:id="rId15"/>
    <sheet name="H2.15" sheetId="16" r:id="rId16"/>
    <sheet name="H2.16" sheetId="17" r:id="rId17"/>
    <sheet name="Nhat_ky_chuan_hoa" sheetId="18" r:id="rId18"/>
    <sheet name="DL_De_tai" sheetId="19" r:id="rId19"/>
    <sheet name="DL_TSTT" sheetId="20" r:id="rId20"/>
    <sheet name="DL_Tieu_chi" sheetId="21" r:id="rId21"/>
  </sheets>
  <calcPr calcId="124519" fullCalcOnLoad="1"/>
</workbook>
</file>

<file path=xl/sharedStrings.xml><?xml version="1.0" encoding="utf-8"?>
<sst xmlns="http://schemas.openxmlformats.org/spreadsheetml/2006/main" count="711" uniqueCount="458">
  <si>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</si>
  <si>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</si>
  <si>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</si>
  <si>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</si>
  <si>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</si>
  <si>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</si>
  <si>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nhân lực theo đơn vị, trình độ và tỷ lệ tiến sĩ, năm 2026</t>
  </si>
  <si>
    <t>H2.1</t>
  </si>
  <si>
    <t>Hình 2.2</t>
  </si>
  <si>
    <t>Cơ cấu và diễn biến sản phẩm khoa học theo năm, giai đoạn 2021 - 2025</t>
  </si>
  <si>
    <t>H2.2</t>
  </si>
  <si>
    <t>Hình 2.3</t>
  </si>
  <si>
    <t>Tương quan giữa bài báo khoa học và giáo trình, tài liệu giảng dạy, giai đoạn 2021 - 2025</t>
  </si>
  <si>
    <t>H2.3</t>
  </si>
  <si>
    <t>Hình 2.4</t>
  </si>
  <si>
    <t>Bài báo quốc tế theo phân hạng tạp chí và tỷ trọng nhóm Q1 - Q2, giai đoạn 2021 - 2025</t>
  </si>
  <si>
    <t>H2.4</t>
  </si>
  <si>
    <t>Hình 2.5</t>
  </si>
  <si>
    <t>Quy mô nhân lực và số bài báo bình quân một nhân sự theo đơn vị, giai đoạn 2021 - 2025</t>
  </si>
  <si>
    <t>H2.5</t>
  </si>
  <si>
    <t>Hình 2.6</t>
  </si>
  <si>
    <t>Cơ cấu nhân sự theo tình trạng có công bố bài báo, giai đoạn 2021 - 2025</t>
  </si>
  <si>
    <t>H2.6</t>
  </si>
  <si>
    <t>Hình 2.7</t>
  </si>
  <si>
    <t>Khả năng tính toán bộ tiêu chí đánh giá hiệu quả quản lý quyền sở hữu trí tuệ từ dữ liệu hiện có</t>
  </si>
  <si>
    <t>H2.7</t>
  </si>
  <si>
    <t>Hình 2.8</t>
  </si>
  <si>
    <t>Mô phỏng phần lợi ích của tác giả theo các quy định nội bộ và mức mặc định của Luật Sở hữu trí tuệ</t>
  </si>
  <si>
    <t>H2.8</t>
  </si>
  <si>
    <t>Hình 2.9</t>
  </si>
  <si>
    <t>Quy mô kinh phí của ba kênh tài trợ nghiên cứu</t>
  </si>
  <si>
    <t>H2.9</t>
  </si>
  <si>
    <t>Hình 2.10</t>
  </si>
  <si>
    <t>Số đề tài cấp cơ sở theo hình thức kinh phí và kinh phí Nhà trường cấp, giai đoạn 2021 - 2025</t>
  </si>
  <si>
    <t>H2.10</t>
  </si>
  <si>
    <t>Hình 2.11</t>
  </si>
  <si>
    <t>Giờ nghiên cứu quy đổi và mức thưởng bằng tiền theo loại sản phẩm khoa học</t>
  </si>
  <si>
    <t>H2.11</t>
  </si>
  <si>
    <t>Hình 2.12</t>
  </si>
  <si>
    <t>Tài sản trí tuệ của Nhà trường theo loại hình và tình trạng pháp lý</t>
  </si>
  <si>
    <t>H2.12</t>
  </si>
  <si>
    <t>Hình 2.13</t>
  </si>
  <si>
    <t>Tài sản trí tuệ của Nhà trường theo năm xác lập, nguồn hình thành và số lũy kế</t>
  </si>
  <si>
    <t>H2.13</t>
  </si>
  <si>
    <t>Hình 2.14</t>
  </si>
  <si>
    <t>Sản phẩm đề tài cấp cơ sở đủ điều kiện xác lập quyền theo nhóm quyền có thể xác lập</t>
  </si>
  <si>
    <t>H2.14</t>
  </si>
  <si>
    <t>Hình 2.15</t>
  </si>
  <si>
    <t>Chuỗi chuyển hóa từ đề tài cấp cơ sở sang đơn đăng ký sở hữu công nghiệp</t>
  </si>
  <si>
    <t>H2.15</t>
  </si>
  <si>
    <t>Hình 2.16</t>
  </si>
  <si>
    <t>Tỷ lệ thực hiện so với chỉ tiêu Kế hoạch 07/KH-ĐHTĐ, cộng dồn hai năm 2024 - 2025</t>
  </si>
  <si>
    <t>H2.16</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</si>
  <si>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</si>
  <si>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</si>
  <si>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</si>
  <si>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</si>
  <si>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</si>
  <si>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</si>
  <si>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</si>
  <si>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</si>
  <si>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nhân lực theo đơn vị, trình độ và tỷ lệ tiến sĩ, năm 2026</t>
  </si>
  <si>
    <t>Nguồn: Nhóm nghiên cứu tổng hợp từ danh sách nhân sự năm 2026 của Trường Đại học Thành Đô. Nhóm tiến sĩ và tương đương đã bao gồm người có học hàm giáo sư, phó giáo sư và bác sĩ chuyên khoa II.</t>
  </si>
  <si>
    <t>Đơn vị</t>
  </si>
  <si>
    <t>Tiến sĩ và tương đương</t>
  </si>
  <si>
    <t>Thạc sĩ và tương đương</t>
  </si>
  <si>
    <t>Đại học</t>
  </si>
  <si>
    <t>Khác</t>
  </si>
  <si>
    <t>Tỷ lệ tiến sĩ</t>
  </si>
  <si>
    <t>Viện Y - Dược</t>
  </si>
  <si>
    <t>Viện QT và CN</t>
  </si>
  <si>
    <t>Viện NN - VH - QT</t>
  </si>
  <si>
    <t>TT Tuyển sinh và QTTH</t>
  </si>
  <si>
    <t>TT Dịch vụ và QTHC</t>
  </si>
  <si>
    <t>Ban GDCB</t>
  </si>
  <si>
    <t>Viện NCGD và CGTT</t>
  </si>
  <si>
    <t>Đơn vị khác</t>
  </si>
  <si>
    <t>Hình 2.2.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</si>
  <si>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</si>
  <si>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</si>
  <si>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</si>
  <si>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</si>
  <si>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</si>
  <si>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</si>
  <si>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</si>
  <si>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</si>
  <si>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</si>
  <si>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</si>
  <si>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</si>
  <si>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</si>
  <si>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</si>
  <si>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</si>
  <si>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</si>
  <si>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2.3. Tương quan giữa bài báo khoa học và giáo trình, tài liệu giảng dạy, giai đoạn 2021 - 2025</t>
  </si>
  <si>
    <t>Nguồn: Nhóm nghiên cứu tính toán từ Bảng 2.2. Bài báo gồm bài đăng tạp chí trong nước và quốc tế.</t>
  </si>
  <si>
    <t>Bài báo khoa học</t>
  </si>
  <si>
    <t>Giáo trình, tài liệu giảng dạy</t>
  </si>
  <si>
    <t>Số bài báo trên một giáo trình</t>
  </si>
  <si>
    <t>Hình 2.4. Bài báo quốc tế theo phân hạng tạp chí và tỷ trọng nhóm Q1 - Q2, giai đoạn 2021 - 2025</t>
  </si>
  <si>
    <t>Nguồn: Nhóm nghiên cứu tổng hợp từ cột phân hạng ISI, Scopus của danh mục bài báo quốc tế, Phòng Khoa học Công nghệ, Trường Đại học Thành Đô.</t>
  </si>
  <si>
    <t>Q1</t>
  </si>
  <si>
    <t>Q2</t>
  </si>
  <si>
    <t>Q3</t>
  </si>
  <si>
    <t>Q4</t>
  </si>
  <si>
    <t>Chưa xếp hạng, quốc tế khác</t>
  </si>
  <si>
    <t>Tỷ trọng Q1 - Q2</t>
  </si>
  <si>
    <t>Hình 2.5. Quy mô nhân lực và số bài báo bình quân một nhân sự theo đơn vị, giai đoạn 2021 - 2025</t>
  </si>
  <si>
    <t>Nguồn: Nhóm nghiên cứu tính toán từ Bảng 2.3.</t>
  </si>
  <si>
    <t>Nhân lực</t>
  </si>
  <si>
    <t>Bài báo trên một nhân sự</t>
  </si>
  <si>
    <t>Đề tài trên 100 nhân sự</t>
  </si>
  <si>
    <t>Hình 2.6. Cơ cấu nhân sự theo tình trạng có công bố bài báo, giai đoạn 2021 - 2025</t>
  </si>
  <si>
    <t>Nguồn: Nhóm nghiên cứu tính toán trên 247 nhân sự có họ tên đầy đủ trong danh sách năm 2026, đối chiếu với danh sách tác giả của hai danh mục bài báo.</t>
  </si>
  <si>
    <t>Tình trạng</t>
  </si>
  <si>
    <t>Số nhân sự</t>
  </si>
  <si>
    <t>Có ít nhất một bài báo</t>
  </si>
  <si>
    <t>Chưa có bài báo</t>
  </si>
  <si>
    <t>Hình 2.7.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</si>
  <si>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</si>
  <si>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</si>
  <si>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</si>
  <si>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</si>
  <si>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</si>
  <si>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</si>
  <si>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</si>
  <si>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</si>
  <si>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</si>
  <si>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2.8. Mô phỏng phần lợi ích của tác giả theo các quy định nội bộ và mức mặc định của Luật Sở hữu trí tuệ</t>
  </si>
  <si>
    <t>Nguồn: Nhóm nghiên cứu mô phỏng từ Điều 36 Quyết định số 213/QĐ-ĐHTĐ, Điều 9 Điều lệ Quỹ Học bổng sau tiến sĩ Ngô Xuân Độ và điểm b khoản 1 Điều 135 Luật Sở hữu trí tuệ.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</si>
  <si>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</si>
  <si>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</si>
  <si>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</si>
  <si>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</si>
  <si>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</si>
  <si>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</si>
  <si>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</si>
  <si>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</si>
  <si>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</si>
  <si>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</si>
  <si>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</si>
  <si>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</si>
  <si>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</si>
  <si>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</si>
  <si>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2.9. Quy mô kinh phí của ba kênh tài trợ nghiên cứu</t>
  </si>
  <si>
    <t>Nguồn: Nhóm nghiên cứu tổng hợp từ danh mục đề tài cấp cơ sở, danh mục đề tài cấp quốc gia và Điều lệ Quỹ Học bổng sau tiến sĩ Ngô Xuân Độ; đơn vị: triệu đồng. Kinh phí đề tài cấp cơ sở chỉ tính khoản Nhà trường cấp bằng tiền.</t>
  </si>
  <si>
    <t>Kênh tài trợ</t>
  </si>
  <si>
    <t>Kinh phí (triệu đồng)</t>
  </si>
  <si>
    <t>Đề tài cấp cơ sở, 2021 - 2025</t>
  </si>
  <si>
    <t>Đề tài cấp quốc gia, giao 2024 - 2025</t>
  </si>
  <si>
    <t>Quỹ Học bổng sau tiến sĩ Ngô Xuân Độ, 2025 - 2029</t>
  </si>
  <si>
    <t>Hình 2.10.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</si>
  <si>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</si>
  <si>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</si>
  <si>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</si>
  <si>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</si>
  <si>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</si>
  <si>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2.11.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</si>
  <si>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</si>
  <si>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</si>
  <si>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</si>
  <si>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</si>
  <si>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</si>
  <si>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</si>
  <si>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</si>
  <si>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</si>
  <si>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</si>
  <si>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</si>
  <si>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</si>
  <si>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</si>
  <si>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2.12. Tài sản trí tuệ của Nhà trường theo loại hình và tình trạng pháp lý</t>
  </si>
  <si>
    <t>Nguồn: Nhóm nghiên cứu tổng hợp từ Bảng 2.7.</t>
  </si>
  <si>
    <t>Loại hình</t>
  </si>
  <si>
    <t>Đã cấp văn bằng</t>
  </si>
  <si>
    <t>Đang xử lý</t>
  </si>
  <si>
    <t>Trong đó đồng sở hữu với doanh nghiệp</t>
  </si>
  <si>
    <t>Quyền tác giả</t>
  </si>
  <si>
    <t>Nhãn hiệu</t>
  </si>
  <si>
    <t>Kiểu dáng công nghiệp</t>
  </si>
  <si>
    <t>Sáng chế</t>
  </si>
  <si>
    <t>Hình 2.13. Tài sản trí tuệ của Nhà trường theo năm xác lập, nguồn hình thành và số lũy kế</t>
  </si>
  <si>
    <t>Nguồn: Nhóm nghiên cứu tổng hợp từ Bảng 2.7. Năm là năm cấp văn bằng hoặc năm nộp đơn đối với hồ sơ đang xử lý.</t>
  </si>
  <si>
    <t>Thương hiệu</t>
  </si>
  <si>
    <t>Hợp tác doanh nghiệp</t>
  </si>
  <si>
    <t>Nghiên cứu</t>
  </si>
  <si>
    <t>Lũy kế</t>
  </si>
  <si>
    <t>2026</t>
  </si>
  <si>
    <t>Hình 2.14. Sản phẩm đề tài cấp cơ sở đủ điều kiện xác lập quyền theo nhóm quyền có thể xác lập</t>
  </si>
  <si>
    <t>Nguồn: Nhóm nghiên cứu tổng hợp từ Bảng 2.8.</t>
  </si>
  <si>
    <t>Nhóm quyền có thể xác lập</t>
  </si>
  <si>
    <t>Số sản phẩm</t>
  </si>
  <si>
    <t>Giải pháp hữu ích hoặc sáng chế</t>
  </si>
  <si>
    <t>Sưu tập dữ liệu</t>
  </si>
  <si>
    <t>Kiểu dáng công nghiệp hoặc giải pháp hữu ích</t>
  </si>
  <si>
    <t>Hình 2.15. Chuỗi chuyển hóa từ đề tài cấp cơ sở sang đơn đăng ký sở hữu công nghiệp</t>
  </si>
  <si>
    <t>Nguồn: Nhóm nghiên cứu tính toán từ danh mục đề tài cấp cơ sở và Bảng 2.8.</t>
  </si>
  <si>
    <t>Bậc chuyển hóa</t>
  </si>
  <si>
    <t>Toàn giai đoạn 2021 - 2025</t>
  </si>
  <si>
    <t>Đề tài giao từ năm 2021 đến năm 2024</t>
  </si>
  <si>
    <t>Đề tài đã nghiệm thu</t>
  </si>
  <si>
    <t>Có sản phẩm đủ điều kiện xác lập quyền</t>
  </si>
  <si>
    <t>Đã nộp đơn đăng ký</t>
  </si>
  <si>
    <t>Hình 2.16.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</si>
  <si>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Chỉ tiêu bài báo trong nước gồm bài đăng tạp chí trong nước và tạp chí của Trường; tài sản trí tuệ tính số văn bằng được cấp; không gồm tham luận hội thảo quốc gia do danh mục không có năm.</t>
  </si>
  <si>
    <t>Chỉ tiêu</t>
  </si>
  <si>
    <t>Nhóm</t>
  </si>
  <si>
    <t>Kế hoạch 2024 - 2025</t>
  </si>
  <si>
    <t>Thực hiện 2024 - 2025</t>
  </si>
  <si>
    <t>Tỷ lệ thực hiện</t>
  </si>
  <si>
    <t>Bài báo tạp chí quốc tế</t>
  </si>
  <si>
    <t>Công bố</t>
  </si>
  <si>
    <t>Sách có chỉ số ISBN</t>
  </si>
  <si>
    <t>Tham luận hội thảo cấp trường</t>
  </si>
  <si>
    <t>Bài báo tạp chí trong nước, gồm tạp chí của Trường</t>
  </si>
  <si>
    <t>Đề tài cấp Bộ, Nhà nước</t>
  </si>
  <si>
    <t>Đề tài và học liệu</t>
  </si>
  <si>
    <t>Tham luận hội thảo quốc tế</t>
  </si>
  <si>
    <t>Giáo trình, tài liệu tham khảo</t>
  </si>
  <si>
    <t>Công nhận sáng chế, kiểu dáng, quyền tác giả</t>
  </si>
  <si>
    <t>Tài sản trí tuệ</t>
  </si>
  <si>
    <t>Chuyển giao công nghệ</t>
  </si>
  <si>
    <t>NHẬT KÝ CHUẨN HÓA SỐ LIỆU CHƯƠNG 2</t>
  </si>
  <si>
    <t>Nội dung</t>
  </si>
  <si>
    <t>Bản trước</t>
  </si>
  <si>
    <t>Giá trị chuẩn hóa</t>
  </si>
  <si>
    <t>Căn cứ đối chiếu</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</si>
  <si>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</si>
  <si>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</si>
  <si>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</si>
  <si>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</si>
  <si>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</si>
  <si>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</si>
  <si>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</si>
  <si>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</si>
  <si>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</si>
  <si>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</si>
  <si>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</si>
  <si>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</si>
  <si>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</si>
  <si>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</si>
  <si>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</si>
  <si>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</si>
  <si>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</si>
  <si>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</si>
  <si>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</si>
  <si>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</si>
  <si>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</si>
  <si>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</si>
  <si>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</si>
  <si>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</si>
  <si>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</si>
  <si>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</si>
  <si>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</si>
  <si>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</si>
  <si>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</si>
  <si>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</si>
  <si>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</si>
  <si>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</si>
  <si>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</si>
  <si>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</si>
  <si>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</si>
  <si>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</si>
  <si>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</si>
  <si>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</si>
  <si>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</si>
  <si>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</si>
  <si>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</si>
  <si>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</si>
  <si>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</si>
  <si>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</si>
  <si>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</si>
  <si>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</si>
  <si>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</si>
  <si>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</si>
  <si>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</si>
  <si>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</si>
  <si>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</si>
  <si>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</si>
  <si>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</si>
  <si>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</si>
  <si>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</si>
  <si>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</si>
  <si>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</si>
  <si>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</si>
  <si>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</si>
  <si>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</si>
  <si>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</si>
  <si>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</si>
  <si>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</si>
  <si>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</si>
  <si>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</si>
  <si>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</si>
  <si>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</si>
  <si>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</si>
  <si>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</si>
  <si>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Quy chế quản trị tài sản trí tuệ năm 2024</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</si>
  <si>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</si>
  <si>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</si>
  <si>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</si>
  <si>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</si>
  <si>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</si>
  <si>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</si>
  <si>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</si>
  <si>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</si>
  <si>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</si>
  <si>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</si>
  <si>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</si>
  <si>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</si>
  <si>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</si>
  <si>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</si>
  <si>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</si>
  <si>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</si>
  <si>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</si>
  <si>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</si>
  <si>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</si>
  <si>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</si>
  <si>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</si>
  <si>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</si>
  <si>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</si>
  <si>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</si>
  <si>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</si>
  <si>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</si>
  <si>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</si>
  <si>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</si>
  <si>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</si>
  <si>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</si>
  <si>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</si>
  <si>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</si>
  <si>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</si>
  <si>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</si>
  <si>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</si>
  <si>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</si>
  <si>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</si>
  <si>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</si>
  <si>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</si>
  <si>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</si>
  <si>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</si>
  <si>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</si>
  <si>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</si>
  <si>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</si>
  <si>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</si>
  <si>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</si>
  <si>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</si>
  <si>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</si>
  <si>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</si>
  <si>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Đạt</t>
  </si>
  <si>
    <t>Quy đổi giờ</t>
  </si>
  <si>
    <t>22-2021</t>
  </si>
  <si>
    <t>24-2021</t>
  </si>
  <si>
    <t>Tốt</t>
  </si>
  <si>
    <t>27-2021</t>
  </si>
  <si>
    <t>28-2021</t>
  </si>
  <si>
    <t>37-2021</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</si>
  <si>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</si>
  <si>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</si>
  <si>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</si>
  <si>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</si>
  <si>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</si>
  <si>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</si>
  <si>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</si>
  <si>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</si>
  <si>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</si>
  <si>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</si>
  <si>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</si>
  <si>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</si>
  <si>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Sản phẩm cầm máu ở dạng màng</t>
  </si>
  <si>
    <t>40-2022</t>
  </si>
  <si>
    <t>Bộ mẫu cây thuốc</t>
  </si>
  <si>
    <t>51-2022</t>
  </si>
  <si>
    <t>01-2023</t>
  </si>
  <si>
    <t>Khá</t>
  </si>
  <si>
    <t>02-2023</t>
  </si>
  <si>
    <t>03-2023</t>
  </si>
  <si>
    <t>04-2023</t>
  </si>
  <si>
    <t>05-2023</t>
  </si>
  <si>
    <t>07-2023</t>
  </si>
  <si>
    <t>08-2023</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</si>
  <si>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</si>
  <si>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</si>
  <si>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</si>
  <si>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</si>
  <si>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</si>
  <si>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</si>
  <si>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</si>
  <si>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</si>
  <si>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</si>
  <si>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</si>
  <si>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</si>
  <si>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</si>
  <si>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</si>
  <si>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</si>
  <si>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</si>
  <si>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</si>
  <si>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</si>
  <si>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</si>
  <si>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</si>
  <si>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</si>
  <si>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</si>
  <si>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</si>
  <si>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</si>
  <si>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</si>
  <si>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</si>
  <si>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</si>
  <si>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</si>
  <si>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</si>
  <si>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</si>
  <si>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</si>
  <si>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</si>
  <si>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</si>
  <si>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</si>
  <si>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</si>
  <si>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</si>
  <si>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</si>
  <si>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Bộ Logo Hệ sinh thái giáo dục</t>
  </si>
  <si>
    <t>Thanh do University</t>
  </si>
  <si>
    <t>Thado Edupark</t>
  </si>
  <si>
    <t>Double2n</t>
  </si>
  <si>
    <t>Đồng sở hữu với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</si>
  <si>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</si>
  <si>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</si>
  <si>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</si>
  <si>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</si>
  <si>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</si>
  <si>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</si>
  <si>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Phương pháp chiết tách hợp chất Isoembigenin từ cây Piper aduncum L</t>
  </si>
  <si>
    <t>KHẢ NĂNG TÍNH TOÁN BỘ TIÊU CHÍ TẠI MỤC 1.4.2</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</si>
  <si>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</si>
  <si>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</si>
  <si>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</si>
  <si>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</si>
  <si>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</si>
  <si>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</si>
  <si>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</si>
  <si>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</si>
  <si>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</si>
  <si>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</si>
  <si>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</si>
  <si>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</si>
  <si>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</si>
  <si>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</si>
  <si>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Quyết định 213 và phân công tại Điều 11 Quy chế 2024, chưa có biểu mẫu khai báo</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</si>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</sst>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5">
    <numFmt numFmtId="164" formatCode="0.0%"/>
    <numFmt numFmtId="165" formatCode="0.0"/>
    <numFmt numFmtId="166" formatCode="0.00"/>
    <numFmt numFmtId="167" formatCode="#,##0"/>
    <numFmt numFmtId="168"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3">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xf numFmtId="166" fontId="2" fillId="0" borderId="2" xfId="0" applyNumberFormat="1" applyFont="1" applyBorder="1" applyAlignment="1">
      <alignment vertical="center"/>
    </xf>
    <xf numFmtId="167" fontId="2" fillId="0" borderId="2" xfId="0" applyNumberFormat="1" applyFont="1" applyBorder="1" applyAlignment="1">
      <alignment vertical="center"/>
    </xf>
    <xf numFmtId="168"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theme" Target="theme/theme1.xml"/><Relationship Id="rId23" Type="http://schemas.openxmlformats.org/officeDocument/2006/relationships/styles" Target="styles.xml"/><Relationship Id="rId2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 Cơ cấu nhân lực theo đơn vị, trình độ và tỷ lệ tiến sĩ, năm 2026</a:t>
            </a:r>
          </a:p>
        </c:rich>
      </c:tx>
      <c:layout/>
    </c:title>
    <c:plotArea>
      <c:layout/>
      <c:barChart>
        <c:barDir val="col"/>
        <c:grouping val="stacked"/>
        <c:ser>
          <c:idx val="0"/>
          <c:order val="0"/>
          <c:tx>
            <c:strRef>
              <c:f>'H2.1'!$B$4</c:f>
              <c:strCache>
                <c:ptCount val="1"/>
                <c:pt idx="0">
                  <c:v>Tiến sĩ và tương đương</c:v>
                </c:pt>
              </c:strCache>
            </c:strRef>
          </c:tx>
          <c:spPr>
            <a:solidFill>
              <a:srgbClr val="0B3D82"/>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'H2.1'!$B$5:$B$12</c:f>
              <c:numCache>
                <c:formatCode>General</c:formatCode>
                <c:ptCount val="8"/>
                <c:pt idx="0">
                  <c:v>42</c:v>
                </c:pt>
                <c:pt idx="1">
                  <c:v>29</c:v>
                </c:pt>
                <c:pt idx="2">
                  <c:v>10</c:v>
                </c:pt>
                <c:pt idx="3">
                  <c:v>0</c:v>
                </c:pt>
                <c:pt idx="4">
                  <c:v>0</c:v>
                </c:pt>
                <c:pt idx="5">
                  <c:v>6</c:v>
                </c:pt>
                <c:pt idx="6">
                  <c:v>1</c:v>
                </c:pt>
                <c:pt idx="7">
                  <c:v>6</c:v>
                </c:pt>
              </c:numCache>
            </c:numRef>
          </c:val>
        </c:ser>
        <c:ser>
          <c:idx val="1"/>
          <c:order val="1"/>
          <c:tx>
            <c:strRef>
              <c:f>'H2.1'!$C$4</c:f>
              <c:strCache>
                <c:ptCount val="1"/>
                <c:pt idx="0">
                  <c:v>Thạc sĩ và tương đương</c:v>
                </c:pt>
              </c:strCache>
            </c:strRef>
          </c:tx>
          <c:spPr>
            <a:solidFill>
              <a:srgbClr val="2A78D6"/>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'H2.1'!$C$5:$C$12</c:f>
              <c:numCache>
                <c:formatCode>General</c:formatCode>
                <c:ptCount val="8"/>
                <c:pt idx="0">
                  <c:v>26</c:v>
                </c:pt>
                <c:pt idx="1">
                  <c:v>17</c:v>
                </c:pt>
                <c:pt idx="2">
                  <c:v>18</c:v>
                </c:pt>
                <c:pt idx="3">
                  <c:v>2</c:v>
                </c:pt>
                <c:pt idx="4">
                  <c:v>4</c:v>
                </c:pt>
                <c:pt idx="5">
                  <c:v>4</c:v>
                </c:pt>
                <c:pt idx="6">
                  <c:v>1</c:v>
                </c:pt>
                <c:pt idx="7">
                  <c:v>22</c:v>
                </c:pt>
              </c:numCache>
            </c:numRef>
          </c:val>
        </c:ser>
        <c:ser>
          <c:idx val="2"/>
          <c:order val="2"/>
          <c:tx>
            <c:strRef>
              <c:f>'H2.1'!$D$4</c:f>
              <c:strCache>
                <c:ptCount val="1"/>
                <c:pt idx="0">
                  <c:v>Đại học</c:v>
                </c:pt>
              </c:strCache>
            </c:strRef>
          </c:tx>
          <c:spPr>
            <a:solidFill>
              <a:srgbClr val="6FA8E8"/>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'H2.1'!$D$5:$D$12</c:f>
              <c:numCache>
                <c:formatCode>General</c:formatCode>
                <c:ptCount val="8"/>
                <c:pt idx="0">
                  <c:v>2</c:v>
                </c:pt>
                <c:pt idx="1">
                  <c:v>1</c:v>
                </c:pt>
                <c:pt idx="2">
                  <c:v>1</c:v>
                </c:pt>
                <c:pt idx="3">
                  <c:v>10</c:v>
                </c:pt>
                <c:pt idx="4">
                  <c:v>5</c:v>
                </c:pt>
                <c:pt idx="5">
                  <c:v>1</c:v>
                </c:pt>
                <c:pt idx="6">
                  <c:v>4</c:v>
                </c:pt>
                <c:pt idx="7">
                  <c:v>15</c:v>
                </c:pt>
              </c:numCache>
            </c:numRef>
          </c:val>
        </c:ser>
        <c:ser>
          <c:idx val="3"/>
          <c:order val="3"/>
          <c:tx>
            <c:strRef>
              <c:f>'H2.1'!$E$4</c:f>
              <c:strCache>
                <c:ptCount val="1"/>
                <c:pt idx="0">
                  <c:v>Khác</c:v>
                </c:pt>
              </c:strCache>
            </c:strRef>
          </c:tx>
          <c:spPr>
            <a:solidFill>
              <a:srgbClr val="A8A7A1"/>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'H2.1'!$E$5:$E$12</c:f>
              <c:numCache>
                <c:formatCode>General</c:formatCode>
                <c:ptCount val="8"/>
                <c:pt idx="0">
                  <c:v>0</c:v>
                </c:pt>
                <c:pt idx="1">
                  <c:v>0</c:v>
                </c:pt>
                <c:pt idx="2">
                  <c:v>0</c:v>
                </c:pt>
                <c:pt idx="3">
                  <c:v>3</c:v>
                </c:pt>
                <c:pt idx="4">
                  <c:v>5</c:v>
                </c:pt>
                <c:pt idx="5">
                  <c:v>1</c:v>
                </c:pt>
                <c:pt idx="6">
                  <c:v>0</c:v>
                </c:pt>
                <c:pt idx="7">
                  <c:v>16</c:v>
                </c:pt>
              </c:numCache>
            </c:numRef>
          </c:val>
        </c:ser>
        <c:gapWidth val="55"/>
        <c:overlap val="100"/>
        <c:axId val="50010001"/>
        <c:axId val="50010002"/>
      </c:barChart>
      <c:lineChart>
        <c:grouping val="standard"/>
        <c:ser>
          <c:idx val="4"/>
          <c:order val="4"/>
          <c:tx>
            <c:strRef>
              <c:f>'H2.1'!$F$4</c:f>
              <c:strCache>
                <c:ptCount val="1"/>
                <c:pt idx="0">
                  <c:v>Tỷ lệ tiến sĩ</c:v>
                </c:pt>
              </c:strCache>
            </c:strRef>
          </c:tx>
          <c:spPr>
            <a:ln>
              <a:noFill/>
            </a:ln>
          </c:spPr>
          <c:marker>
            <c:symbol val="circle"/>
            <c:size val="8"/>
            <c:spPr>
              <a:solidFill>
                <a:srgbClr val="EB6834"/>
              </a:solidFill>
              <a:ln w="12700">
                <a:solidFill>
                  <a:srgbClr val="FFFFFF"/>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'H2.1'!$F$5:$F$12</c:f>
              <c:numCache>
                <c:formatCode>General</c:formatCode>
                <c:ptCount val="8"/>
                <c:pt idx="0">
                  <c:v>0.6</c:v>
                </c:pt>
                <c:pt idx="1">
                  <c:v>0.6170212765957447</c:v>
                </c:pt>
                <c:pt idx="2">
                  <c:v>0.3448275862068966</c:v>
                </c:pt>
                <c:pt idx="3">
                  <c:v>0</c:v>
                </c:pt>
                <c:pt idx="4">
                  <c:v>0</c:v>
                </c:pt>
                <c:pt idx="5">
                  <c:v>0.5</c:v>
                </c:pt>
                <c:pt idx="6">
                  <c:v>0.1666666666666667</c:v>
                </c:pt>
                <c:pt idx="7">
                  <c:v>0.1016949152542373</c:v>
                </c:pt>
              </c:numCache>
            </c:numRef>
          </c:val>
          <c:smooth val="0"/>
        </c:ser>
        <c:marker val="1"/>
        <c:axId val="60010001"/>
        <c:axId val="60010002"/>
      </c:lineChart>
      <c:catAx>
        <c:axId val="5001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catAx>
      <c:valAx>
        <c:axId val="50010002"/>
        <c:scaling>
          <c:orientation val="minMax"/>
          <c:max val="12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người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majorUnit val="20"/>
      </c:valAx>
      <c:valAx>
        <c:axId val="60010002"/>
        <c:scaling>
          <c:orientation val="minMax"/>
          <c:max val="1"/>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Tỷ lệ tiến sĩ và tương đương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2.2. Cơ cấu và diễn biến sản phẩm khoa học theo năm, giai đoạn 2021 - 2025</a:t>
            </a:r>
          </a:p>
        </c:rich>
      </c:tx>
      <c:layout/>
    </c:title>
    <c:plotArea>
      <c:layout/>
      <c:barChart>
        <c:barDir val="col"/>
        <c:grouping val="stacked"/>
        <c:ser>
          <c:idx val="0"/>
          <c:order val="0"/>
          <c:tx>
            <c:strRef>
              <c:f>'H2.2'!$B$4</c:f>
              <c:strCache>
                <c:ptCount val="1"/>
                <c:pt idx="0">
                  <c:v>Bài báo trong nước</c:v>
                </c:pt>
              </c:strCache>
            </c:strRef>
          </c:tx>
          <c:spPr>
            <a:solidFill>
              <a:srgbClr val="2A78D6"/>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'H2.2'!$B$5:$B$9</c:f>
              <c:numCache>
                <c:formatCode>General</c:formatCode>
                <c:ptCount val="5"/>
                <c:pt idx="0">
                  <c:v>17</c:v>
                </c:pt>
                <c:pt idx="1">
                  <c:v>42</c:v>
                </c:pt>
                <c:pt idx="2">
                  <c:v>50</c:v>
                </c:pt>
                <c:pt idx="3">
                  <c:v>72</c:v>
                </c:pt>
                <c:pt idx="4">
                  <c:v>109</c:v>
                </c:pt>
              </c:numCache>
            </c:numRef>
          </c:val>
        </c:ser>
        <c:ser>
          <c:idx val="1"/>
          <c:order val="1"/>
          <c:tx>
            <c:strRef>
              <c:f>'H2.2'!$C$4</c:f>
              <c:strCache>
                <c:ptCount val="1"/>
                <c:pt idx="0">
                  <c:v>Bài báo quốc tế</c:v>
                </c:pt>
              </c:strCache>
            </c:strRef>
          </c:tx>
          <c:spPr>
            <a:solidFill>
              <a:srgbClr val="EB6834"/>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'H2.2'!$C$5:$C$9</c:f>
              <c:numCache>
                <c:formatCode>General</c:formatCode>
                <c:ptCount val="5"/>
                <c:pt idx="0">
                  <c:v>6</c:v>
                </c:pt>
                <c:pt idx="1">
                  <c:v>13</c:v>
                </c:pt>
                <c:pt idx="2">
                  <c:v>11</c:v>
                </c:pt>
                <c:pt idx="3">
                  <c:v>33</c:v>
                </c:pt>
                <c:pt idx="4">
                  <c:v>52</c:v>
                </c:pt>
              </c:numCache>
            </c:numRef>
          </c:val>
        </c:ser>
        <c:ser>
          <c:idx val="2"/>
          <c:order val="2"/>
          <c:tx>
            <c:strRef>
              <c:f>'H2.2'!$D$4</c:f>
              <c:strCache>
                <c:ptCount val="1"/>
                <c:pt idx="0">
                  <c:v>Giáo trình, tài liệu</c:v>
                </c:pt>
              </c:strCache>
            </c:strRef>
          </c:tx>
          <c:spPr>
            <a:solidFill>
              <a:srgbClr val="1BAF7A"/>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'H2.2'!$D$5:$D$9</c:f>
              <c:numCache>
                <c:formatCode>General</c:formatCode>
                <c:ptCount val="5"/>
                <c:pt idx="0">
                  <c:v>26</c:v>
                </c:pt>
                <c:pt idx="1">
                  <c:v>31</c:v>
                </c:pt>
                <c:pt idx="2">
                  <c:v>12</c:v>
                </c:pt>
                <c:pt idx="3">
                  <c:v>7</c:v>
                </c:pt>
                <c:pt idx="4">
                  <c:v>11</c:v>
                </c:pt>
              </c:numCache>
            </c:numRef>
          </c:val>
        </c:ser>
        <c:ser>
          <c:idx val="3"/>
          <c:order val="3"/>
          <c:tx>
            <c:strRef>
              <c:f>'H2.2'!$E$4</c:f>
              <c:strCache>
                <c:ptCount val="1"/>
                <c:pt idx="0">
                  <c:v>Đề tài cấp cơ sở</c:v>
                </c:pt>
              </c:strCache>
            </c:strRef>
          </c:tx>
          <c:spPr>
            <a:solidFill>
              <a:srgbClr val="EDA100"/>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'H2.2'!$E$5:$E$9</c:f>
              <c:numCache>
                <c:formatCode>General</c:formatCode>
                <c:ptCount val="5"/>
                <c:pt idx="0">
                  <c:v>6</c:v>
                </c:pt>
                <c:pt idx="1">
                  <c:v>10</c:v>
                </c:pt>
                <c:pt idx="2">
                  <c:v>7</c:v>
                </c:pt>
                <c:pt idx="3">
                  <c:v>8</c:v>
                </c:pt>
                <c:pt idx="4">
                  <c:v>7</c:v>
                </c:pt>
              </c:numCache>
            </c:numRef>
          </c:val>
        </c:ser>
        <c:ser>
          <c:idx val="4"/>
          <c:order val="4"/>
          <c:tx>
            <c:strRef>
              <c:f>'H2.2'!$F$4</c:f>
              <c:strCache>
                <c:ptCount val="1"/>
                <c:pt idx="0">
                  <c:v>Sách</c:v>
                </c:pt>
              </c:strCache>
            </c:strRef>
          </c:tx>
          <c:spPr>
            <a:solidFill>
              <a:srgbClr val="E87BA4"/>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'H2.2'!$F$5:$F$9</c:f>
              <c:numCache>
                <c:formatCode>General</c:formatCode>
                <c:ptCount val="5"/>
                <c:pt idx="0">
                  <c:v>0</c:v>
                </c:pt>
                <c:pt idx="1">
                  <c:v>2</c:v>
                </c:pt>
                <c:pt idx="2">
                  <c:v>2</c:v>
                </c:pt>
                <c:pt idx="3">
                  <c:v>2</c:v>
                </c:pt>
                <c:pt idx="4">
                  <c:v>6</c:v>
                </c:pt>
              </c:numCache>
            </c:numRef>
          </c:val>
        </c:ser>
        <c:ser>
          <c:idx val="5"/>
          <c:order val="5"/>
          <c:tx>
            <c:strRef>
              <c:f>'H2.2'!$G$4</c:f>
              <c:strCache>
                <c:ptCount val="1"/>
                <c:pt idx="0">
                  <c:v>Tham luận quốc tế</c:v>
                </c:pt>
              </c:strCache>
            </c:strRef>
          </c:tx>
          <c:spPr>
            <a:solidFill>
              <a:srgbClr val="008300"/>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'H2.2'!$G$5:$G$9</c:f>
              <c:numCache>
                <c:formatCode>General</c:formatCode>
                <c:ptCount val="5"/>
                <c:pt idx="0">
                  <c:v>1</c:v>
                </c:pt>
                <c:pt idx="1">
                  <c:v>2</c:v>
                </c:pt>
                <c:pt idx="2">
                  <c:v>3</c:v>
                </c:pt>
                <c:pt idx="3">
                  <c:v>5</c:v>
                </c:pt>
                <c:pt idx="4">
                  <c:v>5</c:v>
                </c:pt>
              </c:numCache>
            </c:numRef>
          </c:val>
        </c:ser>
        <c:ser>
          <c:idx val="6"/>
          <c:order val="6"/>
          <c:tx>
            <c:strRef>
              <c:f>'H2.2'!$H$4</c:f>
              <c:strCache>
                <c:ptCount val="1"/>
                <c:pt idx="0">
                  <c:v>Đề tài cấp quốc gia</c:v>
                </c:pt>
              </c:strCache>
            </c:strRef>
          </c:tx>
          <c:spPr>
            <a:solidFill>
              <a:srgbClr val="4A3AA7"/>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'H2.2'!$H$5:$H$9</c:f>
              <c:numCache>
                <c:formatCode>General</c:formatCode>
                <c:ptCount val="5"/>
                <c:pt idx="0">
                  <c:v>0</c:v>
                </c:pt>
                <c:pt idx="1">
                  <c:v>0</c:v>
                </c:pt>
                <c:pt idx="2">
                  <c:v>0</c:v>
                </c:pt>
                <c:pt idx="3">
                  <c:v>1</c:v>
                </c:pt>
                <c:pt idx="4">
                  <c:v>2</c:v>
                </c:pt>
              </c:numCache>
            </c:numRef>
          </c:val>
        </c:ser>
        <c:gapWidth val="45"/>
        <c:overlap val="100"/>
        <c:axId val="50020001"/>
        <c:axId val="50020002"/>
      </c:barChart>
      <c:lineChart>
        <c:grouping val="standard"/>
        <c:ser>
          <c:idx val="7"/>
          <c:order val="7"/>
          <c:tx>
            <c:strRef>
              <c:f>'H2.2'!$I$4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'H2.2'!$A$5:$A$9</c:f>
              <c:numCache>
                <c:formatCode>General</c:formatCode>
                <c:ptCount val="5"/>
                <c:pt idx="0">
                  <c:v>2021</c:v>
                </c:pt>
                <c:pt idx="1">
                  <c:v>2022</c:v>
                </c:pt>
                <c:pt idx="2">
                  <c:v>2023</c:v>
                </c:pt>
                <c:pt idx="3">
                  <c:v>2024</c:v>
                </c:pt>
                <c:pt idx="4">
                  <c:v>2025</c:v>
                </c:pt>
              </c:numCache>
            </c:numRef>
          </c:cat>
          <c:val>
            <c:numRef>
              <c:f>'H2.2'!$I$5:$I$9</c:f>
              <c:numCache>
                <c:formatCode>General</c:formatCode>
                <c:ptCount val="5"/>
                <c:pt idx="0">
                  <c:v>56</c:v>
                </c:pt>
                <c:pt idx="1">
                  <c:v>100</c:v>
                </c:pt>
                <c:pt idx="2">
                  <c:v>85</c:v>
                </c:pt>
                <c:pt idx="3">
                  <c:v>128</c:v>
                </c:pt>
                <c:pt idx="4">
                  <c:v>192</c:v>
                </c:pt>
              </c:numCache>
            </c:numRef>
          </c:val>
          <c:smooth val="0"/>
        </c:ser>
        <c:marker val="1"/>
        <c:axId val="50020001"/>
        <c:axId val="50020002"/>
      </c:lineChart>
      <c:catAx>
        <c:axId val="5002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catAx>
      <c:valAx>
        <c:axId val="5002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2.3. Tương quan giữa bài báo khoa học và giáo trình, tài liệu giảng dạy, giai đoạn 2021 - 2025</a:t>
            </a:r>
          </a:p>
        </c:rich>
      </c:tx>
      <c:layout/>
    </c:title>
    <c:plotArea>
      <c:layout/>
      <c:barChart>
        <c:barDir val="col"/>
        <c:grouping val="clustered"/>
        <c:ser>
          <c:idx val="0"/>
          <c:order val="0"/>
          <c:tx>
            <c:strRef>
              <c:f>'H2.3'!$B$4</c:f>
              <c:strCache>
                <c:ptCount val="1"/>
                <c:pt idx="0">
                  <c:v>Bài báo khoa học</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'H2.3'!$B$5:$B$9</c:f>
              <c:numCache>
                <c:formatCode>General</c:formatCode>
                <c:ptCount val="5"/>
                <c:pt idx="0">
                  <c:v>23</c:v>
                </c:pt>
                <c:pt idx="1">
                  <c:v>55</c:v>
                </c:pt>
                <c:pt idx="2">
                  <c:v>61</c:v>
                </c:pt>
                <c:pt idx="3">
                  <c:v>105</c:v>
                </c:pt>
                <c:pt idx="4">
                  <c:v>161</c:v>
                </c:pt>
              </c:numCache>
            </c:numRef>
          </c:val>
        </c:ser>
        <c:ser>
          <c:idx val="1"/>
          <c:order val="1"/>
          <c:tx>
            <c:strRef>
              <c:f>'H2.3'!$C$4</c:f>
              <c:strCache>
                <c:ptCount val="1"/>
                <c:pt idx="0">
                  <c:v>Giáo trình, tài liệu giảng dạy</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'H2.3'!$C$5:$C$9</c:f>
              <c:numCache>
                <c:formatCode>General</c:formatCode>
                <c:ptCount val="5"/>
                <c:pt idx="0">
                  <c:v>26</c:v>
                </c:pt>
                <c:pt idx="1">
                  <c:v>31</c:v>
                </c:pt>
                <c:pt idx="2">
                  <c:v>12</c:v>
                </c:pt>
                <c:pt idx="3">
                  <c:v>7</c:v>
                </c:pt>
                <c:pt idx="4">
                  <c:v>11</c:v>
                </c:pt>
              </c:numCache>
            </c:numRef>
          </c:val>
        </c:ser>
        <c:gapWidth val="80"/>
        <c:axId val="50030001"/>
        <c:axId val="50030002"/>
      </c:barChart>
      <c:lineChart>
        <c:grouping val="standard"/>
        <c:ser>
          <c:idx val="2"/>
          <c:order val="2"/>
          <c:tx>
            <c:strRef>
              <c:f>'H2.3'!$D$4</c:f>
              <c:strCache>
                <c:ptCount val="1"/>
                <c:pt idx="0">
                  <c:v>Số bài báo trên một giáo trình</c:v>
                </c:pt>
              </c:strCache>
            </c:strRef>
          </c:tx>
          <c:spPr>
            <a:ln w="25400">
              <a:solidFill>
                <a:srgbClr val="EB6834"/>
              </a:solidFill>
            </a:ln>
          </c:spPr>
          <c:marker>
            <c:symbol val="circle"/>
            <c:size val="6"/>
            <c:spPr>
              <a:solidFill>
                <a:srgbClr val="EB6834"/>
              </a:solidFill>
              <a:ln>
                <a:solidFill>
                  <a:srgbClr val="EB6834"/>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'H2.3'!$D$5:$D$9</c:f>
              <c:numCache>
                <c:formatCode>General</c:formatCode>
                <c:ptCount val="5"/>
                <c:pt idx="0">
                  <c:v>0.8846153846153846</c:v>
                </c:pt>
                <c:pt idx="1">
                  <c:v>1.774193548387097</c:v>
                </c:pt>
                <c:pt idx="2">
                  <c:v>5.083333333333333</c:v>
                </c:pt>
                <c:pt idx="3">
                  <c:v>15</c:v>
                </c:pt>
                <c:pt idx="4">
                  <c:v>14.63636363636364</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Số bài báo trên một giáo trình (lần)</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2.4. Bài báo quốc tế theo phân hạng tạp chí và tỷ trọng nhóm Q1 - Q2, giai đoạn 2021 - 2025</a:t>
            </a:r>
          </a:p>
        </c:rich>
      </c:tx>
      <c:layout/>
    </c:title>
    <c:plotArea>
      <c:layout/>
      <c:barChart>
        <c:barDir val="col"/>
        <c:grouping val="stacked"/>
        <c:ser>
          <c:idx val="0"/>
          <c:order val="0"/>
          <c:tx>
            <c:strRef>
              <c:f>'H2.4'!$B$4</c:f>
              <c:strCache>
                <c:ptCount val="1"/>
                <c:pt idx="0">
                  <c:v>Q1</c:v>
                </c:pt>
              </c:strCache>
            </c:strRef>
          </c:tx>
          <c:spPr>
            <a:solidFill>
              <a:srgbClr val="0B3D82"/>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1</c:v>
                </c:pt>
                <c:pt idx="2">
                  <c:v>1</c:v>
                </c:pt>
                <c:pt idx="3">
                  <c:v>9</c:v>
                </c:pt>
                <c:pt idx="4">
                  <c:v>8</c:v>
                </c:pt>
              </c:numCache>
            </c:numRef>
          </c:val>
        </c:ser>
        <c:ser>
          <c:idx val="1"/>
          <c:order val="1"/>
          <c:tx>
            <c:strRef>
              <c:f>'H2.4'!$C$4</c:f>
              <c:strCache>
                <c:ptCount val="1"/>
                <c:pt idx="0">
                  <c:v>Q2</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0</c:v>
                </c:pt>
                <c:pt idx="1">
                  <c:v>1</c:v>
                </c:pt>
                <c:pt idx="2">
                  <c:v>0</c:v>
                </c:pt>
                <c:pt idx="3">
                  <c:v>9</c:v>
                </c:pt>
                <c:pt idx="4">
                  <c:v>16</c:v>
                </c:pt>
              </c:numCache>
            </c:numRef>
          </c:val>
        </c:ser>
        <c:ser>
          <c:idx val="2"/>
          <c:order val="2"/>
          <c:tx>
            <c:strRef>
              <c:f>'H2.4'!$D$4</c:f>
              <c:strCache>
                <c:ptCount val="1"/>
                <c:pt idx="0">
                  <c:v>Q3</c:v>
                </c:pt>
              </c:strCache>
            </c:strRef>
          </c:tx>
          <c:spPr>
            <a:solidFill>
              <a:srgbClr val="6FA8E8"/>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10</c:v>
                </c:pt>
                <c:pt idx="4">
                  <c:v>12</c:v>
                </c:pt>
              </c:numCache>
            </c:numRef>
          </c:val>
        </c:ser>
        <c:ser>
          <c:idx val="3"/>
          <c:order val="3"/>
          <c:tx>
            <c:strRef>
              <c:f>'H2.4'!$E$4</c:f>
              <c:strCache>
                <c:ptCount val="1"/>
                <c:pt idx="0">
                  <c:v>Q4</c:v>
                </c:pt>
              </c:strCache>
            </c:strRef>
          </c:tx>
          <c:spPr>
            <a:solidFill>
              <a:srgbClr val="B5D2F4"/>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0</c:v>
                </c:pt>
                <c:pt idx="2">
                  <c:v>0</c:v>
                </c:pt>
                <c:pt idx="3">
                  <c:v>0</c:v>
                </c:pt>
                <c:pt idx="4">
                  <c:v>4</c:v>
                </c:pt>
              </c:numCache>
            </c:numRef>
          </c:val>
        </c:ser>
        <c:ser>
          <c:idx val="4"/>
          <c:order val="4"/>
          <c:tx>
            <c:strRef>
              <c:f>'H2.4'!$F$4</c:f>
              <c:strCache>
                <c:ptCount val="1"/>
                <c:pt idx="0">
                  <c:v>Chưa xếp hạng, quốc tế khác</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'H2.4'!$F$5:$F$9</c:f>
              <c:numCache>
                <c:formatCode>General</c:formatCode>
                <c:ptCount val="5"/>
                <c:pt idx="0">
                  <c:v>6</c:v>
                </c:pt>
                <c:pt idx="1">
                  <c:v>11</c:v>
                </c:pt>
                <c:pt idx="2">
                  <c:v>10</c:v>
                </c:pt>
                <c:pt idx="3">
                  <c:v>5</c:v>
                </c:pt>
                <c:pt idx="4">
                  <c:v>12</c:v>
                </c:pt>
              </c:numCache>
            </c:numRef>
          </c:val>
        </c:ser>
        <c:gapWidth val="55"/>
        <c:overlap val="100"/>
        <c:axId val="50040001"/>
        <c:axId val="50040002"/>
      </c:barChart>
      <c:lineChart>
        <c:grouping val="standard"/>
        <c:ser>
          <c:idx val="5"/>
          <c:order val="5"/>
          <c:tx>
            <c:strRef>
              <c:f>'H2.4'!$G$4</c:f>
              <c:strCache>
                <c:ptCount val="1"/>
                <c:pt idx="0">
                  <c:v>Tỷ trọng Q1 - Q2</c:v>
                </c:pt>
              </c:strCache>
            </c:strRef>
          </c:tx>
          <c:spPr>
            <a:ln w="25400">
              <a:solidFill>
                <a:srgbClr val="EB6834"/>
              </a:solidFill>
            </a:ln>
          </c:spPr>
          <c:marker>
            <c:symbol val="circle"/>
            <c:size val="6"/>
            <c:spPr>
              <a:solidFill>
                <a:srgbClr val="EB6834"/>
              </a:solidFill>
              <a:ln>
                <a:solidFill>
                  <a:srgbClr val="EB6834"/>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'H2.4'!$G$5:$G$9</c:f>
              <c:numCache>
                <c:formatCode>General</c:formatCode>
                <c:ptCount val="5"/>
                <c:pt idx="0">
                  <c:v>0</c:v>
                </c:pt>
                <c:pt idx="1">
                  <c:v>0.1538461538461539</c:v>
                </c:pt>
                <c:pt idx="2">
                  <c:v>0.09090909090909091</c:v>
                </c:pt>
                <c:pt idx="3">
                  <c:v>0.5454545454545454</c:v>
                </c:pt>
                <c:pt idx="4">
                  <c:v>0.4615384615384616</c:v>
                </c:pt>
              </c:numCache>
            </c:numRef>
          </c:val>
          <c:smooth val="0"/>
        </c:ser>
        <c:marker val="1"/>
        <c:axId val="60040001"/>
        <c:axId val="60040002"/>
      </c:lineChart>
      <c:catAx>
        <c:axId val="5004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catAx>
      <c:valAx>
        <c:axId val="5004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bài báo</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1"/>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Tỷ trọng Q1 - Q2</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numFmt formatCode="General" sourceLinked="1"/>
        <c:tickLblPos val="none"/>
        <c:crossAx val="6004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2.5. Quy mô nhân lực và số bài báo bình quân một nhân sự theo đơn vị, giai đoạn 2021 - 2025</a:t>
            </a:r>
          </a:p>
        </c:rich>
      </c:tx>
      <c:layout/>
    </c:title>
    <c:plotArea>
      <c:layout/>
      <c:barChart>
        <c:barDir val="col"/>
        <c:grouping val="clustered"/>
        <c:ser>
          <c:idx val="0"/>
          <c:order val="0"/>
          <c:tx>
            <c:strRef>
              <c:f>'H2.5'!$B$4</c:f>
              <c:strCache>
                <c:ptCount val="1"/>
                <c:pt idx="0">
                  <c:v>Nhân lực</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'H2.5'!$A$5:$A$9</c:f>
              <c:strCache>
                <c:ptCount val="5"/>
                <c:pt idx="0">
                  <c:v>Viện NN - VH - QT</c:v>
                </c:pt>
                <c:pt idx="1">
                  <c:v>Viện QT và CN</c:v>
                </c:pt>
                <c:pt idx="2">
                  <c:v>Viện Y - Dược</c:v>
                </c:pt>
                <c:pt idx="3">
                  <c:v>Viện NCGD và CGTT</c:v>
                </c:pt>
                <c:pt idx="4">
                  <c:v>Ban GDCB</c:v>
                </c:pt>
              </c:strCache>
            </c:strRef>
          </c:cat>
          <c:val>
            <c:numRef>
              <c:f>'H2.5'!$B$5:$B$9</c:f>
              <c:numCache>
                <c:formatCode>General</c:formatCode>
                <c:ptCount val="5"/>
                <c:pt idx="0">
                  <c:v>29</c:v>
                </c:pt>
                <c:pt idx="1">
                  <c:v>47</c:v>
                </c:pt>
                <c:pt idx="2">
                  <c:v>70</c:v>
                </c:pt>
                <c:pt idx="3">
                  <c:v>6</c:v>
                </c:pt>
                <c:pt idx="4">
                  <c:v>12</c:v>
                </c:pt>
              </c:numCache>
            </c:numRef>
          </c:val>
        </c:ser>
        <c:gapWidth val="90"/>
        <c:axId val="50050001"/>
        <c:axId val="50050002"/>
      </c:barChart>
      <c:lineChart>
        <c:grouping val="standard"/>
        <c:ser>
          <c:idx val="1"/>
          <c:order val="1"/>
          <c:tx>
            <c:strRef>
              <c:f>'H2.5'!$C$4</c:f>
              <c:strCache>
                <c:ptCount val="1"/>
                <c:pt idx="0">
                  <c:v>Bài báo trên một nhân sự</c:v>
                </c:pt>
              </c:strCache>
            </c:strRef>
          </c:tx>
          <c:spPr>
            <a:ln>
              <a:noFill/>
            </a:ln>
          </c:spPr>
          <c:marker>
            <c:symbol val="circle"/>
            <c:size val="8"/>
            <c:spPr>
              <a:solidFill>
                <a:srgbClr val="EB6834"/>
              </a:solidFill>
              <a:ln w="12700">
                <a:solidFill>
                  <a:srgbClr val="FFFFFF"/>
                </a:solidFill>
              </a:ln>
            </c:spPr>
          </c:marker>
          <c:dLbls>
            <c:numFmt formatCode="0.0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'H2.5'!$A$5:$A$9</c:f>
              <c:strCache>
                <c:ptCount val="5"/>
                <c:pt idx="0">
                  <c:v>Viện NN - VH - QT</c:v>
                </c:pt>
                <c:pt idx="1">
                  <c:v>Viện QT và CN</c:v>
                </c:pt>
                <c:pt idx="2">
                  <c:v>Viện Y - Dược</c:v>
                </c:pt>
                <c:pt idx="3">
                  <c:v>Viện NCGD và CGTT</c:v>
                </c:pt>
                <c:pt idx="4">
                  <c:v>Ban GDCB</c:v>
                </c:pt>
              </c:strCache>
            </c:strRef>
          </c:cat>
          <c:val>
            <c:numRef>
              <c:f>'H2.5'!$C$5:$C$9</c:f>
              <c:numCache>
                <c:formatCode>General</c:formatCode>
                <c:ptCount val="5"/>
                <c:pt idx="0">
                  <c:v>0.9310344827586207</c:v>
                </c:pt>
                <c:pt idx="1">
                  <c:v>1.212765957446809</c:v>
                </c:pt>
                <c:pt idx="2">
                  <c:v>0.7857142857142857</c:v>
                </c:pt>
                <c:pt idx="3">
                  <c:v>2.833333333333333</c:v>
                </c:pt>
                <c:pt idx="4">
                  <c:v>2.833333333333333</c:v>
                </c:pt>
              </c:numCache>
            </c:numRef>
          </c:val>
          <c:smooth val="0"/>
        </c:ser>
        <c:marker val="1"/>
        <c:axId val="60050001"/>
        <c:axId val="60050002"/>
      </c:lineChart>
      <c:catAx>
        <c:axId val="5005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catAx>
      <c:valAx>
        <c:axId val="5005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nhân sự</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autoZero"/>
        <c:crossBetween val="between"/>
      </c:valAx>
      <c:valAx>
        <c:axId val="6005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Số bài báo trên một nhân sự</a:t>
                </a:r>
              </a:p>
            </c:rich>
          </c:tx>
          <c:layout/>
        </c:title>
        <c:numFmt formatCode="0.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50001"/>
        <c:crosses val="max"/>
        <c:crossBetween val="between"/>
      </c:valAx>
      <c:catAx>
        <c:axId val="60050001"/>
        <c:scaling>
          <c:orientation val="minMax"/>
        </c:scaling>
        <c:delete val="1"/>
        <c:axPos val="b"/>
        <c:tickLblPos val="none"/>
        <c:crossAx val="6005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2.6. Cơ cấu nhân sự theo tình trạng có công bố bài báo, giai đoạn 2021 - 2025</a:t>
            </a:r>
          </a:p>
        </c:rich>
      </c:tx>
      <c:layout/>
    </c:title>
    <c:plotArea>
      <c:layout/>
      <c:doughnutChart>
        <c:varyColors val="1"/>
        <c:ser>
          <c:idx val="0"/>
          <c:order val="0"/>
          <c:tx>
            <c:strRef>
              <c:f>'H2.6'!$B$4</c:f>
              <c:strCache>
                <c:ptCount val="1"/>
                <c:pt idx="0">
                  <c:v>Số nhân sự</c:v>
                </c:pt>
              </c:strCache>
            </c:strRef>
          </c:tx>
          <c:dPt>
            <c:idx val="0"/>
            <c:spPr>
              <a:solidFill>
                <a:srgbClr val="2A78D6"/>
              </a:solidFill>
              <a:ln w="19050">
                <a:solidFill>
                  <a:srgbClr val="FFFFFF"/>
                </a:solidFill>
              </a:ln>
            </c:spPr>
          </c:dPt>
          <c:dPt>
            <c:idx val="1"/>
            <c:spPr>
              <a:solidFill>
                <a:srgbClr val="D9D8D3"/>
              </a:solidFill>
              <a:ln w="19050">
                <a:solidFill>
                  <a:srgbClr val="FFFFFF"/>
                </a:solidFill>
              </a:ln>
            </c:spPr>
          </c:dPt>
          <c:dLbls>
            <c:txPr>
              <a:bodyPr/>
              <a:lstStyle/>
              <a:p>
                <a:pPr>
                  <a:defRPr sz="1100" b="1" baseline="0">
                    <a:solidFill>
                      <a:srgbClr val="FFFFFF"/>
                    </a:solidFill>
                    <a:latin typeface="Times New Roman"/>
                  </a:defRPr>
                </a:pPr>
                <a:endParaRPr lang="en-US"/>
              </a:p>
            </c:txPr>
            <c:showLegendKey val="0"/>
            <c:showVal val="1"/>
            <c:showCatName val="0"/>
            <c:showSerName val="0"/>
            <c:showPercent val="1"/>
            <c:showBubbleSize val="0"/>
            <c:separator>
</c:separator>
          </c:dLbls>
          <c:cat>
            <c:strRef>
              <c:f>'H2.6'!$A$5:$A$6</c:f>
              <c:strCache>
                <c:ptCount val="2"/>
                <c:pt idx="0">
                  <c:v>Có ít nhất một bài báo</c:v>
                </c:pt>
                <c:pt idx="1">
                  <c:v>Chưa có bài báo</c:v>
                </c:pt>
              </c:strCache>
            </c:strRef>
          </c:cat>
          <c:val>
            <c:numRef>
              <c:f>'H2.6'!$B$5:$B$6</c:f>
              <c:numCache>
                <c:formatCode>General</c:formatCode>
                <c:ptCount val="2"/>
                <c:pt idx="0">
                  <c:v>88</c:v>
                </c:pt>
                <c:pt idx="1">
                  <c:v>159</c:v>
                </c:pt>
              </c:numCache>
            </c:numRef>
          </c:val>
        </c:ser>
        <c:firstSliceAng val="0"/>
        <c:holeSize val="58"/>
      </c:doughnutChart>
      <c:spPr>
        <a:ln>
          <a:noFill/>
        </a:ln>
      </c:spPr>
    </c:plotArea>
    <c:legend>
      <c:legendPos val="r"/>
      <c:layout/>
      <c:txPr>
        <a:bodyPr/>
        <a:lstStyle/>
        <a:p>
          <a:pPr rtl="0">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2.7. Khả năng tính toán bộ tiêu chí đánh giá hiệu quả quản lý quyền sở hữu trí tuệ từ dữ liệu hiện có</a:t>
            </a:r>
          </a:p>
        </c:rich>
      </c:tx>
      <c:layout/>
    </c:title>
    <c:plotArea>
      <c:layout/>
      <c:barChart>
        <c:barDir val="bar"/>
        <c:grouping val="stacked"/>
        <c:ser>
          <c:idx val="0"/>
          <c:order val="0"/>
          <c:tx>
            <c:strRef>
              <c:f>'H2.7'!$B$4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'H2.7'!$B$5:$B$8</c:f>
              <c:numCache>
                <c:formatCode>General</c:formatCode>
                <c:ptCount val="4"/>
                <c:pt idx="0">
                  <c:v>1</c:v>
                </c:pt>
                <c:pt idx="1">
                  <c:v>1</c:v>
                </c:pt>
                <c:pt idx="2">
                  <c:v>3</c:v>
                </c:pt>
                <c:pt idx="3">
                  <c:v>0</c:v>
                </c:pt>
              </c:numCache>
            </c:numRef>
          </c:val>
        </c:ser>
        <c:ser>
          <c:idx val="1"/>
          <c:order val="1"/>
          <c:tx>
            <c:strRef>
              <c:f>'H2.7'!$C$4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'H2.7'!$C$5:$C$8</c:f>
              <c:numCache>
                <c:formatCode>General</c:formatCode>
                <c:ptCount val="4"/>
                <c:pt idx="0">
                  <c:v>1</c:v>
                </c:pt>
                <c:pt idx="1">
                  <c:v>1</c:v>
                </c:pt>
                <c:pt idx="2">
                  <c:v>1</c:v>
                </c:pt>
                <c:pt idx="3">
                  <c:v>1</c:v>
                </c:pt>
              </c:numCache>
            </c:numRef>
          </c:val>
        </c:ser>
        <c:ser>
          <c:idx val="2"/>
          <c:order val="2"/>
          <c:tx>
            <c:strRef>
              <c:f>'H2.7'!$D$4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'H2.7'!$D$5:$D$8</c:f>
              <c:numCache>
                <c:formatCode>General</c:formatCode>
                <c:ptCount val="4"/>
                <c:pt idx="0">
                  <c:v>1</c:v>
                </c:pt>
                <c:pt idx="1">
                  <c:v>2</c:v>
                </c:pt>
                <c:pt idx="2">
                  <c:v>0</c:v>
                </c:pt>
                <c:pt idx="3">
                  <c:v>4</c:v>
                </c:pt>
              </c:numCache>
            </c:numRef>
          </c:val>
        </c:ser>
        <c:gapWidth val="50"/>
        <c:overlap val="10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2.8. Mô phỏng phần lợi ích của tác giả theo các quy định nội bộ và mức mặc định của Luật Sở hữu trí tuệ</a:t>
            </a:r>
          </a:p>
        </c:rich>
      </c:tx>
      <c:layout/>
    </c:title>
    <c:plotArea>
      <c:layout/>
      <c:lineChart>
        <c:grouping val="standard"/>
        <c:ser>
          <c:idx val="0"/>
          <c:order val="0"/>
          <c:tx>
            <c:strRef>
              <c:f>'H2.8'!$B$4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'H2.8'!$C$4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'H2.8'!$D$4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'H2.8'!$E$4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'H2.8'!$F$4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80001"/>
        <c:axId val="50080002"/>
      </c:lineChart>
      <c:catAx>
        <c:axId val="5008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catAx>
      <c:valAx>
        <c:axId val="5008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2.9. Quy mô kinh phí của ba kênh tài trợ nghiên cứu</a:t>
            </a:r>
          </a:p>
        </c:rich>
      </c:tx>
      <c:layout/>
    </c:title>
    <c:plotArea>
      <c:layout/>
      <c:barChart>
        <c:barDir val="bar"/>
        <c:grouping val="clustered"/>
        <c:ser>
          <c:idx val="0"/>
          <c:order val="0"/>
          <c:tx>
            <c:strRef>
              <c:f>'H2.9'!$B$4</c:f>
              <c:strCache>
                <c:ptCount val="1"/>
                <c:pt idx="0">
                  <c:v>Kinh phí (triệu đồng)</c:v>
                </c:pt>
              </c:strCache>
            </c:strRef>
          </c:tx>
          <c:spPr>
            <a:solidFill>
              <a:srgbClr val="2A78D6"/>
            </a:solidFill>
            <a:ln w="9525">
              <a:solidFill>
                <a:srgbClr val="FFFFFF"/>
              </a:solidFill>
            </a:ln>
          </c:spPr>
          <c:dPt>
            <c:idx val="0"/>
            <c:spPr>
              <a:solidFill>
                <a:srgbClr val="EB6834"/>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cấp cơ sở, 2021 - 2025</c:v>
                </c:pt>
                <c:pt idx="1">
                  <c:v>Đề tài cấp quốc gia, giao 2024 - 2025</c:v>
                </c:pt>
                <c:pt idx="2">
                  <c:v>Quỹ Học bổng sau tiến sĩ Ngô Xuân Độ, 2025 - 2029</c:v>
                </c:pt>
              </c:strCache>
            </c:strRef>
          </c:cat>
          <c:val>
            <c:numRef>
              <c:f>'H2.9'!$B$5:$B$7</c:f>
              <c:numCache>
                <c:formatCode>General</c:formatCode>
                <c:ptCount val="3"/>
                <c:pt idx="0">
                  <c:v>424.75</c:v>
                </c:pt>
                <c:pt idx="1">
                  <c:v>4670</c:v>
                </c:pt>
                <c:pt idx="2">
                  <c:v>5000</c:v>
                </c:pt>
              </c:numCache>
            </c:numRef>
          </c:val>
        </c:ser>
        <c:gapWidth val="60"/>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2.10. Số đề tài cấp cơ sở theo hình thức kinh phí và kinh phí Nhà trường cấp, giai đoạn 2021 - 2025</a:t>
            </a:r>
          </a:p>
        </c:rich>
      </c:tx>
      <c:layout/>
    </c:title>
    <c:plotArea>
      <c:layout/>
      <c:barChart>
        <c:barDir val="col"/>
        <c:grouping val="stacked"/>
        <c:ser>
          <c:idx val="0"/>
          <c:order val="0"/>
          <c:tx>
            <c:strRef>
              <c:f>'H2.10'!$B$4</c:f>
              <c:strCache>
                <c:ptCount val="1"/>
                <c:pt idx="0">
                  <c:v>Được cấp kinh phí bằng tiền</c:v>
                </c:pt>
              </c:strCache>
            </c:strRef>
          </c:tx>
          <c:spPr>
            <a:solidFill>
              <a:srgbClr val="2A78D6"/>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'H2.10'!$B$5:$B$9</c:f>
              <c:numCache>
                <c:formatCode>General</c:formatCode>
                <c:ptCount val="5"/>
                <c:pt idx="0">
                  <c:v>0</c:v>
                </c:pt>
                <c:pt idx="1">
                  <c:v>3</c:v>
                </c:pt>
                <c:pt idx="2">
                  <c:v>7</c:v>
                </c:pt>
                <c:pt idx="3">
                  <c:v>5</c:v>
                </c:pt>
                <c:pt idx="4">
                  <c:v>4</c:v>
                </c:pt>
              </c:numCache>
            </c:numRef>
          </c:val>
        </c:ser>
        <c:ser>
          <c:idx val="1"/>
          <c:order val="1"/>
          <c:tx>
            <c:strRef>
              <c:f>'H2.10'!$C$4</c:f>
              <c:strCache>
                <c:ptCount val="1"/>
                <c:pt idx="0">
                  <c:v>Chỉ quy đổi giờ nghiên cứu</c:v>
                </c:pt>
              </c:strCache>
            </c:strRef>
          </c:tx>
          <c:spPr>
            <a:solidFill>
              <a:srgbClr val="A8A7A1"/>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'H2.10'!$C$5:$C$9</c:f>
              <c:numCache>
                <c:formatCode>General</c:formatCode>
                <c:ptCount val="5"/>
                <c:pt idx="0">
                  <c:v>6</c:v>
                </c:pt>
                <c:pt idx="1">
                  <c:v>7</c:v>
                </c:pt>
                <c:pt idx="2">
                  <c:v>0</c:v>
                </c:pt>
                <c:pt idx="3">
                  <c:v>0</c:v>
                </c:pt>
                <c:pt idx="4">
                  <c:v>3</c:v>
                </c:pt>
              </c:numCache>
            </c:numRef>
          </c:val>
        </c:ser>
        <c:ser>
          <c:idx val="2"/>
          <c:order val="2"/>
          <c:tx>
            <c:strRef>
              <c:f>'H2.10'!$D$4</c:f>
              <c:strCache>
                <c:ptCount val="1"/>
                <c:pt idx="0">
                  <c:v>Tự tìm nguồn tài trợ</c:v>
                </c:pt>
              </c:strCache>
            </c:strRef>
          </c:tx>
          <c:spPr>
            <a:solidFill>
              <a:srgbClr val="EDA100"/>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'H2.10'!$D$5:$D$9</c:f>
              <c:numCache>
                <c:formatCode>General</c:formatCode>
                <c:ptCount val="5"/>
                <c:pt idx="0">
                  <c:v>0</c:v>
                </c:pt>
                <c:pt idx="1">
                  <c:v>0</c:v>
                </c:pt>
                <c:pt idx="2">
                  <c:v>0</c:v>
                </c:pt>
                <c:pt idx="3">
                  <c:v>3</c:v>
                </c:pt>
                <c:pt idx="4">
                  <c:v>0</c:v>
                </c:pt>
              </c:numCache>
            </c:numRef>
          </c:val>
        </c:ser>
        <c:gapWidth val="60"/>
        <c:overlap val="100"/>
        <c:axId val="50100001"/>
        <c:axId val="50100002"/>
      </c:barChart>
      <c:lineChart>
        <c:grouping val="standard"/>
        <c:ser>
          <c:idx val="3"/>
          <c:order val="3"/>
          <c:tx>
            <c:strRef>
              <c:f>'H2.10'!$E$4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'H2.10'!$A$5:$A$9</c:f>
              <c:numCache>
                <c:formatCode>General</c:formatCode>
                <c:ptCount val="5"/>
                <c:pt idx="0">
                  <c:v>2021</c:v>
                </c:pt>
                <c:pt idx="1">
                  <c:v>2022</c:v>
                </c:pt>
                <c:pt idx="2">
                  <c:v>2023</c:v>
                </c:pt>
                <c:pt idx="3">
                  <c:v>2024</c:v>
                </c:pt>
                <c:pt idx="4">
                  <c:v>2025</c:v>
                </c:pt>
              </c:numCache>
            </c:numRef>
          </c:cat>
          <c:val>
            <c:numRef>
              <c:f>'H2.10'!$E$5:$E$9</c:f>
              <c:numCache>
                <c:formatCode>General</c:formatCode>
                <c:ptCount val="5"/>
                <c:pt idx="0">
                  <c:v>0</c:v>
                </c:pt>
                <c:pt idx="1">
                  <c:v>84</c:v>
                </c:pt>
                <c:pt idx="2">
                  <c:v>70</c:v>
                </c:pt>
                <c:pt idx="3">
                  <c:v>125.75</c:v>
                </c:pt>
                <c:pt idx="4">
                  <c:v>145</c:v>
                </c:pt>
              </c:numCache>
            </c:numRef>
          </c:val>
          <c:smooth val="0"/>
        </c:ser>
        <c:marker val="1"/>
        <c:axId val="60100001"/>
        <c:axId val="60100002"/>
      </c:lineChart>
      <c:catAx>
        <c:axId val="5010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00002"/>
        <c:crosses val="autoZero"/>
        <c:auto val="1"/>
        <c:lblAlgn val="ctr"/>
        <c:lblOffset val="100"/>
      </c:catAx>
      <c:valAx>
        <c:axId val="5010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00001"/>
        <c:crosses val="autoZero"/>
        <c:crossBetween val="between"/>
      </c:valAx>
      <c:valAx>
        <c:axId val="6010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100001"/>
        <c:crosses val="max"/>
        <c:crossBetween val="between"/>
      </c:valAx>
      <c:catAx>
        <c:axId val="60100001"/>
        <c:scaling>
          <c:orientation val="minMax"/>
        </c:scaling>
        <c:delete val="1"/>
        <c:axPos val="b"/>
        <c:numFmt formatCode="General" sourceLinked="1"/>
        <c:tickLblPos val="none"/>
        <c:crossAx val="6010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2.11. Giờ nghiên cứu quy đổi và mức thưởng bằng tiền theo loại sản phẩm khoa học</a:t>
            </a:r>
          </a:p>
        </c:rich>
      </c:tx>
      <c:layout/>
    </c:title>
    <c:plotArea>
      <c:layout/>
      <c:barChart>
        <c:barDir val="col"/>
        <c:grouping val="clustered"/>
        <c:ser>
          <c:idx val="0"/>
          <c:order val="0"/>
          <c:tx>
            <c:strRef>
              <c:f>'H2.11'!$B$4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'H2.11'!$A$5:$A$12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'H2.11'!$B$5:$B$12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110001"/>
        <c:axId val="50110002"/>
      </c:barChart>
      <c:lineChart>
        <c:grouping val="standard"/>
        <c:ser>
          <c:idx val="1"/>
          <c:order val="1"/>
          <c:tx>
            <c:strRef>
              <c:f>'H2.11'!$C$4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'H2.11'!$A$5:$A$12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'H2.11'!$C$5:$C$12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110001"/>
        <c:axId val="60110002"/>
      </c:lineChart>
      <c:catAx>
        <c:axId val="5011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10002"/>
        <c:crosses val="autoZero"/>
        <c:auto val="1"/>
        <c:lblAlgn val="ctr"/>
        <c:lblOffset val="100"/>
      </c:catAx>
      <c:valAx>
        <c:axId val="501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10001"/>
        <c:crosses val="autoZero"/>
        <c:crossBetween val="between"/>
      </c:valAx>
      <c:valAx>
        <c:axId val="6011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110001"/>
        <c:crosses val="max"/>
        <c:crossBetween val="between"/>
      </c:valAx>
      <c:catAx>
        <c:axId val="60110001"/>
        <c:scaling>
          <c:orientation val="minMax"/>
        </c:scaling>
        <c:delete val="1"/>
        <c:axPos val="b"/>
        <c:tickLblPos val="none"/>
        <c:crossAx val="6011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2.12. Tài sản trí tuệ của Nhà trường theo loại hình và tình trạng pháp lý</a:t>
            </a:r>
          </a:p>
        </c:rich>
      </c:tx>
      <c:layout/>
    </c:title>
    <c:plotArea>
      <c:layout/>
      <c:barChart>
        <c:barDir val="bar"/>
        <c:grouping val="stacked"/>
        <c:ser>
          <c:idx val="0"/>
          <c:order val="0"/>
          <c:tx>
            <c:strRef>
              <c:f>'H2.12'!$B$4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'H2.12'!$A$5:$A$8</c:f>
              <c:strCache>
                <c:ptCount val="4"/>
                <c:pt idx="0">
                  <c:v>Quyền tác giả</c:v>
                </c:pt>
                <c:pt idx="1">
                  <c:v>Nhãn hiệu</c:v>
                </c:pt>
                <c:pt idx="2">
                  <c:v>Kiểu dáng công nghiệp</c:v>
                </c:pt>
                <c:pt idx="3">
                  <c:v>Sáng chế</c:v>
                </c:pt>
              </c:strCache>
            </c:strRef>
          </c:cat>
          <c:val>
            <c:numRef>
              <c:f>'H2.12'!$B$5:$B$8</c:f>
              <c:numCache>
                <c:formatCode>General</c:formatCode>
                <c:ptCount val="4"/>
                <c:pt idx="0">
                  <c:v>2</c:v>
                </c:pt>
                <c:pt idx="1">
                  <c:v>2</c:v>
                </c:pt>
                <c:pt idx="2">
                  <c:v>5</c:v>
                </c:pt>
                <c:pt idx="3">
                  <c:v>0</c:v>
                </c:pt>
              </c:numCache>
            </c:numRef>
          </c:val>
        </c:ser>
        <c:ser>
          <c:idx val="1"/>
          <c:order val="1"/>
          <c:tx>
            <c:strRef>
              <c:f>'H2.12'!$C$4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'H2.12'!$A$5:$A$8</c:f>
              <c:strCache>
                <c:ptCount val="4"/>
                <c:pt idx="0">
                  <c:v>Quyền tác giả</c:v>
                </c:pt>
                <c:pt idx="1">
                  <c:v>Nhãn hiệu</c:v>
                </c:pt>
                <c:pt idx="2">
                  <c:v>Kiểu dáng công nghiệp</c:v>
                </c:pt>
                <c:pt idx="3">
                  <c:v>Sáng chế</c:v>
                </c:pt>
              </c:strCache>
            </c:strRef>
          </c:cat>
          <c:val>
            <c:numRef>
              <c:f>'H2.12'!$C$5:$C$8</c:f>
              <c:numCache>
                <c:formatCode>General</c:formatCode>
                <c:ptCount val="4"/>
                <c:pt idx="0">
                  <c:v>0</c:v>
                </c:pt>
                <c:pt idx="1">
                  <c:v>1</c:v>
                </c:pt>
                <c:pt idx="2">
                  <c:v>0</c:v>
                </c:pt>
                <c:pt idx="3">
                  <c:v>2</c:v>
                </c:pt>
              </c:numCache>
            </c:numRef>
          </c:val>
        </c:ser>
        <c:gapWidth val="55"/>
        <c:overlap val="100"/>
        <c:axId val="50120001"/>
        <c:axId val="50120002"/>
      </c:barChart>
      <c:catAx>
        <c:axId val="5012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20002"/>
        <c:crosses val="autoZero"/>
        <c:auto val="1"/>
        <c:lblAlgn val="ctr"/>
        <c:lblOffset val="100"/>
      </c:catAx>
      <c:valAx>
        <c:axId val="5012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2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2.13. Tài sản trí tuệ của Nhà trường theo năm xác lập, nguồn hình thành và số lũy kế</a:t>
            </a:r>
          </a:p>
        </c:rich>
      </c:tx>
      <c:layout/>
    </c:title>
    <c:plotArea>
      <c:layout/>
      <c:barChart>
        <c:barDir val="col"/>
        <c:grouping val="stacked"/>
        <c:ser>
          <c:idx val="0"/>
          <c:order val="0"/>
          <c:tx>
            <c:strRef>
              <c:f>'H2.13'!$B$4</c:f>
              <c:strCache>
                <c:ptCount val="1"/>
                <c:pt idx="0">
                  <c:v>Thương hiệu</c:v>
                </c:pt>
              </c:strCache>
            </c:strRef>
          </c:tx>
          <c:spPr>
            <a:solidFill>
              <a:srgbClr val="2A78D6"/>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'H2.13'!$B$5:$B$10</c:f>
              <c:numCache>
                <c:formatCode>General</c:formatCode>
                <c:ptCount val="6"/>
                <c:pt idx="0">
                  <c:v>1</c:v>
                </c:pt>
                <c:pt idx="1">
                  <c:v>0</c:v>
                </c:pt>
                <c:pt idx="2">
                  <c:v>2</c:v>
                </c:pt>
                <c:pt idx="3">
                  <c:v>0</c:v>
                </c:pt>
                <c:pt idx="4">
                  <c:v>1</c:v>
                </c:pt>
                <c:pt idx="5">
                  <c:v>0</c:v>
                </c:pt>
              </c:numCache>
            </c:numRef>
          </c:val>
        </c:ser>
        <c:ser>
          <c:idx val="1"/>
          <c:order val="1"/>
          <c:tx>
            <c:strRef>
              <c:f>'H2.13'!$C$4</c:f>
              <c:strCache>
                <c:ptCount val="1"/>
                <c:pt idx="0">
                  <c:v>Hợp tác doanh nghiệp</c:v>
                </c:pt>
              </c:strCache>
            </c:strRef>
          </c:tx>
          <c:spPr>
            <a:solidFill>
              <a:srgbClr val="EB6834"/>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'H2.13'!$C$5:$C$10</c:f>
              <c:numCache>
                <c:formatCode>General</c:formatCode>
                <c:ptCount val="6"/>
                <c:pt idx="0">
                  <c:v>0</c:v>
                </c:pt>
                <c:pt idx="1">
                  <c:v>0</c:v>
                </c:pt>
                <c:pt idx="2">
                  <c:v>1</c:v>
                </c:pt>
                <c:pt idx="3">
                  <c:v>5</c:v>
                </c:pt>
                <c:pt idx="4">
                  <c:v>0</c:v>
                </c:pt>
                <c:pt idx="5">
                  <c:v>0</c:v>
                </c:pt>
              </c:numCache>
            </c:numRef>
          </c:val>
        </c:ser>
        <c:ser>
          <c:idx val="2"/>
          <c:order val="2"/>
          <c:tx>
            <c:strRef>
              <c:f>'H2.13'!$D$4</c:f>
              <c:strCache>
                <c:ptCount val="1"/>
                <c:pt idx="0">
                  <c:v>Nghiên cứu</c:v>
                </c:pt>
              </c:strCache>
            </c:strRef>
          </c:tx>
          <c:spPr>
            <a:solidFill>
              <a:srgbClr val="1BAF7A"/>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'H2.13'!$D$5:$D$10</c:f>
              <c:numCache>
                <c:formatCode>General</c:formatCode>
                <c:ptCount val="6"/>
                <c:pt idx="0">
                  <c:v>0</c:v>
                </c:pt>
                <c:pt idx="1">
                  <c:v>0</c:v>
                </c:pt>
                <c:pt idx="2">
                  <c:v>0</c:v>
                </c:pt>
                <c:pt idx="3">
                  <c:v>0</c:v>
                </c:pt>
                <c:pt idx="4">
                  <c:v>1</c:v>
                </c:pt>
                <c:pt idx="5">
                  <c:v>1</c:v>
                </c:pt>
              </c:numCache>
            </c:numRef>
          </c:val>
        </c:ser>
        <c:gapWidth val="60"/>
        <c:overlap val="100"/>
        <c:axId val="50130001"/>
        <c:axId val="50130002"/>
      </c:barChart>
      <c:lineChart>
        <c:grouping val="standard"/>
        <c:ser>
          <c:idx val="3"/>
          <c:order val="3"/>
          <c:tx>
            <c:strRef>
              <c:f>'H2.13'!$E$4</c:f>
              <c:strCache>
                <c:ptCount val="1"/>
                <c:pt idx="0">
                  <c:v>Lũy kế</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'H2.13'!$A$5:$A$10</c:f>
              <c:numCache>
                <c:formatCode>General</c:formatCode>
                <c:ptCount val="6"/>
                <c:pt idx="0">
                  <c:v>2021</c:v>
                </c:pt>
                <c:pt idx="1">
                  <c:v>2022</c:v>
                </c:pt>
                <c:pt idx="2">
                  <c:v>2023</c:v>
                </c:pt>
                <c:pt idx="3">
                  <c:v>2024</c:v>
                </c:pt>
                <c:pt idx="4">
                  <c:v>2025</c:v>
                </c:pt>
                <c:pt idx="5">
                  <c:v>2026</c:v>
                </c:pt>
              </c:numCache>
            </c:numRef>
          </c:cat>
          <c:val>
            <c:numRef>
              <c:f>'H2.13'!$E$5:$E$10</c:f>
              <c:numCache>
                <c:formatCode>General</c:formatCode>
                <c:ptCount val="6"/>
                <c:pt idx="0">
                  <c:v>1</c:v>
                </c:pt>
                <c:pt idx="1">
                  <c:v>1</c:v>
                </c:pt>
                <c:pt idx="2">
                  <c:v>4</c:v>
                </c:pt>
                <c:pt idx="3">
                  <c:v>9</c:v>
                </c:pt>
                <c:pt idx="4">
                  <c:v>11</c:v>
                </c:pt>
                <c:pt idx="5">
                  <c:v>12</c:v>
                </c:pt>
              </c:numCache>
            </c:numRef>
          </c:val>
          <c:smooth val="0"/>
        </c:ser>
        <c:marker val="1"/>
        <c:axId val="50130001"/>
        <c:axId val="50130002"/>
      </c:lineChart>
      <c:catAx>
        <c:axId val="501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30002"/>
        <c:crosses val="autoZero"/>
        <c:auto val="1"/>
        <c:lblAlgn val="ctr"/>
        <c:lblOffset val="100"/>
      </c:catAx>
      <c:valAx>
        <c:axId val="501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3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2.14. Sản phẩm đề tài cấp cơ sở đủ điều kiện xác lập quyền theo nhóm quyền có thể xác lập</a:t>
            </a:r>
          </a:p>
        </c:rich>
      </c:tx>
      <c:layout/>
    </c:title>
    <c:plotArea>
      <c:layout/>
      <c:barChart>
        <c:barDir val="bar"/>
        <c:grouping val="clustered"/>
        <c:ser>
          <c:idx val="0"/>
          <c:order val="0"/>
          <c:tx>
            <c:strRef>
              <c:f>'H2.14'!$B$4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'H2.14'!$A$5:$A$9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'H2.14'!$B$5:$B$9</c:f>
              <c:numCache>
                <c:formatCode>General</c:formatCode>
                <c:ptCount val="5"/>
                <c:pt idx="0">
                  <c:v>5</c:v>
                </c:pt>
                <c:pt idx="1">
                  <c:v>2</c:v>
                </c:pt>
                <c:pt idx="2">
                  <c:v>1</c:v>
                </c:pt>
                <c:pt idx="3">
                  <c:v>2</c:v>
                </c:pt>
                <c:pt idx="4">
                  <c:v>1</c:v>
                </c:pt>
              </c:numCache>
            </c:numRef>
          </c:val>
        </c:ser>
        <c:gapWidth val="60"/>
        <c:axId val="50140001"/>
        <c:axId val="50140002"/>
      </c:barChart>
      <c:catAx>
        <c:axId val="5014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40002"/>
        <c:crosses val="autoZero"/>
        <c:auto val="1"/>
        <c:lblAlgn val="ctr"/>
        <c:lblOffset val="100"/>
      </c:catAx>
      <c:valAx>
        <c:axId val="5014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4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2.15. Chuỗi chuyển hóa từ đề tài cấp cơ sở sang đơn đăng ký sở hữu công nghiệp</a:t>
            </a:r>
          </a:p>
        </c:rich>
      </c:tx>
      <c:layout/>
    </c:title>
    <c:plotArea>
      <c:layout/>
      <c:barChart>
        <c:barDir val="bar"/>
        <c:grouping val="clustered"/>
        <c:ser>
          <c:idx val="0"/>
          <c:order val="0"/>
          <c:tx>
            <c:strRef>
              <c:f>'H2.15'!$B$4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'H2.15'!$A$5:$A$7</c:f>
              <c:strCache>
                <c:ptCount val="3"/>
                <c:pt idx="0">
                  <c:v>Đề tài đã nghiệm thu</c:v>
                </c:pt>
                <c:pt idx="1">
                  <c:v>Có sản phẩm đủ điều kiện xác lập quyền</c:v>
                </c:pt>
                <c:pt idx="2">
                  <c:v>Đã nộp đơn đăng ký</c:v>
                </c:pt>
              </c:strCache>
            </c:strRef>
          </c:cat>
          <c:val>
            <c:numRef>
              <c:f>'H2.15'!$B$5:$B$7</c:f>
              <c:numCache>
                <c:formatCode>General</c:formatCode>
                <c:ptCount val="3"/>
                <c:pt idx="0">
                  <c:v>38</c:v>
                </c:pt>
                <c:pt idx="1">
                  <c:v>11</c:v>
                </c:pt>
                <c:pt idx="2">
                  <c:v>1</c:v>
                </c:pt>
              </c:numCache>
            </c:numRef>
          </c:val>
        </c:ser>
        <c:ser>
          <c:idx val="1"/>
          <c:order val="1"/>
          <c:tx>
            <c:strRef>
              <c:f>'H2.15'!$C$4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'H2.15'!$A$5:$A$7</c:f>
              <c:strCache>
                <c:ptCount val="3"/>
                <c:pt idx="0">
                  <c:v>Đề tài đã nghiệm thu</c:v>
                </c:pt>
                <c:pt idx="1">
                  <c:v>Có sản phẩm đủ điều kiện xác lập quyền</c:v>
                </c:pt>
                <c:pt idx="2">
                  <c:v>Đã nộp đơn đăng ký</c:v>
                </c:pt>
              </c:strCache>
            </c:strRef>
          </c:cat>
          <c:val>
            <c:numRef>
              <c:f>'H2.15'!$C$5:$C$7</c:f>
              <c:numCache>
                <c:formatCode>General</c:formatCode>
                <c:ptCount val="3"/>
                <c:pt idx="0">
                  <c:v>31</c:v>
                </c:pt>
                <c:pt idx="1">
                  <c:v>8</c:v>
                </c:pt>
                <c:pt idx="2">
                  <c:v>0</c:v>
                </c:pt>
              </c:numCache>
            </c:numRef>
          </c:val>
        </c:ser>
        <c:gapWidth val="45"/>
        <c:axId val="50150001"/>
        <c:axId val="50150002"/>
      </c:barChart>
      <c:catAx>
        <c:axId val="501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50002"/>
        <c:crosses val="autoZero"/>
        <c:auto val="1"/>
        <c:lblAlgn val="ctr"/>
        <c:lblOffset val="100"/>
      </c:catAx>
      <c:valAx>
        <c:axId val="501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5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2.16. Tỷ lệ thực hiện so với chỉ tiêu Kế hoạch 07/KH-ĐHTĐ, cộng dồn hai năm 2024 - 2025</a:t>
            </a:r>
          </a:p>
        </c:rich>
      </c:tx>
      <c:layout/>
    </c:title>
    <c:plotArea>
      <c:layout/>
      <c:barChart>
        <c:barDir val="bar"/>
        <c:grouping val="clustered"/>
        <c:ser>
          <c:idx val="0"/>
          <c:order val="0"/>
          <c:tx>
            <c:strRef>
              <c:f>'H2.16'!$E$4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Pt>
            <c:idx val="9"/>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'H2.16'!$A$5:$A$14</c:f>
              <c:strCache>
                <c:ptCount val="10"/>
                <c:pt idx="0">
                  <c:v>Bài báo tạp chí quốc tế</c:v>
                </c:pt>
                <c:pt idx="1">
                  <c:v>Sách có chỉ số ISBN</c:v>
                </c:pt>
                <c:pt idx="2">
                  <c:v>Tham luận hội thảo cấp trường</c:v>
                </c:pt>
                <c:pt idx="3">
                  <c:v>Bài báo tạp chí trong nước, gồm tạp chí của Trường</c:v>
                </c:pt>
                <c:pt idx="4">
                  <c:v>Đề tài cấp Bộ, Nhà nước</c:v>
                </c:pt>
                <c:pt idx="5">
                  <c:v>Đề tài cấp cơ sở</c:v>
                </c:pt>
                <c:pt idx="6">
                  <c:v>Tham luận hội thảo quốc tế</c:v>
                </c:pt>
                <c:pt idx="7">
                  <c:v>Giáo trình, tài liệu tham khảo</c:v>
                </c:pt>
                <c:pt idx="8">
                  <c:v>Công nhận sáng chế, kiểu dáng, quyền tác giả</c:v>
                </c:pt>
                <c:pt idx="9">
                  <c:v>Chuyển giao công nghệ</c:v>
                </c:pt>
              </c:strCache>
            </c:strRef>
          </c:cat>
          <c:val>
            <c:numRef>
              <c:f>'H2.16'!$E$5:$E$14</c:f>
              <c:numCache>
                <c:formatCode>General</c:formatCode>
                <c:ptCount val="10"/>
                <c:pt idx="0">
                  <c:v>2.833333333333333</c:v>
                </c:pt>
                <c:pt idx="1">
                  <c:v>2.666666666666667</c:v>
                </c:pt>
                <c:pt idx="2">
                  <c:v>2.233333333333333</c:v>
                </c:pt>
                <c:pt idx="3">
                  <c:v>1.645454545454546</c:v>
                </c:pt>
                <c:pt idx="4">
                  <c:v>1.5</c:v>
                </c:pt>
                <c:pt idx="5">
                  <c:v>1.071428571428571</c:v>
                </c:pt>
                <c:pt idx="6">
                  <c:v>0.9090909090909091</c:v>
                </c:pt>
                <c:pt idx="7">
                  <c:v>0.9</c:v>
                </c:pt>
                <c:pt idx="8">
                  <c:v>1.5</c:v>
                </c:pt>
                <c:pt idx="9">
                  <c:v>0</c:v>
                </c:pt>
              </c:numCache>
            </c:numRef>
          </c:val>
        </c:ser>
        <c:gapWidth val="45"/>
        <c:axId val="50160001"/>
        <c:axId val="50160002"/>
      </c:barChart>
      <c:catAx>
        <c:axId val="501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60002"/>
        <c:crosses val="autoZero"/>
        <c:auto val="1"/>
        <c:lblAlgn val="ctr"/>
        <c:lblOffset val="100"/>
      </c:catAx>
      <c:valAx>
        <c:axId val="501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6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352425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352425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0</xdr:rowOff>
    </xdr:from>
    <xdr:to>
      <xdr:col>9</xdr:col>
      <xdr:colOff>276225</xdr:colOff>
      <xdr:row>29</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36</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8</xdr:row>
      <xdr:rowOff>0</xdr:rowOff>
    </xdr:from>
    <xdr:to>
      <xdr:col>9</xdr:col>
      <xdr:colOff>276225</xdr:colOff>
      <xdr:row>33</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36</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11</xdr:row>
      <xdr:rowOff>0</xdr:rowOff>
    </xdr:from>
    <xdr:to>
      <xdr:col>6</xdr:col>
      <xdr:colOff>390525</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38</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33</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15</xdr:row>
      <xdr:rowOff>0</xdr:rowOff>
    </xdr:from>
    <xdr:to>
      <xdr:col>6</xdr:col>
      <xdr:colOff>390525</xdr:colOff>
      <xdr:row>51</xdr:row>
      <xdr:rowOff>123825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dimension ref="A1:C25"/>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4" spans="1:3">
      <c r="A14" s="4" t="s">
        <v>32</v>
      </c>
      <c r="B14" s="4" t="s">
        <v>33</v>
      </c>
      <c r="C14" s="5" t="s">
        <v>34</v>
      </c>
    </row>
    <row r="15" spans="1:3">
      <c r="A15" s="4" t="s">
        <v>35</v>
      </c>
      <c r="B15" s="4" t="s">
        <v>36</v>
      </c>
      <c r="C15" s="5" t="s">
        <v>37</v>
      </c>
    </row>
    <row r="16" spans="1:3">
      <c r="A16" s="4" t="s">
        <v>38</v>
      </c>
      <c r="B16" s="4" t="s">
        <v>39</v>
      </c>
      <c r="C16" s="5" t="s">
        <v>40</v>
      </c>
    </row>
    <row r="17" spans="1:3">
      <c r="A17" s="4" t="s">
        <v>41</v>
      </c>
      <c r="B17" s="4" t="s">
        <v>42</v>
      </c>
      <c r="C17" s="5" t="s">
        <v>43</v>
      </c>
    </row>
    <row r="18" spans="1:3">
      <c r="A18" s="4" t="s">
        <v>44</v>
      </c>
      <c r="B18" s="4" t="s">
        <v>45</v>
      </c>
      <c r="C18" s="5" t="s">
        <v>46</v>
      </c>
    </row>
    <row r="19" spans="1:3">
      <c r="A19" s="4" t="s">
        <v>47</v>
      </c>
      <c r="B19" s="4" t="s">
        <v>48</v>
      </c>
      <c r="C19" s="5" t="s">
        <v>49</v>
      </c>
    </row>
    <row r="20" spans="1:3">
      <c r="A20" s="4" t="s">
        <v>50</v>
      </c>
      <c r="B20" s="4" t="s">
        <v>51</v>
      </c>
      <c r="C20" s="5" t="s">
        <v>52</v>
      </c>
    </row>
    <row r="22" spans="1:3">
      <c r="B22" s="4" t="s">
        <v>53</v>
      </c>
      <c r="C22" s="5" t="s">
        <v>54</v>
      </c>
    </row>
    <row r="23" spans="1:3">
      <c r="B23" s="4" t="s">
        <v>55</v>
      </c>
      <c r="C23" s="5" t="s">
        <v>56</v>
      </c>
    </row>
    <row r="24" spans="1:3">
      <c r="B24" s="4" t="s">
        <v>57</v>
      </c>
      <c r="C24" s="5" t="s">
        <v>58</v>
      </c>
    </row>
    <row r="25" spans="1:3">
      <c r="B25" s="4" t="s">
        <v>59</v>
      </c>
      <c r="C25" s="5" t="s">
        <v>60</v>
      </c>
    </row>
  </sheetData>
  <hyperlinks>
    <hyperlink ref="C5" location="'H2.1'!A1" display="H2.1"/>
    <hyperlink ref="C6" location="'H2.2'!A1" display="H2.2"/>
    <hyperlink ref="C7" location="'H2.3'!A1" display="H2.3"/>
    <hyperlink ref="C8" location="'H2.4'!A1" display="H2.4"/>
    <hyperlink ref="C9" location="'H2.5'!A1" display="H2.5"/>
    <hyperlink ref="C10" location="'H2.6'!A1" display="H2.6"/>
    <hyperlink ref="C11" location="'H2.7'!A1" display="H2.7"/>
    <hyperlink ref="C12" location="'H2.8'!A1" display="H2.8"/>
    <hyperlink ref="C13" location="'H2.9'!A1" display="H2.9"/>
    <hyperlink ref="C14" location="'H2.10'!A1" display="H2.10"/>
    <hyperlink ref="C15" location="'H2.11'!A1" display="H2.11"/>
    <hyperlink ref="C16" location="'H2.12'!A1" display="H2.12"/>
    <hyperlink ref="C17" location="'H2.13'!A1" display="H2.13"/>
    <hyperlink ref="C18" location="'H2.14'!A1" display="H2.14"/>
    <hyperlink ref="C19" location="'H2.15'!A1" display="H2.15"/>
    <hyperlink ref="C20" location="'H2.16'!A1" display="H2.16"/>
    <hyperlink ref="C22" location="'Nhat_ky_chuan_hoa'!A1" display="Nhat_ky_chuan_hoa"/>
    <hyperlink ref="C23" location="'DL_De_tai'!A1" display="DL_De_tai"/>
    <hyperlink ref="C24" location="'DL_TSTT'!A1" display="DL_TSTT"/>
    <hyperlink ref="C25"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61</v>
      </c>
    </row>
    <row r="2" spans="1:6" ht="42" customHeight="1">
      <c r="A2" s="6" t="s">
        <v>62</v>
      </c>
      <c r="B2" s="6"/>
      <c r="C2" s="6"/>
      <c r="D2" s="6"/>
      <c r="E2" s="6"/>
      <c r="F2" s="6"/>
    </row>
    <row r="4" spans="1:6" ht="45" customHeight="1">
      <c r="A4" s="3" t="s">
        <v>63</v>
      </c>
      <c r="B4" s="3" t="s">
        <v>64</v>
      </c>
      <c r="C4" s="3" t="s">
        <v>65</v>
      </c>
      <c r="D4" s="3" t="s">
        <v>66</v>
      </c>
      <c r="E4" s="3" t="s">
        <v>67</v>
      </c>
      <c r="F4" s="3" t="s">
        <v>68</v>
      </c>
    </row>
    <row r="5" spans="1:6">
      <c r="A5" s="4" t="s">
        <v>69</v>
      </c>
      <c r="B5" s="7">
        <v>42</v>
      </c>
      <c r="C5" s="7">
        <v>26</v>
      </c>
      <c r="D5" s="7">
        <v>2</v>
      </c>
      <c r="E5" s="7">
        <v>0</v>
      </c>
      <c r="F5" s="8">
        <v>0.6</v>
      </c>
    </row>
    <row r="6" spans="1:6">
      <c r="A6" s="4" t="s">
        <v>70</v>
      </c>
      <c r="B6" s="7">
        <v>29</v>
      </c>
      <c r="C6" s="7">
        <v>17</v>
      </c>
      <c r="D6" s="7">
        <v>1</v>
      </c>
      <c r="E6" s="7">
        <v>0</v>
      </c>
      <c r="F6" s="8">
        <v>0.6170212765957447</v>
      </c>
    </row>
    <row r="7" spans="1:6">
      <c r="A7" s="4" t="s">
        <v>71</v>
      </c>
      <c r="B7" s="7">
        <v>10</v>
      </c>
      <c r="C7" s="7">
        <v>18</v>
      </c>
      <c r="D7" s="7">
        <v>1</v>
      </c>
      <c r="E7" s="7">
        <v>0</v>
      </c>
      <c r="F7" s="8">
        <v>0.3448275862068966</v>
      </c>
    </row>
    <row r="8" spans="1:6">
      <c r="A8" s="4" t="s">
        <v>72</v>
      </c>
      <c r="B8" s="7">
        <v>0</v>
      </c>
      <c r="C8" s="7">
        <v>2</v>
      </c>
      <c r="D8" s="7">
        <v>10</v>
      </c>
      <c r="E8" s="7">
        <v>3</v>
      </c>
      <c r="F8" s="8">
        <v>0</v>
      </c>
    </row>
    <row r="9" spans="1:6">
      <c r="A9" s="4" t="s">
        <v>73</v>
      </c>
      <c r="B9" s="7">
        <v>0</v>
      </c>
      <c r="C9" s="7">
        <v>4</v>
      </c>
      <c r="D9" s="7">
        <v>5</v>
      </c>
      <c r="E9" s="7">
        <v>5</v>
      </c>
      <c r="F9" s="8">
        <v>0</v>
      </c>
    </row>
    <row r="10" spans="1:6">
      <c r="A10" s="4" t="s">
        <v>74</v>
      </c>
      <c r="B10" s="7">
        <v>6</v>
      </c>
      <c r="C10" s="7">
        <v>4</v>
      </c>
      <c r="D10" s="7">
        <v>1</v>
      </c>
      <c r="E10" s="7">
        <v>1</v>
      </c>
      <c r="F10" s="8">
        <v>0.5</v>
      </c>
    </row>
    <row r="11" spans="1:6">
      <c r="A11" s="4" t="s">
        <v>75</v>
      </c>
      <c r="B11" s="7">
        <v>1</v>
      </c>
      <c r="C11" s="7">
        <v>1</v>
      </c>
      <c r="D11" s="7">
        <v>4</v>
      </c>
      <c r="E11" s="7">
        <v>0</v>
      </c>
      <c r="F11" s="8">
        <v>0.1666666666666667</v>
      </c>
    </row>
    <row r="12" spans="1:6">
      <c r="A12" s="4" t="s">
        <v>76</v>
      </c>
      <c r="B12" s="7">
        <v>6</v>
      </c>
      <c r="C12" s="7">
        <v>22</v>
      </c>
      <c r="D12" s="7">
        <v>15</v>
      </c>
      <c r="E12" s="7">
        <v>16</v>
      </c>
      <c r="F12" s="8">
        <v>0.1016949152542373</v>
      </c>
    </row>
  </sheetData>
  <mergeCells count="1">
    <mergeCell ref="A2:F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77</v>
      </c>
    </row>
    <row r="2" spans="1:9" ht="42" customHeight="1">
      <c r="A2" s="6" t="s">
        <v>78</v>
      </c>
      <c r="B2" s="6"/>
      <c r="C2" s="6"/>
      <c r="D2" s="6"/>
      <c r="E2" s="6"/>
      <c r="F2" s="6"/>
      <c r="G2" s="6"/>
      <c r="H2" s="6"/>
      <c r="I2" s="6"/>
    </row>
    <row r="4" spans="1:9" ht="45" customHeight="1">
      <c r="A4" s="3" t="s">
        <v>79</v>
      </c>
      <c r="B4" s="3" t="s">
        <v>80</v>
      </c>
      <c r="C4" s="3" t="s">
        <v>81</v>
      </c>
      <c r="D4" s="3" t="s">
        <v>82</v>
      </c>
      <c r="E4" s="3" t="s">
        <v>83</v>
      </c>
      <c r="F4" s="3" t="s">
        <v>84</v>
      </c>
      <c r="G4" s="3" t="s">
        <v>85</v>
      </c>
      <c r="H4" s="3" t="s">
        <v>86</v>
      </c>
      <c r="I4" s="3" t="s">
        <v>87</v>
      </c>
    </row>
    <row r="5" spans="1:9">
      <c r="A5" s="4" t="s">
        <v>88</v>
      </c>
      <c r="B5" s="7">
        <v>17</v>
      </c>
      <c r="C5" s="7">
        <v>6</v>
      </c>
      <c r="D5" s="7">
        <v>26</v>
      </c>
      <c r="E5" s="7">
        <v>6</v>
      </c>
      <c r="F5" s="7">
        <v>0</v>
      </c>
      <c r="G5" s="7">
        <v>1</v>
      </c>
      <c r="H5" s="7">
        <v>0</v>
      </c>
      <c r="I5" s="7">
        <v>56</v>
      </c>
    </row>
    <row r="6" spans="1:9">
      <c r="A6" s="4" t="s">
        <v>89</v>
      </c>
      <c r="B6" s="7">
        <v>42</v>
      </c>
      <c r="C6" s="7">
        <v>13</v>
      </c>
      <c r="D6" s="7">
        <v>31</v>
      </c>
      <c r="E6" s="7">
        <v>10</v>
      </c>
      <c r="F6" s="7">
        <v>2</v>
      </c>
      <c r="G6" s="7">
        <v>2</v>
      </c>
      <c r="H6" s="7">
        <v>0</v>
      </c>
      <c r="I6" s="7">
        <v>100</v>
      </c>
    </row>
    <row r="7" spans="1:9">
      <c r="A7" s="4" t="s">
        <v>90</v>
      </c>
      <c r="B7" s="7">
        <v>50</v>
      </c>
      <c r="C7" s="7">
        <v>11</v>
      </c>
      <c r="D7" s="7">
        <v>12</v>
      </c>
      <c r="E7" s="7">
        <v>7</v>
      </c>
      <c r="F7" s="7">
        <v>2</v>
      </c>
      <c r="G7" s="7">
        <v>3</v>
      </c>
      <c r="H7" s="7">
        <v>0</v>
      </c>
      <c r="I7" s="7">
        <v>85</v>
      </c>
    </row>
    <row r="8" spans="1:9">
      <c r="A8" s="4" t="s">
        <v>91</v>
      </c>
      <c r="B8" s="7">
        <v>72</v>
      </c>
      <c r="C8" s="7">
        <v>33</v>
      </c>
      <c r="D8" s="7">
        <v>7</v>
      </c>
      <c r="E8" s="7">
        <v>8</v>
      </c>
      <c r="F8" s="7">
        <v>2</v>
      </c>
      <c r="G8" s="7">
        <v>5</v>
      </c>
      <c r="H8" s="7">
        <v>1</v>
      </c>
      <c r="I8" s="7">
        <v>128</v>
      </c>
    </row>
    <row r="9" spans="1:9">
      <c r="A9" s="4" t="s">
        <v>92</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4" width="17.7109375" customWidth="1"/>
  </cols>
  <sheetData>
    <row r="1" spans="1:6">
      <c r="A1" s="1" t="s">
        <v>93</v>
      </c>
    </row>
    <row r="2" spans="1:6" ht="42" customHeight="1">
      <c r="A2" s="6" t="s">
        <v>94</v>
      </c>
      <c r="B2" s="6"/>
      <c r="C2" s="6"/>
      <c r="D2" s="6"/>
      <c r="E2" s="6"/>
      <c r="F2" s="6"/>
    </row>
    <row r="4" spans="1:6" ht="45" customHeight="1">
      <c r="A4" s="3" t="s">
        <v>79</v>
      </c>
      <c r="B4" s="3" t="s">
        <v>95</v>
      </c>
      <c r="C4" s="3" t="s">
        <v>96</v>
      </c>
      <c r="D4" s="3" t="s">
        <v>97</v>
      </c>
    </row>
    <row r="5" spans="1:6">
      <c r="A5" s="4" t="s">
        <v>88</v>
      </c>
      <c r="B5" s="7">
        <v>23</v>
      </c>
      <c r="C5" s="7">
        <v>26</v>
      </c>
      <c r="D5" s="9">
        <v>0.8846153846153846</v>
      </c>
    </row>
    <row r="6" spans="1:6">
      <c r="A6" s="4" t="s">
        <v>89</v>
      </c>
      <c r="B6" s="7">
        <v>55</v>
      </c>
      <c r="C6" s="7">
        <v>31</v>
      </c>
      <c r="D6" s="9">
        <v>1.774193548387097</v>
      </c>
    </row>
    <row r="7" spans="1:6">
      <c r="A7" s="4" t="s">
        <v>90</v>
      </c>
      <c r="B7" s="7">
        <v>61</v>
      </c>
      <c r="C7" s="7">
        <v>12</v>
      </c>
      <c r="D7" s="9">
        <v>5.083333333333333</v>
      </c>
    </row>
    <row r="8" spans="1:6">
      <c r="A8" s="4" t="s">
        <v>91</v>
      </c>
      <c r="B8" s="7">
        <v>105</v>
      </c>
      <c r="C8" s="7">
        <v>7</v>
      </c>
      <c r="D8" s="9">
        <v>15</v>
      </c>
    </row>
    <row r="9" spans="1:6">
      <c r="A9" s="4" t="s">
        <v>92</v>
      </c>
      <c r="B9" s="7">
        <v>161</v>
      </c>
      <c r="C9" s="7">
        <v>11</v>
      </c>
      <c r="D9" s="9">
        <v>14.63636363636364</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G9"/>
  <sheetViews>
    <sheetView workbookViewId="0"/>
  </sheetViews>
  <sheetFormatPr defaultRowHeight="15"/>
  <cols>
    <col min="1" max="1" width="42.7109375" customWidth="1"/>
    <col min="2" max="7" width="17.7109375" customWidth="1"/>
  </cols>
  <sheetData>
    <row r="1" spans="1:7">
      <c r="A1" s="1" t="s">
        <v>98</v>
      </c>
    </row>
    <row r="2" spans="1:7" ht="42" customHeight="1">
      <c r="A2" s="6" t="s">
        <v>99</v>
      </c>
      <c r="B2" s="6"/>
      <c r="C2" s="6"/>
      <c r="D2" s="6"/>
      <c r="E2" s="6"/>
      <c r="F2" s="6"/>
      <c r="G2" s="6"/>
    </row>
    <row r="4" spans="1:7" ht="45" customHeight="1">
      <c r="A4" s="3" t="s">
        <v>79</v>
      </c>
      <c r="B4" s="3" t="s">
        <v>100</v>
      </c>
      <c r="C4" s="3" t="s">
        <v>101</v>
      </c>
      <c r="D4" s="3" t="s">
        <v>102</v>
      </c>
      <c r="E4" s="3" t="s">
        <v>103</v>
      </c>
      <c r="F4" s="3" t="s">
        <v>104</v>
      </c>
      <c r="G4" s="3" t="s">
        <v>105</v>
      </c>
    </row>
    <row r="5" spans="1:7">
      <c r="A5" s="4" t="s">
        <v>88</v>
      </c>
      <c r="B5" s="7">
        <v>0</v>
      </c>
      <c r="C5" s="7">
        <v>0</v>
      </c>
      <c r="D5" s="7">
        <v>0</v>
      </c>
      <c r="E5" s="7">
        <v>0</v>
      </c>
      <c r="F5" s="7">
        <v>6</v>
      </c>
      <c r="G5" s="8">
        <v>0</v>
      </c>
    </row>
    <row r="6" spans="1:7">
      <c r="A6" s="4" t="s">
        <v>89</v>
      </c>
      <c r="B6" s="7">
        <v>1</v>
      </c>
      <c r="C6" s="7">
        <v>1</v>
      </c>
      <c r="D6" s="7">
        <v>0</v>
      </c>
      <c r="E6" s="7">
        <v>0</v>
      </c>
      <c r="F6" s="7">
        <v>11</v>
      </c>
      <c r="G6" s="8">
        <v>0.1538461538461539</v>
      </c>
    </row>
    <row r="7" spans="1:7">
      <c r="A7" s="4" t="s">
        <v>90</v>
      </c>
      <c r="B7" s="7">
        <v>1</v>
      </c>
      <c r="C7" s="7">
        <v>0</v>
      </c>
      <c r="D7" s="7">
        <v>0</v>
      </c>
      <c r="E7" s="7">
        <v>0</v>
      </c>
      <c r="F7" s="7">
        <v>10</v>
      </c>
      <c r="G7" s="8">
        <v>0.09090909090909091</v>
      </c>
    </row>
    <row r="8" spans="1:7">
      <c r="A8" s="4" t="s">
        <v>91</v>
      </c>
      <c r="B8" s="7">
        <v>9</v>
      </c>
      <c r="C8" s="7">
        <v>9</v>
      </c>
      <c r="D8" s="7">
        <v>10</v>
      </c>
      <c r="E8" s="7">
        <v>0</v>
      </c>
      <c r="F8" s="7">
        <v>5</v>
      </c>
      <c r="G8" s="8">
        <v>0.5454545454545454</v>
      </c>
    </row>
    <row r="9" spans="1:7">
      <c r="A9" s="4" t="s">
        <v>92</v>
      </c>
      <c r="B9" s="7">
        <v>8</v>
      </c>
      <c r="C9" s="7">
        <v>16</v>
      </c>
      <c r="D9" s="7">
        <v>12</v>
      </c>
      <c r="E9" s="7">
        <v>4</v>
      </c>
      <c r="F9" s="7">
        <v>12</v>
      </c>
      <c r="G9" s="8">
        <v>0.4615384615384616</v>
      </c>
    </row>
  </sheetData>
  <mergeCells count="1">
    <mergeCell ref="A2:G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4" width="17.7109375" customWidth="1"/>
  </cols>
  <sheetData>
    <row r="1" spans="1:6">
      <c r="A1" s="1" t="s">
        <v>106</v>
      </c>
    </row>
    <row r="2" spans="1:6" ht="42" customHeight="1">
      <c r="A2" s="6" t="s">
        <v>107</v>
      </c>
      <c r="B2" s="6"/>
      <c r="C2" s="6"/>
      <c r="D2" s="6"/>
      <c r="E2" s="6"/>
      <c r="F2" s="6"/>
    </row>
    <row r="4" spans="1:6" ht="45" customHeight="1">
      <c r="A4" s="3" t="s">
        <v>63</v>
      </c>
      <c r="B4" s="3" t="s">
        <v>108</v>
      </c>
      <c r="C4" s="3" t="s">
        <v>109</v>
      </c>
      <c r="D4" s="3" t="s">
        <v>110</v>
      </c>
    </row>
    <row r="5" spans="1:6">
      <c r="A5" s="4" t="s">
        <v>71</v>
      </c>
      <c r="B5" s="7">
        <v>29</v>
      </c>
      <c r="C5" s="10">
        <v>0.9310344827586207</v>
      </c>
      <c r="D5" s="9">
        <v>41.37931034482759</v>
      </c>
    </row>
    <row r="6" spans="1:6">
      <c r="A6" s="4" t="s">
        <v>70</v>
      </c>
      <c r="B6" s="7">
        <v>47</v>
      </c>
      <c r="C6" s="10">
        <v>1.212765957446809</v>
      </c>
      <c r="D6" s="9">
        <v>21.27659574468085</v>
      </c>
    </row>
    <row r="7" spans="1:6">
      <c r="A7" s="4" t="s">
        <v>69</v>
      </c>
      <c r="B7" s="7">
        <v>70</v>
      </c>
      <c r="C7" s="10">
        <v>0.7857142857142857</v>
      </c>
      <c r="D7" s="9">
        <v>12.85714285714286</v>
      </c>
    </row>
    <row r="8" spans="1:6">
      <c r="A8" s="4" t="s">
        <v>75</v>
      </c>
      <c r="B8" s="7">
        <v>6</v>
      </c>
      <c r="C8" s="10">
        <v>2.833333333333333</v>
      </c>
      <c r="D8" s="9">
        <v>50</v>
      </c>
    </row>
    <row r="9" spans="1:6">
      <c r="A9" s="4" t="s">
        <v>74</v>
      </c>
      <c r="B9" s="7">
        <v>12</v>
      </c>
      <c r="C9" s="10">
        <v>2.833333333333333</v>
      </c>
      <c r="D9" s="9">
        <v>25</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6"/>
  <sheetViews>
    <sheetView workbookViewId="0"/>
  </sheetViews>
  <sheetFormatPr defaultRowHeight="15"/>
  <cols>
    <col min="1" max="1" width="42.7109375" customWidth="1"/>
    <col min="2" max="2" width="17.7109375" customWidth="1"/>
  </cols>
  <sheetData>
    <row r="1" spans="1:6">
      <c r="A1" s="1" t="s">
        <v>111</v>
      </c>
    </row>
    <row r="2" spans="1:6" ht="42" customHeight="1">
      <c r="A2" s="6" t="s">
        <v>112</v>
      </c>
      <c r="B2" s="6"/>
      <c r="C2" s="6"/>
      <c r="D2" s="6"/>
      <c r="E2" s="6"/>
      <c r="F2" s="6"/>
    </row>
    <row r="4" spans="1:6" ht="45" customHeight="1">
      <c r="A4" s="3" t="s">
        <v>113</v>
      </c>
      <c r="B4" s="3" t="s">
        <v>114</v>
      </c>
    </row>
    <row r="5" spans="1:6">
      <c r="A5" s="4" t="s">
        <v>115</v>
      </c>
      <c r="B5" s="7">
        <v>88</v>
      </c>
    </row>
    <row r="6" spans="1:6">
      <c r="A6" s="4" t="s">
        <v>116</v>
      </c>
      <c r="B6" s="7">
        <v>159</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117</v>
      </c>
    </row>
    <row r="2" spans="1:6" ht="42" customHeight="1">
      <c r="A2" s="6" t="s">
        <v>118</v>
      </c>
      <c r="B2" s="6"/>
      <c r="C2" s="6"/>
      <c r="D2" s="6"/>
      <c r="E2" s="6"/>
      <c r="F2" s="6"/>
    </row>
    <row r="4" spans="1:6" ht="45" customHeight="1">
      <c r="A4" s="3" t="s">
        <v>119</v>
      </c>
      <c r="B4" s="3" t="s">
        <v>120</v>
      </c>
      <c r="C4" s="3" t="s">
        <v>121</v>
      </c>
      <c r="D4" s="3" t="s">
        <v>122</v>
      </c>
    </row>
    <row r="5" spans="1:6">
      <c r="A5" s="4" t="s">
        <v>123</v>
      </c>
      <c r="B5" s="7">
        <v>1</v>
      </c>
      <c r="C5" s="7">
        <v>1</v>
      </c>
      <c r="D5" s="7">
        <v>1</v>
      </c>
    </row>
    <row r="6" spans="1:6">
      <c r="A6" s="4" t="s">
        <v>124</v>
      </c>
      <c r="B6" s="7">
        <v>1</v>
      </c>
      <c r="C6" s="7">
        <v>1</v>
      </c>
      <c r="D6" s="7">
        <v>2</v>
      </c>
    </row>
    <row r="7" spans="1:6">
      <c r="A7" s="4" t="s">
        <v>125</v>
      </c>
      <c r="B7" s="7">
        <v>3</v>
      </c>
      <c r="C7" s="7">
        <v>1</v>
      </c>
      <c r="D7" s="7">
        <v>0</v>
      </c>
    </row>
    <row r="8" spans="1:6">
      <c r="A8" s="4" t="s">
        <v>126</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127</v>
      </c>
    </row>
    <row r="2" spans="1:6" ht="42" customHeight="1">
      <c r="A2" s="6" t="s">
        <v>128</v>
      </c>
      <c r="B2" s="6"/>
      <c r="C2" s="6"/>
      <c r="D2" s="6"/>
      <c r="E2" s="6"/>
      <c r="F2" s="6"/>
    </row>
    <row r="4" spans="1:6" ht="45" customHeight="1">
      <c r="A4" s="3" t="s">
        <v>129</v>
      </c>
      <c r="B4" s="3" t="s">
        <v>130</v>
      </c>
      <c r="C4" s="3" t="s">
        <v>131</v>
      </c>
      <c r="D4" s="3" t="s">
        <v>132</v>
      </c>
      <c r="E4" s="3" t="s">
        <v>133</v>
      </c>
      <c r="F4" s="3" t="s">
        <v>134</v>
      </c>
    </row>
    <row r="5" spans="1:6">
      <c r="A5" s="4" t="s">
        <v>135</v>
      </c>
      <c r="B5" s="7">
        <v>0</v>
      </c>
      <c r="C5" s="7">
        <v>0</v>
      </c>
      <c r="D5" s="7">
        <v>0</v>
      </c>
      <c r="E5" s="7">
        <v>0</v>
      </c>
      <c r="F5" s="7">
        <v>0</v>
      </c>
    </row>
    <row r="6" spans="1:6">
      <c r="A6" s="4" t="s">
        <v>136</v>
      </c>
      <c r="B6" s="7">
        <v>30</v>
      </c>
      <c r="C6" s="7">
        <v>30</v>
      </c>
      <c r="D6" s="7">
        <v>50</v>
      </c>
      <c r="E6" s="7">
        <v>20</v>
      </c>
      <c r="F6" s="7">
        <v>15</v>
      </c>
    </row>
    <row r="7" spans="1:6">
      <c r="A7" s="4" t="s">
        <v>137</v>
      </c>
      <c r="B7" s="7">
        <v>60</v>
      </c>
      <c r="C7" s="7">
        <v>60</v>
      </c>
      <c r="D7" s="7">
        <v>100</v>
      </c>
      <c r="E7" s="7">
        <v>40</v>
      </c>
      <c r="F7" s="7">
        <v>30</v>
      </c>
    </row>
    <row r="8" spans="1:6">
      <c r="A8" s="4" t="s">
        <v>138</v>
      </c>
      <c r="B8" s="7">
        <v>90</v>
      </c>
      <c r="C8" s="7">
        <v>90</v>
      </c>
      <c r="D8" s="7">
        <v>150</v>
      </c>
      <c r="E8" s="7">
        <v>60</v>
      </c>
      <c r="F8" s="7">
        <v>45</v>
      </c>
    </row>
    <row r="9" spans="1:6">
      <c r="A9" s="4" t="s">
        <v>139</v>
      </c>
      <c r="B9" s="7">
        <v>100</v>
      </c>
      <c r="C9" s="7">
        <v>120</v>
      </c>
      <c r="D9" s="7">
        <v>200</v>
      </c>
      <c r="E9" s="7">
        <v>80</v>
      </c>
      <c r="F9" s="7">
        <v>60</v>
      </c>
    </row>
    <row r="10" spans="1:6">
      <c r="A10" s="4" t="s">
        <v>140</v>
      </c>
      <c r="B10" s="7">
        <v>100</v>
      </c>
      <c r="C10" s="7">
        <v>150</v>
      </c>
      <c r="D10" s="7">
        <v>250</v>
      </c>
      <c r="E10" s="7">
        <v>100</v>
      </c>
      <c r="F10" s="7">
        <v>75</v>
      </c>
    </row>
    <row r="11" spans="1:6">
      <c r="A11" s="4" t="s">
        <v>141</v>
      </c>
      <c r="B11" s="7">
        <v>100</v>
      </c>
      <c r="C11" s="7">
        <v>180</v>
      </c>
      <c r="D11" s="7">
        <v>300</v>
      </c>
      <c r="E11" s="7">
        <v>120</v>
      </c>
      <c r="F11" s="7">
        <v>90</v>
      </c>
    </row>
    <row r="12" spans="1:6">
      <c r="A12" s="4" t="s">
        <v>142</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2" width="17.7109375" customWidth="1"/>
  </cols>
  <sheetData>
    <row r="1" spans="1:6">
      <c r="A1" s="1" t="s">
        <v>143</v>
      </c>
    </row>
    <row r="2" spans="1:6" ht="42" customHeight="1">
      <c r="A2" s="6" t="s">
        <v>144</v>
      </c>
      <c r="B2" s="6"/>
      <c r="C2" s="6"/>
      <c r="D2" s="6"/>
      <c r="E2" s="6"/>
      <c r="F2" s="6"/>
    </row>
    <row r="4" spans="1:6" ht="45" customHeight="1">
      <c r="A4" s="3" t="s">
        <v>145</v>
      </c>
      <c r="B4" s="3" t="s">
        <v>146</v>
      </c>
    </row>
    <row r="5" spans="1:6">
      <c r="A5" s="4" t="s">
        <v>147</v>
      </c>
      <c r="B5" s="11">
        <v>424.75</v>
      </c>
    </row>
    <row r="6" spans="1:6">
      <c r="A6" s="4" t="s">
        <v>148</v>
      </c>
      <c r="B6" s="11">
        <v>4670</v>
      </c>
    </row>
    <row r="7" spans="1:6">
      <c r="A7" s="4" t="s">
        <v>149</v>
      </c>
      <c r="B7" s="11">
        <v>5000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150</v>
      </c>
    </row>
    <row r="2" spans="1:6" ht="42" customHeight="1">
      <c r="A2" s="6" t="s">
        <v>151</v>
      </c>
      <c r="B2" s="6"/>
      <c r="C2" s="6"/>
      <c r="D2" s="6"/>
      <c r="E2" s="6"/>
      <c r="F2" s="6"/>
    </row>
    <row r="4" spans="1:6" ht="45" customHeight="1">
      <c r="A4" s="3" t="s">
        <v>79</v>
      </c>
      <c r="B4" s="3" t="s">
        <v>152</v>
      </c>
      <c r="C4" s="3" t="s">
        <v>153</v>
      </c>
      <c r="D4" s="3" t="s">
        <v>154</v>
      </c>
      <c r="E4" s="3" t="s">
        <v>155</v>
      </c>
    </row>
    <row r="5" spans="1:6">
      <c r="A5" s="4" t="s">
        <v>88</v>
      </c>
      <c r="B5" s="7">
        <v>0</v>
      </c>
      <c r="C5" s="7">
        <v>6</v>
      </c>
      <c r="D5" s="7">
        <v>0</v>
      </c>
      <c r="E5" s="10">
        <v>0</v>
      </c>
    </row>
    <row r="6" spans="1:6">
      <c r="A6" s="4" t="s">
        <v>89</v>
      </c>
      <c r="B6" s="7">
        <v>3</v>
      </c>
      <c r="C6" s="7">
        <v>7</v>
      </c>
      <c r="D6" s="7">
        <v>0</v>
      </c>
      <c r="E6" s="10">
        <v>84</v>
      </c>
    </row>
    <row r="7" spans="1:6">
      <c r="A7" s="4" t="s">
        <v>90</v>
      </c>
      <c r="B7" s="7">
        <v>7</v>
      </c>
      <c r="C7" s="7">
        <v>0</v>
      </c>
      <c r="D7" s="7">
        <v>0</v>
      </c>
      <c r="E7" s="10">
        <v>70</v>
      </c>
    </row>
    <row r="8" spans="1:6">
      <c r="A8" s="4" t="s">
        <v>91</v>
      </c>
      <c r="B8" s="7">
        <v>5</v>
      </c>
      <c r="C8" s="7">
        <v>0</v>
      </c>
      <c r="D8" s="7">
        <v>3</v>
      </c>
      <c r="E8" s="10">
        <v>125.75</v>
      </c>
    </row>
    <row r="9" spans="1:6">
      <c r="A9" s="4" t="s">
        <v>92</v>
      </c>
      <c r="B9" s="7">
        <v>4</v>
      </c>
      <c r="C9" s="7">
        <v>3</v>
      </c>
      <c r="D9" s="7">
        <v>0</v>
      </c>
      <c r="E9" s="10">
        <v>145</v>
      </c>
    </row>
  </sheetData>
  <mergeCells count="1">
    <mergeCell ref="A2:F2"/>
  </mergeCells>
  <pageMargins left="0.7" right="0.7" top="0.75" bottom="0.75" header="0.3" footer="0.3"/>
  <pageSetup paperSize="9" fitToHeight="0" orientation="landscape"/>
  <drawing r:id="rId1"/>
</worksheet>
</file>

<file path=xl/worksheets/sheet12.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156</v>
      </c>
    </row>
    <row r="2" spans="1:6" ht="42" customHeight="1">
      <c r="A2" s="6" t="s">
        <v>157</v>
      </c>
      <c r="B2" s="6"/>
      <c r="C2" s="6"/>
      <c r="D2" s="6"/>
      <c r="E2" s="6"/>
      <c r="F2" s="6"/>
    </row>
    <row r="4" spans="1:6" ht="45" customHeight="1">
      <c r="A4" s="3" t="s">
        <v>158</v>
      </c>
      <c r="B4" s="3" t="s">
        <v>159</v>
      </c>
      <c r="C4" s="3" t="s">
        <v>160</v>
      </c>
    </row>
    <row r="5" spans="1:6">
      <c r="A5" s="4" t="s">
        <v>161</v>
      </c>
      <c r="B5" s="7">
        <v>600</v>
      </c>
      <c r="C5" s="7">
        <v>0</v>
      </c>
    </row>
    <row r="6" spans="1:6">
      <c r="A6" s="4" t="s">
        <v>162</v>
      </c>
      <c r="B6" s="7">
        <v>360</v>
      </c>
      <c r="C6" s="7">
        <v>0</v>
      </c>
    </row>
    <row r="7" spans="1:6">
      <c r="A7" s="4" t="s">
        <v>163</v>
      </c>
      <c r="B7" s="7">
        <v>180</v>
      </c>
      <c r="C7" s="7">
        <v>0</v>
      </c>
    </row>
    <row r="8" spans="1:6">
      <c r="A8" s="4" t="s">
        <v>164</v>
      </c>
      <c r="B8" s="7">
        <v>300</v>
      </c>
      <c r="C8" s="7">
        <v>20</v>
      </c>
    </row>
    <row r="9" spans="1:6">
      <c r="A9" s="4" t="s">
        <v>165</v>
      </c>
      <c r="B9" s="7">
        <v>270</v>
      </c>
      <c r="C9" s="7">
        <v>15</v>
      </c>
    </row>
    <row r="10" spans="1:6">
      <c r="A10" s="4" t="s">
        <v>166</v>
      </c>
      <c r="B10" s="7">
        <v>240</v>
      </c>
      <c r="C10" s="7">
        <v>12</v>
      </c>
    </row>
    <row r="11" spans="1:6">
      <c r="A11" s="4" t="s">
        <v>167</v>
      </c>
      <c r="B11" s="7">
        <v>240</v>
      </c>
      <c r="C11" s="7">
        <v>10</v>
      </c>
    </row>
    <row r="12" spans="1:6">
      <c r="A12" s="4" t="s">
        <v>168</v>
      </c>
      <c r="B12" s="7">
        <v>150</v>
      </c>
      <c r="C12" s="7">
        <v>0</v>
      </c>
    </row>
  </sheetData>
  <mergeCells count="1">
    <mergeCell ref="A2:F2"/>
  </mergeCells>
  <pageMargins left="0.7" right="0.7" top="0.75" bottom="0.75" header="0.3" footer="0.3"/>
  <pageSetup paperSize="9" fitToHeight="0" orientation="landscape"/>
  <drawing r:id="rId1"/>
</worksheet>
</file>

<file path=xl/worksheets/sheet13.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169</v>
      </c>
    </row>
    <row r="2" spans="1:6" ht="42" customHeight="1">
      <c r="A2" s="6" t="s">
        <v>170</v>
      </c>
      <c r="B2" s="6"/>
      <c r="C2" s="6"/>
      <c r="D2" s="6"/>
      <c r="E2" s="6"/>
      <c r="F2" s="6"/>
    </row>
    <row r="4" spans="1:6" ht="45" customHeight="1">
      <c r="A4" s="3" t="s">
        <v>171</v>
      </c>
      <c r="B4" s="3" t="s">
        <v>172</v>
      </c>
      <c r="C4" s="3" t="s">
        <v>173</v>
      </c>
      <c r="D4" s="3" t="s">
        <v>174</v>
      </c>
    </row>
    <row r="5" spans="1:6">
      <c r="A5" s="4" t="s">
        <v>175</v>
      </c>
      <c r="B5" s="7">
        <v>2</v>
      </c>
      <c r="C5" s="7">
        <v>0</v>
      </c>
      <c r="D5" s="7">
        <v>0</v>
      </c>
    </row>
    <row r="6" spans="1:6">
      <c r="A6" s="4" t="s">
        <v>176</v>
      </c>
      <c r="B6" s="7">
        <v>2</v>
      </c>
      <c r="C6" s="7">
        <v>1</v>
      </c>
      <c r="D6" s="7">
        <v>1</v>
      </c>
    </row>
    <row r="7" spans="1:6">
      <c r="A7" s="4" t="s">
        <v>177</v>
      </c>
      <c r="B7" s="7">
        <v>5</v>
      </c>
      <c r="C7" s="7">
        <v>0</v>
      </c>
      <c r="D7" s="7">
        <v>5</v>
      </c>
    </row>
    <row r="8" spans="1:6">
      <c r="A8" s="4" t="s">
        <v>178</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14.xml><?xml version="1.0" encoding="utf-8"?>
<worksheet xmlns="http://schemas.openxmlformats.org/spreadsheetml/2006/main" xmlns:r="http://schemas.openxmlformats.org/officeDocument/2006/relationships">
  <sheetPr>
    <pageSetUpPr fitToPage="1"/>
  </sheetPr>
  <dimension ref="A1:F10"/>
  <sheetViews>
    <sheetView workbookViewId="0"/>
  </sheetViews>
  <sheetFormatPr defaultRowHeight="15"/>
  <cols>
    <col min="1" max="1" width="42.7109375" customWidth="1"/>
    <col min="2" max="5" width="17.7109375" customWidth="1"/>
  </cols>
  <sheetData>
    <row r="1" spans="1:6">
      <c r="A1" s="1" t="s">
        <v>179</v>
      </c>
    </row>
    <row r="2" spans="1:6" ht="42" customHeight="1">
      <c r="A2" s="6" t="s">
        <v>180</v>
      </c>
      <c r="B2" s="6"/>
      <c r="C2" s="6"/>
      <c r="D2" s="6"/>
      <c r="E2" s="6"/>
      <c r="F2" s="6"/>
    </row>
    <row r="4" spans="1:6" ht="45" customHeight="1">
      <c r="A4" s="3" t="s">
        <v>79</v>
      </c>
      <c r="B4" s="3" t="s">
        <v>181</v>
      </c>
      <c r="C4" s="3" t="s">
        <v>182</v>
      </c>
      <c r="D4" s="3" t="s">
        <v>183</v>
      </c>
      <c r="E4" s="3" t="s">
        <v>184</v>
      </c>
    </row>
    <row r="5" spans="1:6">
      <c r="A5" s="4" t="s">
        <v>88</v>
      </c>
      <c r="B5" s="7">
        <v>1</v>
      </c>
      <c r="C5" s="7">
        <v>0</v>
      </c>
      <c r="D5" s="7">
        <v>0</v>
      </c>
      <c r="E5" s="7">
        <v>1</v>
      </c>
    </row>
    <row r="6" spans="1:6">
      <c r="A6" s="4" t="s">
        <v>89</v>
      </c>
      <c r="B6" s="7">
        <v>0</v>
      </c>
      <c r="C6" s="7">
        <v>0</v>
      </c>
      <c r="D6" s="7">
        <v>0</v>
      </c>
      <c r="E6" s="7">
        <v>1</v>
      </c>
    </row>
    <row r="7" spans="1:6">
      <c r="A7" s="4" t="s">
        <v>90</v>
      </c>
      <c r="B7" s="7">
        <v>2</v>
      </c>
      <c r="C7" s="7">
        <v>1</v>
      </c>
      <c r="D7" s="7">
        <v>0</v>
      </c>
      <c r="E7" s="7">
        <v>4</v>
      </c>
    </row>
    <row r="8" spans="1:6">
      <c r="A8" s="4" t="s">
        <v>91</v>
      </c>
      <c r="B8" s="7">
        <v>0</v>
      </c>
      <c r="C8" s="7">
        <v>5</v>
      </c>
      <c r="D8" s="7">
        <v>0</v>
      </c>
      <c r="E8" s="7">
        <v>9</v>
      </c>
    </row>
    <row r="9" spans="1:6">
      <c r="A9" s="4" t="s">
        <v>92</v>
      </c>
      <c r="B9" s="7">
        <v>1</v>
      </c>
      <c r="C9" s="7">
        <v>0</v>
      </c>
      <c r="D9" s="7">
        <v>1</v>
      </c>
      <c r="E9" s="7">
        <v>11</v>
      </c>
    </row>
    <row r="10" spans="1:6">
      <c r="A10" s="4" t="s">
        <v>185</v>
      </c>
      <c r="B10" s="7">
        <v>0</v>
      </c>
      <c r="C10" s="7">
        <v>0</v>
      </c>
      <c r="D10" s="7">
        <v>1</v>
      </c>
      <c r="E10" s="7">
        <v>12</v>
      </c>
    </row>
  </sheetData>
  <mergeCells count="1">
    <mergeCell ref="A2:F2"/>
  </mergeCells>
  <pageMargins left="0.7" right="0.7" top="0.75" bottom="0.75" header="0.3" footer="0.3"/>
  <pageSetup paperSize="9" fitToHeight="0" orientation="landscape"/>
  <drawing r:id="rId1"/>
</worksheet>
</file>

<file path=xl/worksheets/sheet15.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186</v>
      </c>
    </row>
    <row r="2" spans="1:6" ht="42" customHeight="1">
      <c r="A2" s="6" t="s">
        <v>187</v>
      </c>
      <c r="B2" s="6"/>
      <c r="C2" s="6"/>
      <c r="D2" s="6"/>
      <c r="E2" s="6"/>
      <c r="F2" s="6"/>
    </row>
    <row r="4" spans="1:6" ht="45" customHeight="1">
      <c r="A4" s="3" t="s">
        <v>188</v>
      </c>
      <c r="B4" s="3" t="s">
        <v>189</v>
      </c>
    </row>
    <row r="5" spans="1:6">
      <c r="A5" s="4" t="s">
        <v>163</v>
      </c>
      <c r="B5" s="7">
        <v>5</v>
      </c>
    </row>
    <row r="6" spans="1:6">
      <c r="A6" s="4" t="s">
        <v>190</v>
      </c>
      <c r="B6" s="7">
        <v>2</v>
      </c>
    </row>
    <row r="7" spans="1:6">
      <c r="A7" s="4" t="s">
        <v>178</v>
      </c>
      <c r="B7" s="7">
        <v>1</v>
      </c>
    </row>
    <row r="8" spans="1:6">
      <c r="A8" s="4" t="s">
        <v>191</v>
      </c>
      <c r="B8" s="7">
        <v>2</v>
      </c>
    </row>
    <row r="9" spans="1:6">
      <c r="A9" s="4" t="s">
        <v>192</v>
      </c>
      <c r="B9" s="7">
        <v>1</v>
      </c>
    </row>
  </sheetData>
  <mergeCells count="1">
    <mergeCell ref="A2:F2"/>
  </mergeCells>
  <pageMargins left="0.7" right="0.7" top="0.75" bottom="0.75" header="0.3" footer="0.3"/>
  <pageSetup paperSize="9" fitToHeight="0" orientation="landscape"/>
  <drawing r:id="rId1"/>
</worksheet>
</file>

<file path=xl/worksheets/sheet16.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193</v>
      </c>
    </row>
    <row r="2" spans="1:6" ht="42" customHeight="1">
      <c r="A2" s="6" t="s">
        <v>194</v>
      </c>
      <c r="B2" s="6"/>
      <c r="C2" s="6"/>
      <c r="D2" s="6"/>
      <c r="E2" s="6"/>
      <c r="F2" s="6"/>
    </row>
    <row r="4" spans="1:6" ht="45" customHeight="1">
      <c r="A4" s="3" t="s">
        <v>195</v>
      </c>
      <c r="B4" s="3" t="s">
        <v>196</v>
      </c>
      <c r="C4" s="3" t="s">
        <v>197</v>
      </c>
    </row>
    <row r="5" spans="1:6">
      <c r="A5" s="4" t="s">
        <v>198</v>
      </c>
      <c r="B5" s="7">
        <v>38</v>
      </c>
      <c r="C5" s="7">
        <v>31</v>
      </c>
    </row>
    <row r="6" spans="1:6">
      <c r="A6" s="4" t="s">
        <v>199</v>
      </c>
      <c r="B6" s="7">
        <v>11</v>
      </c>
      <c r="C6" s="7">
        <v>8</v>
      </c>
    </row>
    <row r="7" spans="1:6">
      <c r="A7" s="4" t="s">
        <v>200</v>
      </c>
      <c r="B7" s="7">
        <v>1</v>
      </c>
      <c r="C7" s="7">
        <v>0</v>
      </c>
    </row>
  </sheetData>
  <mergeCells count="1">
    <mergeCell ref="A2:F2"/>
  </mergeCells>
  <pageMargins left="0.7" right="0.7" top="0.75" bottom="0.75" header="0.3" footer="0.3"/>
  <pageSetup paperSize="9" fitToHeight="0" orientation="landscape"/>
  <drawing r:id="rId1"/>
</worksheet>
</file>

<file path=xl/worksheets/sheet17.xml><?xml version="1.0" encoding="utf-8"?>
<worksheet xmlns="http://schemas.openxmlformats.org/spreadsheetml/2006/main" xmlns:r="http://schemas.openxmlformats.org/officeDocument/2006/relationships">
  <sheetPr>
    <pageSetUpPr fitToPage="1"/>
  </sheetPr>
  <dimension ref="A1:F14"/>
  <sheetViews>
    <sheetView workbookViewId="0"/>
  </sheetViews>
  <sheetFormatPr defaultRowHeight="15"/>
  <cols>
    <col min="1" max="1" width="42.7109375" customWidth="1"/>
    <col min="2" max="5" width="17.7109375" customWidth="1"/>
  </cols>
  <sheetData>
    <row r="1" spans="1:6">
      <c r="A1" s="1" t="s">
        <v>201</v>
      </c>
    </row>
    <row r="2" spans="1:6" ht="42" customHeight="1">
      <c r="A2" s="6" t="s">
        <v>202</v>
      </c>
      <c r="B2" s="6"/>
      <c r="C2" s="6"/>
      <c r="D2" s="6"/>
      <c r="E2" s="6"/>
      <c r="F2" s="6"/>
    </row>
    <row r="4" spans="1:6" ht="45" customHeight="1">
      <c r="A4" s="3" t="s">
        <v>203</v>
      </c>
      <c r="B4" s="3" t="s">
        <v>204</v>
      </c>
      <c r="C4" s="3" t="s">
        <v>205</v>
      </c>
      <c r="D4" s="3" t="s">
        <v>206</v>
      </c>
      <c r="E4" s="3" t="s">
        <v>207</v>
      </c>
    </row>
    <row r="5" spans="1:6">
      <c r="A5" s="4" t="s">
        <v>208</v>
      </c>
      <c r="B5" s="4" t="s">
        <v>209</v>
      </c>
      <c r="C5" s="7">
        <v>30</v>
      </c>
      <c r="D5" s="7">
        <v>85</v>
      </c>
      <c r="E5" s="12">
        <v>2.833333333333333</v>
      </c>
    </row>
    <row r="6" spans="1:6">
      <c r="A6" s="4" t="s">
        <v>210</v>
      </c>
      <c r="B6" s="4" t="s">
        <v>209</v>
      </c>
      <c r="C6" s="7">
        <v>3</v>
      </c>
      <c r="D6" s="7">
        <v>8</v>
      </c>
      <c r="E6" s="12">
        <v>2.666666666666667</v>
      </c>
    </row>
    <row r="7" spans="1:6">
      <c r="A7" s="4" t="s">
        <v>211</v>
      </c>
      <c r="B7" s="4" t="s">
        <v>209</v>
      </c>
      <c r="C7" s="7">
        <v>60</v>
      </c>
      <c r="D7" s="7">
        <v>134</v>
      </c>
      <c r="E7" s="12">
        <v>2.233333333333333</v>
      </c>
    </row>
    <row r="8" spans="1:6">
      <c r="A8" s="4" t="s">
        <v>212</v>
      </c>
      <c r="B8" s="4" t="s">
        <v>209</v>
      </c>
      <c r="C8" s="7">
        <v>110</v>
      </c>
      <c r="D8" s="7">
        <v>181</v>
      </c>
      <c r="E8" s="12">
        <v>1.645454545454546</v>
      </c>
    </row>
    <row r="9" spans="1:6">
      <c r="A9" s="4" t="s">
        <v>213</v>
      </c>
      <c r="B9" s="4" t="s">
        <v>214</v>
      </c>
      <c r="C9" s="7">
        <v>2</v>
      </c>
      <c r="D9" s="7">
        <v>3</v>
      </c>
      <c r="E9" s="12">
        <v>1.5</v>
      </c>
    </row>
    <row r="10" spans="1:6">
      <c r="A10" s="4" t="s">
        <v>83</v>
      </c>
      <c r="B10" s="4" t="s">
        <v>214</v>
      </c>
      <c r="C10" s="7">
        <v>14</v>
      </c>
      <c r="D10" s="7">
        <v>15</v>
      </c>
      <c r="E10" s="12">
        <v>1.071428571428571</v>
      </c>
    </row>
    <row r="11" spans="1:6">
      <c r="A11" s="4" t="s">
        <v>215</v>
      </c>
      <c r="B11" s="4" t="s">
        <v>209</v>
      </c>
      <c r="C11" s="7">
        <v>11</v>
      </c>
      <c r="D11" s="7">
        <v>10</v>
      </c>
      <c r="E11" s="12">
        <v>0.9090909090909091</v>
      </c>
    </row>
    <row r="12" spans="1:6">
      <c r="A12" s="4" t="s">
        <v>216</v>
      </c>
      <c r="B12" s="4" t="s">
        <v>214</v>
      </c>
      <c r="C12" s="7">
        <v>20</v>
      </c>
      <c r="D12" s="7">
        <v>18</v>
      </c>
      <c r="E12" s="12">
        <v>0.9</v>
      </c>
    </row>
    <row r="13" spans="1:6">
      <c r="A13" s="4" t="s">
        <v>217</v>
      </c>
      <c r="B13" s="4" t="s">
        <v>218</v>
      </c>
      <c r="C13" s="7">
        <v>4</v>
      </c>
      <c r="D13" s="7">
        <v>6</v>
      </c>
      <c r="E13" s="12">
        <v>1.5</v>
      </c>
    </row>
    <row r="14" spans="1:6">
      <c r="A14" s="4" t="s">
        <v>219</v>
      </c>
      <c r="B14" s="4" t="s">
        <v>218</v>
      </c>
      <c r="C14" s="7">
        <v>1</v>
      </c>
      <c r="D14" s="7">
        <v>0</v>
      </c>
      <c r="E14" s="12">
        <v>0</v>
      </c>
    </row>
  </sheetData>
  <mergeCells count="1">
    <mergeCell ref="A2:F2"/>
  </mergeCells>
  <pageMargins left="0.7" right="0.7" top="0.75" bottom="0.75" header="0.3" footer="0.3"/>
  <pageSetup paperSize="9" fitToHeight="0" orientation="landscape"/>
  <drawing r:id="rId1"/>
</worksheet>
</file>

<file path=xl/worksheets/sheet18.xml><?xml version="1.0" encoding="utf-8"?>
<worksheet xmlns="http://schemas.openxmlformats.org/spreadsheetml/2006/main" xmlns:r="http://schemas.openxmlformats.org/officeDocument/2006/relationships">
  <dimension ref="A1:D32"/>
  <sheetViews>
    <sheetView workbookViewId="0"/>
  </sheetViews>
  <sheetFormatPr defaultRowHeight="15"/>
  <cols>
    <col min="1" max="1" width="32.7109375" customWidth="1"/>
    <col min="2" max="3" width="55.7109375" customWidth="1"/>
    <col min="4" max="4" width="50.7109375" customWidth="1"/>
  </cols>
  <sheetData>
    <row r="1" spans="1:4">
      <c r="A1" s="1" t="s">
        <v>220</v>
      </c>
    </row>
    <row r="3" spans="1:4">
      <c r="A3" s="3" t="s">
        <v>221</v>
      </c>
      <c r="B3" s="3" t="s">
        <v>222</v>
      </c>
      <c r="C3" s="3" t="s">
        <v>223</v>
      </c>
      <c r="D3" s="3" t="s">
        <v>224</v>
      </c>
    </row>
    <row r="4" spans="1:4">
      <c r="A4" s="4" t="s">
        <v>225</v>
      </c>
      <c r="B4" s="4" t="s">
        <v>226</v>
      </c>
      <c r="C4" s="4" t="s">
        <v>227</v>
      </c>
      <c r="D4" s="4" t="s">
        <v>228</v>
      </c>
    </row>
    <row r="5" spans="1:4">
      <c r="A5" s="4" t="s">
        <v>229</v>
      </c>
      <c r="B5" s="4" t="s">
        <v>230</v>
      </c>
      <c r="C5" s="4" t="s">
        <v>231</v>
      </c>
      <c r="D5" s="4" t="s">
        <v>232</v>
      </c>
    </row>
    <row r="6" spans="1:4">
      <c r="A6" s="4" t="s">
        <v>233</v>
      </c>
      <c r="B6" s="4" t="s">
        <v>234</v>
      </c>
      <c r="C6" s="4" t="s">
        <v>235</v>
      </c>
      <c r="D6" s="4" t="s">
        <v>236</v>
      </c>
    </row>
    <row r="7" spans="1:4">
      <c r="A7" s="4" t="s">
        <v>237</v>
      </c>
      <c r="B7" s="4" t="s">
        <v>238</v>
      </c>
      <c r="C7" s="4" t="s">
        <v>239</v>
      </c>
      <c r="D7" s="4" t="s">
        <v>240</v>
      </c>
    </row>
    <row r="8" spans="1:4">
      <c r="A8" s="4" t="s">
        <v>241</v>
      </c>
      <c r="B8" s="4" t="s">
        <v>242</v>
      </c>
      <c r="C8" s="4" t="s">
        <v>243</v>
      </c>
      <c r="D8" s="4" t="s">
        <v>244</v>
      </c>
    </row>
    <row r="9" spans="1:4">
      <c r="A9" s="4" t="s">
        <v>245</v>
      </c>
      <c r="B9" s="4" t="s">
        <v>246</v>
      </c>
      <c r="C9" s="4" t="s">
        <v>247</v>
      </c>
      <c r="D9" s="4" t="s">
        <v>248</v>
      </c>
    </row>
    <row r="10" spans="1:4">
      <c r="A10" s="4" t="s">
        <v>249</v>
      </c>
      <c r="B10" s="4" t="s">
        <v>250</v>
      </c>
      <c r="C10" s="4" t="s">
        <v>251</v>
      </c>
      <c r="D10" s="4" t="s">
        <v>252</v>
      </c>
    </row>
    <row r="11" spans="1:4">
      <c r="A11" s="4" t="s">
        <v>253</v>
      </c>
      <c r="B11" s="4" t="s">
        <v>254</v>
      </c>
      <c r="C11" s="4" t="s">
        <v>255</v>
      </c>
      <c r="D11" s="4" t="s">
        <v>256</v>
      </c>
    </row>
    <row r="12" spans="1:4">
      <c r="A12" s="4" t="s">
        <v>257</v>
      </c>
      <c r="B12" s="4" t="s">
        <v>258</v>
      </c>
      <c r="C12" s="4" t="s">
        <v>259</v>
      </c>
      <c r="D12" s="4" t="s">
        <v>260</v>
      </c>
    </row>
    <row r="13" spans="1:4">
      <c r="A13" s="4" t="s">
        <v>261</v>
      </c>
      <c r="B13" s="4" t="s">
        <v>262</v>
      </c>
      <c r="C13" s="4" t="s">
        <v>263</v>
      </c>
      <c r="D13" s="4" t="s">
        <v>264</v>
      </c>
    </row>
    <row r="14" spans="1:4">
      <c r="A14" s="4" t="s">
        <v>265</v>
      </c>
      <c r="B14" s="4" t="s">
        <v>266</v>
      </c>
      <c r="C14" s="4" t="s">
        <v>267</v>
      </c>
      <c r="D14" s="4" t="s">
        <v>228</v>
      </c>
    </row>
    <row r="15" spans="1:4">
      <c r="A15" s="4" t="s">
        <v>268</v>
      </c>
      <c r="B15" s="4" t="s">
        <v>269</v>
      </c>
      <c r="C15" s="4" t="s">
        <v>270</v>
      </c>
      <c r="D15" s="4" t="s">
        <v>271</v>
      </c>
    </row>
    <row r="16" spans="1:4">
      <c r="A16" s="4" t="s">
        <v>272</v>
      </c>
      <c r="B16" s="4" t="s">
        <v>273</v>
      </c>
      <c r="C16" s="4" t="s">
        <v>274</v>
      </c>
      <c r="D16" s="4" t="s">
        <v>275</v>
      </c>
    </row>
    <row r="17" spans="1:4">
      <c r="A17" s="4" t="s">
        <v>276</v>
      </c>
      <c r="B17" s="4" t="s">
        <v>88</v>
      </c>
      <c r="C17" s="4" t="s">
        <v>89</v>
      </c>
      <c r="D17" s="4" t="s">
        <v>277</v>
      </c>
    </row>
    <row r="18" spans="1:4">
      <c r="A18" s="4" t="s">
        <v>278</v>
      </c>
      <c r="B18" s="4" t="s">
        <v>279</v>
      </c>
      <c r="C18" s="4" t="s">
        <v>280</v>
      </c>
      <c r="D18" s="4" t="s">
        <v>281</v>
      </c>
    </row>
    <row r="19" spans="1:4">
      <c r="A19" s="4" t="s">
        <v>282</v>
      </c>
      <c r="B19" s="4" t="s">
        <v>283</v>
      </c>
      <c r="C19" s="4" t="s">
        <v>284</v>
      </c>
      <c r="D19" s="4" t="s">
        <v>285</v>
      </c>
    </row>
    <row r="20" spans="1:4">
      <c r="A20" s="4" t="s">
        <v>286</v>
      </c>
      <c r="B20" s="4" t="s">
        <v>287</v>
      </c>
      <c r="C20" s="4" t="s">
        <v>288</v>
      </c>
      <c r="D20" s="4" t="s">
        <v>289</v>
      </c>
    </row>
    <row r="21" spans="1:4">
      <c r="A21" s="4" t="s">
        <v>290</v>
      </c>
      <c r="B21" s="4" t="s">
        <v>291</v>
      </c>
      <c r="C21" s="4" t="s">
        <v>292</v>
      </c>
      <c r="D21" s="4" t="s">
        <v>293</v>
      </c>
    </row>
    <row r="22" spans="1:4">
      <c r="A22" s="4" t="s">
        <v>294</v>
      </c>
      <c r="B22" s="4" t="s">
        <v>295</v>
      </c>
      <c r="C22" s="4" t="s">
        <v>296</v>
      </c>
      <c r="D22" s="4" t="s">
        <v>297</v>
      </c>
    </row>
    <row r="23" spans="1:4">
      <c r="A23" s="4" t="s">
        <v>298</v>
      </c>
      <c r="B23" s="4" t="s">
        <v>299</v>
      </c>
      <c r="C23" s="4" t="s">
        <v>300</v>
      </c>
      <c r="D23" s="4" t="s">
        <v>301</v>
      </c>
    </row>
    <row r="24" spans="1:4">
      <c r="A24" s="4" t="s">
        <v>302</v>
      </c>
      <c r="B24" s="4" t="s">
        <v>303</v>
      </c>
      <c r="C24" s="4" t="s">
        <v>304</v>
      </c>
      <c r="D24" s="4" t="s">
        <v>305</v>
      </c>
    </row>
    <row r="25" spans="1:4">
      <c r="A25" s="4" t="s">
        <v>306</v>
      </c>
      <c r="B25" s="4" t="s">
        <v>307</v>
      </c>
      <c r="C25" s="4" t="s">
        <v>308</v>
      </c>
      <c r="D25" s="4" t="s">
        <v>309</v>
      </c>
    </row>
    <row r="26" spans="1:4">
      <c r="A26" s="4" t="s">
        <v>310</v>
      </c>
      <c r="B26" s="4" t="s">
        <v>311</v>
      </c>
      <c r="C26" s="4" t="s">
        <v>312</v>
      </c>
      <c r="D26" s="4" t="s">
        <v>313</v>
      </c>
    </row>
    <row r="27" spans="1:4">
      <c r="A27" s="4" t="s">
        <v>314</v>
      </c>
      <c r="B27" s="4" t="s">
        <v>315</v>
      </c>
      <c r="C27" s="4" t="s">
        <v>316</v>
      </c>
      <c r="D27" s="4" t="s">
        <v>317</v>
      </c>
    </row>
    <row r="28" spans="1:4">
      <c r="A28" s="4" t="s">
        <v>318</v>
      </c>
      <c r="B28" s="4" t="s">
        <v>319</v>
      </c>
      <c r="C28" s="4" t="s">
        <v>320</v>
      </c>
      <c r="D28" s="4" t="s">
        <v>321</v>
      </c>
    </row>
    <row r="29" spans="1:4">
      <c r="A29" s="4" t="s">
        <v>322</v>
      </c>
      <c r="B29" s="4"/>
      <c r="C29" s="4" t="s">
        <v>323</v>
      </c>
      <c r="D29" s="4" t="s">
        <v>324</v>
      </c>
    </row>
    <row r="30" spans="1:4">
      <c r="A30" s="4" t="s">
        <v>325</v>
      </c>
      <c r="B30" s="4" t="s">
        <v>326</v>
      </c>
      <c r="C30" s="4" t="s">
        <v>327</v>
      </c>
      <c r="D30" s="4" t="s">
        <v>328</v>
      </c>
    </row>
    <row r="31" spans="1:4">
      <c r="A31" s="4" t="s">
        <v>329</v>
      </c>
      <c r="B31" s="4"/>
      <c r="C31" s="4" t="s">
        <v>330</v>
      </c>
      <c r="D31" s="4"/>
    </row>
    <row r="32" spans="1:4">
      <c r="A32" s="4" t="s">
        <v>331</v>
      </c>
      <c r="B32" s="4" t="s">
        <v>332</v>
      </c>
      <c r="C32" s="4" t="s">
        <v>333</v>
      </c>
      <c r="D32" s="4" t="s">
        <v>334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335</v>
      </c>
    </row>
    <row r="3" spans="1:9">
      <c r="A3" s="3" t="s">
        <v>336</v>
      </c>
      <c r="B3" s="3" t="s">
        <v>79</v>
      </c>
      <c r="C3" s="3" t="s">
        <v>337</v>
      </c>
      <c r="D3" s="3" t="s">
        <v>338</v>
      </c>
      <c r="E3" s="3" t="s">
        <v>339</v>
      </c>
      <c r="F3" s="3" t="s">
        <v>340</v>
      </c>
      <c r="G3" s="3" t="s">
        <v>341</v>
      </c>
      <c r="H3" s="3" t="s">
        <v>188</v>
      </c>
      <c r="I3" s="3" t="s">
        <v>342</v>
      </c>
    </row>
    <row r="4" spans="1:9">
      <c r="A4" s="4" t="s">
        <v>343</v>
      </c>
      <c r="B4" s="4">
        <v>2021</v>
      </c>
      <c r="C4" s="4" t="s">
        <v>71</v>
      </c>
      <c r="D4" s="4" t="s">
        <v>344</v>
      </c>
      <c r="E4" s="4" t="s">
        <v>345</v>
      </c>
      <c r="F4" s="10">
        <v>0</v>
      </c>
      <c r="G4" s="4"/>
      <c r="H4" s="4"/>
      <c r="I4" s="4"/>
    </row>
    <row r="5" spans="1:9">
      <c r="A5" s="4" t="s">
        <v>346</v>
      </c>
      <c r="B5" s="4">
        <v>2021</v>
      </c>
      <c r="C5" s="4" t="s">
        <v>71</v>
      </c>
      <c r="D5" s="4" t="s">
        <v>344</v>
      </c>
      <c r="E5" s="4" t="s">
        <v>345</v>
      </c>
      <c r="F5" s="10">
        <v>0</v>
      </c>
      <c r="G5" s="4"/>
      <c r="H5" s="4"/>
      <c r="I5" s="4"/>
    </row>
    <row r="6" spans="1:9">
      <c r="A6" s="4" t="s">
        <v>347</v>
      </c>
      <c r="B6" s="4">
        <v>2021</v>
      </c>
      <c r="C6" s="4" t="s">
        <v>71</v>
      </c>
      <c r="D6" s="4" t="s">
        <v>348</v>
      </c>
      <c r="E6" s="4" t="s">
        <v>345</v>
      </c>
      <c r="F6" s="10">
        <v>0</v>
      </c>
      <c r="G6" s="4"/>
      <c r="H6" s="4"/>
      <c r="I6" s="4"/>
    </row>
    <row r="7" spans="1:9">
      <c r="A7" s="4" t="s">
        <v>349</v>
      </c>
      <c r="B7" s="4">
        <v>2021</v>
      </c>
      <c r="C7" s="4" t="s">
        <v>71</v>
      </c>
      <c r="D7" s="4" t="s">
        <v>344</v>
      </c>
      <c r="E7" s="4" t="s">
        <v>345</v>
      </c>
      <c r="F7" s="10">
        <v>0</v>
      </c>
      <c r="G7" s="4"/>
      <c r="H7" s="4"/>
      <c r="I7" s="4"/>
    </row>
    <row r="8" spans="1:9">
      <c r="A8" s="4" t="s">
        <v>350</v>
      </c>
      <c r="B8" s="4">
        <v>2021</v>
      </c>
      <c r="C8" s="4" t="s">
        <v>71</v>
      </c>
      <c r="D8" s="4" t="s">
        <v>344</v>
      </c>
      <c r="E8" s="4" t="s">
        <v>345</v>
      </c>
      <c r="F8" s="10">
        <v>0</v>
      </c>
      <c r="G8" s="4"/>
      <c r="H8" s="4"/>
      <c r="I8" s="4"/>
    </row>
    <row r="9" spans="1:9">
      <c r="A9" s="4" t="s">
        <v>351</v>
      </c>
      <c r="B9" s="4">
        <v>2021</v>
      </c>
      <c r="C9" s="4" t="s">
        <v>70</v>
      </c>
      <c r="D9" s="4" t="s">
        <v>344</v>
      </c>
      <c r="E9" s="4" t="s">
        <v>345</v>
      </c>
      <c r="F9" s="10">
        <v>0</v>
      </c>
      <c r="G9" s="4"/>
      <c r="H9" s="4"/>
      <c r="I9" s="4"/>
    </row>
    <row r="10" spans="1:9">
      <c r="A10" s="4" t="s">
        <v>352</v>
      </c>
      <c r="B10" s="4">
        <v>2022</v>
      </c>
      <c r="C10" s="4" t="s">
        <v>353</v>
      </c>
      <c r="D10" s="4" t="s">
        <v>348</v>
      </c>
      <c r="E10" s="4" t="s">
        <v>345</v>
      </c>
      <c r="F10" s="10">
        <v>0</v>
      </c>
      <c r="G10" s="4"/>
      <c r="H10" s="4"/>
      <c r="I10" s="4"/>
    </row>
    <row r="11" spans="1:9">
      <c r="A11" s="4" t="s">
        <v>354</v>
      </c>
      <c r="B11" s="4">
        <v>2022</v>
      </c>
      <c r="C11" s="4" t="s">
        <v>70</v>
      </c>
      <c r="D11" s="4" t="s">
        <v>344</v>
      </c>
      <c r="E11" s="4" t="s">
        <v>345</v>
      </c>
      <c r="F11" s="10">
        <v>0</v>
      </c>
      <c r="G11" s="4"/>
      <c r="H11" s="4"/>
      <c r="I11" s="4"/>
    </row>
    <row r="12" spans="1:9">
      <c r="A12" s="4" t="s">
        <v>355</v>
      </c>
      <c r="B12" s="4">
        <v>2022</v>
      </c>
      <c r="C12" s="4" t="s">
        <v>71</v>
      </c>
      <c r="D12" s="4" t="s">
        <v>348</v>
      </c>
      <c r="E12" s="4" t="s">
        <v>345</v>
      </c>
      <c r="F12" s="10">
        <v>0</v>
      </c>
      <c r="G12" s="4"/>
      <c r="H12" s="4"/>
      <c r="I12" s="4"/>
    </row>
    <row r="13" spans="1:9">
      <c r="A13" s="4" t="s">
        <v>356</v>
      </c>
      <c r="B13" s="4">
        <v>2022</v>
      </c>
      <c r="C13" s="4" t="s">
        <v>71</v>
      </c>
      <c r="D13" s="4" t="s">
        <v>348</v>
      </c>
      <c r="E13" s="4" t="s">
        <v>345</v>
      </c>
      <c r="F13" s="10">
        <v>0</v>
      </c>
      <c r="G13" s="4"/>
      <c r="H13" s="4"/>
      <c r="I13" s="4"/>
    </row>
    <row r="14" spans="1:9">
      <c r="A14" s="4" t="s">
        <v>357</v>
      </c>
      <c r="B14" s="4">
        <v>2022</v>
      </c>
      <c r="C14" s="4" t="s">
        <v>71</v>
      </c>
      <c r="D14" s="4" t="s">
        <v>348</v>
      </c>
      <c r="E14" s="4" t="s">
        <v>345</v>
      </c>
      <c r="F14" s="10">
        <v>0</v>
      </c>
      <c r="G14" s="4"/>
      <c r="H14" s="4"/>
      <c r="I14" s="4"/>
    </row>
    <row r="15" spans="1:9">
      <c r="A15" s="4" t="s">
        <v>358</v>
      </c>
      <c r="B15" s="4">
        <v>2022</v>
      </c>
      <c r="C15" s="4" t="s">
        <v>71</v>
      </c>
      <c r="D15" s="4" t="s">
        <v>348</v>
      </c>
      <c r="E15" s="4" t="s">
        <v>345</v>
      </c>
      <c r="F15" s="10">
        <v>0</v>
      </c>
      <c r="G15" s="4"/>
      <c r="H15" s="4"/>
      <c r="I15" s="4"/>
    </row>
    <row r="16" spans="1:9">
      <c r="A16" s="4" t="s">
        <v>359</v>
      </c>
      <c r="B16" s="4">
        <v>2022</v>
      </c>
      <c r="C16" s="4" t="s">
        <v>70</v>
      </c>
      <c r="D16" s="4" t="s">
        <v>344</v>
      </c>
      <c r="E16" s="4" t="s">
        <v>360</v>
      </c>
      <c r="F16" s="10">
        <v>5</v>
      </c>
      <c r="G16" s="4" t="s">
        <v>361</v>
      </c>
      <c r="H16" s="4" t="s">
        <v>192</v>
      </c>
      <c r="I16" s="4" t="s">
        <v>362</v>
      </c>
    </row>
    <row r="17" spans="1:9">
      <c r="A17" s="4" t="s">
        <v>363</v>
      </c>
      <c r="B17" s="4">
        <v>2022</v>
      </c>
      <c r="C17" s="4" t="s">
        <v>69</v>
      </c>
      <c r="D17" s="4" t="s">
        <v>344</v>
      </c>
      <c r="E17" s="4" t="s">
        <v>360</v>
      </c>
      <c r="F17" s="10">
        <v>29</v>
      </c>
      <c r="G17" s="4" t="s">
        <v>364</v>
      </c>
      <c r="H17" s="4" t="s">
        <v>190</v>
      </c>
      <c r="I17" s="4" t="s">
        <v>362</v>
      </c>
    </row>
    <row r="18" spans="1:9">
      <c r="A18" s="4" t="s">
        <v>365</v>
      </c>
      <c r="B18" s="4">
        <v>2022</v>
      </c>
      <c r="C18" s="4" t="s">
        <v>69</v>
      </c>
      <c r="D18" s="4" t="s">
        <v>344</v>
      </c>
      <c r="E18" s="4" t="s">
        <v>360</v>
      </c>
      <c r="F18" s="10">
        <v>50</v>
      </c>
      <c r="G18" s="4" t="s">
        <v>366</v>
      </c>
      <c r="H18" s="4" t="s">
        <v>191</v>
      </c>
      <c r="I18" s="4" t="s">
        <v>362</v>
      </c>
    </row>
    <row r="19" spans="1:9">
      <c r="A19" s="4" t="s">
        <v>367</v>
      </c>
      <c r="B19" s="4">
        <v>2022</v>
      </c>
      <c r="C19" s="4" t="s">
        <v>70</v>
      </c>
      <c r="D19" s="4" t="s">
        <v>344</v>
      </c>
      <c r="E19" s="4" t="s">
        <v>345</v>
      </c>
      <c r="F19" s="10">
        <v>0</v>
      </c>
      <c r="G19" s="4"/>
      <c r="H19" s="4"/>
      <c r="I19" s="4"/>
    </row>
    <row r="20" spans="1:9">
      <c r="A20" s="4" t="s">
        <v>368</v>
      </c>
      <c r="B20" s="4">
        <v>2023</v>
      </c>
      <c r="C20" s="4" t="s">
        <v>74</v>
      </c>
      <c r="D20" s="4" t="s">
        <v>369</v>
      </c>
      <c r="E20" s="4" t="s">
        <v>360</v>
      </c>
      <c r="F20" s="10">
        <v>3</v>
      </c>
      <c r="G20" s="4"/>
      <c r="H20" s="4"/>
      <c r="I20" s="4"/>
    </row>
    <row r="21" spans="1:9">
      <c r="A21" s="4" t="s">
        <v>370</v>
      </c>
      <c r="B21" s="4">
        <v>2023</v>
      </c>
      <c r="C21" s="4" t="s">
        <v>71</v>
      </c>
      <c r="D21" s="4" t="s">
        <v>348</v>
      </c>
      <c r="E21" s="4" t="s">
        <v>360</v>
      </c>
      <c r="F21" s="10">
        <v>5</v>
      </c>
      <c r="G21" s="4"/>
      <c r="H21" s="4"/>
      <c r="I21" s="4"/>
    </row>
    <row r="22" spans="1:9">
      <c r="A22" s="4" t="s">
        <v>371</v>
      </c>
      <c r="B22" s="4">
        <v>2023</v>
      </c>
      <c r="C22" s="4" t="s">
        <v>71</v>
      </c>
      <c r="D22" s="4" t="s">
        <v>348</v>
      </c>
      <c r="E22" s="4" t="s">
        <v>360</v>
      </c>
      <c r="F22" s="10">
        <v>3</v>
      </c>
      <c r="G22" s="4"/>
      <c r="H22" s="4"/>
      <c r="I22" s="4"/>
    </row>
    <row r="23" spans="1:9">
      <c r="A23" s="4" t="s">
        <v>372</v>
      </c>
      <c r="B23" s="4">
        <v>2023</v>
      </c>
      <c r="C23" s="4" t="s">
        <v>71</v>
      </c>
      <c r="D23" s="4" t="s">
        <v>344</v>
      </c>
      <c r="E23" s="4" t="s">
        <v>360</v>
      </c>
      <c r="F23" s="10">
        <v>3</v>
      </c>
      <c r="G23" s="4"/>
      <c r="H23" s="4"/>
      <c r="I23" s="4"/>
    </row>
    <row r="24" spans="1:9">
      <c r="A24" s="4" t="s">
        <v>373</v>
      </c>
      <c r="B24" s="4">
        <v>2023</v>
      </c>
      <c r="C24" s="4" t="s">
        <v>70</v>
      </c>
      <c r="D24" s="4" t="s">
        <v>348</v>
      </c>
      <c r="E24" s="4" t="s">
        <v>360</v>
      </c>
      <c r="F24" s="10">
        <v>5</v>
      </c>
      <c r="G24" s="4"/>
      <c r="H24" s="4"/>
      <c r="I24" s="4"/>
    </row>
    <row r="25" spans="1:9">
      <c r="A25" s="4" t="s">
        <v>374</v>
      </c>
      <c r="B25" s="4">
        <v>2023</v>
      </c>
      <c r="C25" s="4" t="s">
        <v>70</v>
      </c>
      <c r="D25" s="4" t="s">
        <v>344</v>
      </c>
      <c r="E25" s="4" t="s">
        <v>360</v>
      </c>
      <c r="F25" s="10">
        <v>1</v>
      </c>
      <c r="G25" s="4"/>
      <c r="H25" s="4"/>
      <c r="I25" s="4"/>
    </row>
    <row r="26" spans="1:9">
      <c r="A26" s="4" t="s">
        <v>375</v>
      </c>
      <c r="B26" s="4">
        <v>2023</v>
      </c>
      <c r="C26" s="4" t="s">
        <v>75</v>
      </c>
      <c r="D26" s="4" t="s">
        <v>348</v>
      </c>
      <c r="E26" s="4" t="s">
        <v>360</v>
      </c>
      <c r="F26" s="10">
        <v>50</v>
      </c>
      <c r="G26" s="4" t="s">
        <v>376</v>
      </c>
      <c r="H26" s="4" t="s">
        <v>163</v>
      </c>
      <c r="I26" s="4" t="s">
        <v>377</v>
      </c>
    </row>
    <row r="27" spans="1:9">
      <c r="A27" s="4" t="s">
        <v>378</v>
      </c>
      <c r="B27" s="4">
        <v>2024</v>
      </c>
      <c r="C27" s="4" t="s">
        <v>69</v>
      </c>
      <c r="D27" s="4" t="s">
        <v>348</v>
      </c>
      <c r="E27" s="4" t="s">
        <v>360</v>
      </c>
      <c r="F27" s="10">
        <v>58</v>
      </c>
      <c r="G27" s="4" t="s">
        <v>379</v>
      </c>
      <c r="H27" s="4" t="s">
        <v>163</v>
      </c>
      <c r="I27" s="4" t="s">
        <v>362</v>
      </c>
    </row>
    <row r="28" spans="1:9">
      <c r="A28" s="4" t="s">
        <v>380</v>
      </c>
      <c r="B28" s="4">
        <v>2024</v>
      </c>
      <c r="C28" s="4" t="s">
        <v>69</v>
      </c>
      <c r="D28" s="4" t="s">
        <v>348</v>
      </c>
      <c r="E28" s="4" t="s">
        <v>360</v>
      </c>
      <c r="F28" s="10">
        <v>43</v>
      </c>
      <c r="G28" s="4" t="s">
        <v>381</v>
      </c>
      <c r="H28" s="4" t="s">
        <v>191</v>
      </c>
      <c r="I28" s="4" t="s">
        <v>362</v>
      </c>
    </row>
    <row r="29" spans="1:9">
      <c r="A29" s="4" t="s">
        <v>382</v>
      </c>
      <c r="B29" s="4">
        <v>2024</v>
      </c>
      <c r="C29" s="4" t="s">
        <v>69</v>
      </c>
      <c r="D29" s="4" t="s">
        <v>348</v>
      </c>
      <c r="E29" s="4" t="s">
        <v>360</v>
      </c>
      <c r="F29" s="10">
        <v>13.25</v>
      </c>
      <c r="G29" s="4" t="s">
        <v>383</v>
      </c>
      <c r="H29" s="4" t="s">
        <v>190</v>
      </c>
      <c r="I29" s="4" t="s">
        <v>362</v>
      </c>
    </row>
    <row r="30" spans="1:9">
      <c r="A30" s="4" t="s">
        <v>384</v>
      </c>
      <c r="B30" s="4">
        <v>2024</v>
      </c>
      <c r="C30" s="4" t="s">
        <v>69</v>
      </c>
      <c r="D30" s="4" t="s">
        <v>344</v>
      </c>
      <c r="E30" s="4" t="s">
        <v>360</v>
      </c>
      <c r="F30" s="10">
        <v>8.5</v>
      </c>
      <c r="G30" s="4" t="s">
        <v>385</v>
      </c>
      <c r="H30" s="4" t="s">
        <v>163</v>
      </c>
      <c r="I30" s="4" t="s">
        <v>362</v>
      </c>
    </row>
    <row r="31" spans="1:9">
      <c r="A31" s="4" t="s">
        <v>386</v>
      </c>
      <c r="B31" s="4">
        <v>2024</v>
      </c>
      <c r="C31" s="4" t="s">
        <v>74</v>
      </c>
      <c r="D31" s="4" t="s">
        <v>344</v>
      </c>
      <c r="E31" s="4" t="s">
        <v>360</v>
      </c>
      <c r="F31" s="10">
        <v>3</v>
      </c>
      <c r="G31" s="4"/>
      <c r="H31" s="4"/>
      <c r="I31" s="4"/>
    </row>
    <row r="32" spans="1:9">
      <c r="A32" s="4" t="s">
        <v>387</v>
      </c>
      <c r="B32" s="4">
        <v>2024</v>
      </c>
      <c r="C32" s="4" t="s">
        <v>75</v>
      </c>
      <c r="D32" s="4" t="s">
        <v>344</v>
      </c>
      <c r="E32" s="4" t="s">
        <v>388</v>
      </c>
      <c r="F32" s="10">
        <v>0</v>
      </c>
      <c r="G32" s="4"/>
      <c r="H32" s="4"/>
      <c r="I32" s="4"/>
    </row>
    <row r="33" spans="1:9">
      <c r="A33" s="4" t="s">
        <v>389</v>
      </c>
      <c r="B33" s="4">
        <v>2024</v>
      </c>
      <c r="C33" s="4" t="s">
        <v>74</v>
      </c>
      <c r="D33" s="4" t="s">
        <v>344</v>
      </c>
      <c r="E33" s="4" t="s">
        <v>388</v>
      </c>
      <c r="F33" s="10">
        <v>0</v>
      </c>
      <c r="G33" s="4"/>
      <c r="H33" s="4"/>
      <c r="I33" s="4"/>
    </row>
    <row r="34" spans="1:9">
      <c r="A34" s="4" t="s">
        <v>390</v>
      </c>
      <c r="B34" s="4">
        <v>2024</v>
      </c>
      <c r="C34" s="4" t="s">
        <v>75</v>
      </c>
      <c r="D34" s="4" t="s">
        <v>344</v>
      </c>
      <c r="E34" s="4" t="s">
        <v>388</v>
      </c>
      <c r="F34" s="10">
        <v>0</v>
      </c>
      <c r="G34" s="4"/>
      <c r="H34" s="4"/>
      <c r="I34" s="4"/>
    </row>
    <row r="35" spans="1:9">
      <c r="A35" s="4" t="s">
        <v>391</v>
      </c>
      <c r="B35" s="4">
        <v>2025</v>
      </c>
      <c r="C35" s="4" t="s">
        <v>70</v>
      </c>
      <c r="D35" s="4" t="s">
        <v>348</v>
      </c>
      <c r="E35" s="4" t="s">
        <v>360</v>
      </c>
      <c r="F35" s="10">
        <v>5</v>
      </c>
      <c r="G35" s="4"/>
      <c r="H35" s="4"/>
      <c r="I35" s="4"/>
    </row>
    <row r="36" spans="1:9">
      <c r="A36" s="4" t="s">
        <v>392</v>
      </c>
      <c r="B36" s="4">
        <v>2025</v>
      </c>
      <c r="C36" s="4" t="s">
        <v>70</v>
      </c>
      <c r="D36" s="4" t="s">
        <v>348</v>
      </c>
      <c r="E36" s="4" t="s">
        <v>345</v>
      </c>
      <c r="F36" s="10">
        <v>0</v>
      </c>
      <c r="G36" s="4"/>
      <c r="H36" s="4"/>
      <c r="I36" s="4"/>
    </row>
    <row r="37" spans="1:9">
      <c r="A37" s="4" t="s">
        <v>393</v>
      </c>
      <c r="B37" s="4">
        <v>2025</v>
      </c>
      <c r="C37" s="4" t="s">
        <v>70</v>
      </c>
      <c r="D37" s="4" t="s">
        <v>348</v>
      </c>
      <c r="E37" s="4" t="s">
        <v>345</v>
      </c>
      <c r="F37" s="10">
        <v>0</v>
      </c>
      <c r="G37" s="4"/>
      <c r="H37" s="4"/>
      <c r="I37" s="4"/>
    </row>
    <row r="38" spans="1:9">
      <c r="A38" s="4" t="s">
        <v>394</v>
      </c>
      <c r="B38" s="4">
        <v>2025</v>
      </c>
      <c r="C38" s="4" t="s">
        <v>70</v>
      </c>
      <c r="D38" s="4" t="s">
        <v>348</v>
      </c>
      <c r="E38" s="4" t="s">
        <v>345</v>
      </c>
      <c r="F38" s="10">
        <v>0</v>
      </c>
      <c r="G38" s="4"/>
      <c r="H38" s="4"/>
      <c r="I38" s="4"/>
    </row>
    <row r="39" spans="1:9">
      <c r="A39" s="4" t="s">
        <v>395</v>
      </c>
      <c r="B39" s="4">
        <v>2025</v>
      </c>
      <c r="C39" s="4" t="s">
        <v>69</v>
      </c>
      <c r="D39" s="4" t="s">
        <v>348</v>
      </c>
      <c r="E39" s="4" t="s">
        <v>360</v>
      </c>
      <c r="F39" s="10">
        <v>30</v>
      </c>
      <c r="G39" s="4" t="s">
        <v>396</v>
      </c>
      <c r="H39" s="4" t="s">
        <v>163</v>
      </c>
      <c r="I39" s="4" t="s">
        <v>362</v>
      </c>
    </row>
    <row r="40" spans="1:9">
      <c r="A40" s="4" t="s">
        <v>397</v>
      </c>
      <c r="B40" s="4">
        <v>2025</v>
      </c>
      <c r="C40" s="4" t="s">
        <v>69</v>
      </c>
      <c r="D40" s="4" t="s">
        <v>348</v>
      </c>
      <c r="E40" s="4" t="s">
        <v>360</v>
      </c>
      <c r="F40" s="10">
        <v>30</v>
      </c>
      <c r="G40" s="4" t="s">
        <v>398</v>
      </c>
      <c r="H40" s="4" t="s">
        <v>163</v>
      </c>
      <c r="I40" s="4" t="s">
        <v>362</v>
      </c>
    </row>
    <row r="41" spans="1:9">
      <c r="A41" s="4" t="s">
        <v>399</v>
      </c>
      <c r="B41" s="4">
        <v>2025</v>
      </c>
      <c r="C41" s="4" t="s">
        <v>69</v>
      </c>
      <c r="D41" s="4" t="s">
        <v>400</v>
      </c>
      <c r="E41" s="4" t="s">
        <v>360</v>
      </c>
      <c r="F41" s="10">
        <v>80</v>
      </c>
      <c r="G41" s="4" t="s">
        <v>401</v>
      </c>
      <c r="H41" s="4" t="s">
        <v>178</v>
      </c>
      <c r="I41" s="4" t="s">
        <v>402</v>
      </c>
    </row>
    <row r="42" spans="1:9">
      <c r="E42" s="3" t="s">
        <v>403</v>
      </c>
      <c r="F42" s="10">
        <f>SUM(F4:F41)</f>
        <v>424.75</v>
      </c>
    </row>
    <row r="44" spans="1:9">
      <c r="A44" s="2" t="s">
        <v>404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405</v>
      </c>
    </row>
    <row r="3" spans="1:6">
      <c r="A3" s="3" t="s">
        <v>171</v>
      </c>
      <c r="B3" s="3" t="s">
        <v>406</v>
      </c>
      <c r="C3" s="3" t="s">
        <v>79</v>
      </c>
      <c r="D3" s="3" t="s">
        <v>407</v>
      </c>
      <c r="E3" s="3" t="s">
        <v>408</v>
      </c>
      <c r="F3" s="3" t="s">
        <v>409</v>
      </c>
    </row>
    <row r="4" spans="1:6">
      <c r="A4" s="4" t="s">
        <v>175</v>
      </c>
      <c r="B4" s="4" t="s">
        <v>410</v>
      </c>
      <c r="C4" s="4">
        <v>2021</v>
      </c>
      <c r="D4" s="4" t="s">
        <v>172</v>
      </c>
      <c r="E4" s="4" t="s">
        <v>411</v>
      </c>
      <c r="F4" s="4" t="s">
        <v>181</v>
      </c>
    </row>
    <row r="5" spans="1:6">
      <c r="A5" s="4" t="s">
        <v>175</v>
      </c>
      <c r="B5" s="4" t="s">
        <v>412</v>
      </c>
      <c r="C5" s="4">
        <v>2023</v>
      </c>
      <c r="D5" s="4" t="s">
        <v>172</v>
      </c>
      <c r="E5" s="4" t="s">
        <v>411</v>
      </c>
      <c r="F5" s="4" t="s">
        <v>181</v>
      </c>
    </row>
    <row r="6" spans="1:6">
      <c r="A6" s="4" t="s">
        <v>176</v>
      </c>
      <c r="B6" s="4" t="s">
        <v>413</v>
      </c>
      <c r="C6" s="4">
        <v>2023</v>
      </c>
      <c r="D6" s="4" t="s">
        <v>172</v>
      </c>
      <c r="E6" s="4" t="s">
        <v>411</v>
      </c>
      <c r="F6" s="4" t="s">
        <v>181</v>
      </c>
    </row>
    <row r="7" spans="1:6">
      <c r="A7" s="4" t="s">
        <v>176</v>
      </c>
      <c r="B7" s="4" t="s">
        <v>414</v>
      </c>
      <c r="C7" s="4">
        <v>2025</v>
      </c>
      <c r="D7" s="4" t="s">
        <v>172</v>
      </c>
      <c r="E7" s="4" t="s">
        <v>411</v>
      </c>
      <c r="F7" s="4" t="s">
        <v>181</v>
      </c>
    </row>
    <row r="8" spans="1:6">
      <c r="A8" s="4" t="s">
        <v>176</v>
      </c>
      <c r="B8" s="4" t="s">
        <v>415</v>
      </c>
      <c r="C8" s="4">
        <v>2023</v>
      </c>
      <c r="D8" s="4" t="s">
        <v>173</v>
      </c>
      <c r="E8" s="4" t="s">
        <v>416</v>
      </c>
      <c r="F8" s="4" t="s">
        <v>182</v>
      </c>
    </row>
    <row r="9" spans="1:6">
      <c r="A9" s="4" t="s">
        <v>177</v>
      </c>
      <c r="B9" s="4" t="s">
        <v>417</v>
      </c>
      <c r="C9" s="4">
        <v>2024</v>
      </c>
      <c r="D9" s="4" t="s">
        <v>172</v>
      </c>
      <c r="E9" s="4" t="s">
        <v>416</v>
      </c>
      <c r="F9" s="4" t="s">
        <v>182</v>
      </c>
    </row>
    <row r="10" spans="1:6">
      <c r="A10" s="4" t="s">
        <v>177</v>
      </c>
      <c r="B10" s="4" t="s">
        <v>418</v>
      </c>
      <c r="C10" s="4">
        <v>2024</v>
      </c>
      <c r="D10" s="4" t="s">
        <v>172</v>
      </c>
      <c r="E10" s="4" t="s">
        <v>416</v>
      </c>
      <c r="F10" s="4" t="s">
        <v>182</v>
      </c>
    </row>
    <row r="11" spans="1:6">
      <c r="A11" s="4" t="s">
        <v>177</v>
      </c>
      <c r="B11" s="4" t="s">
        <v>419</v>
      </c>
      <c r="C11" s="4">
        <v>2024</v>
      </c>
      <c r="D11" s="4" t="s">
        <v>172</v>
      </c>
      <c r="E11" s="4" t="s">
        <v>416</v>
      </c>
      <c r="F11" s="4" t="s">
        <v>182</v>
      </c>
    </row>
    <row r="12" spans="1:6">
      <c r="A12" s="4" t="s">
        <v>177</v>
      </c>
      <c r="B12" s="4" t="s">
        <v>420</v>
      </c>
      <c r="C12" s="4">
        <v>2024</v>
      </c>
      <c r="D12" s="4" t="s">
        <v>172</v>
      </c>
      <c r="E12" s="4" t="s">
        <v>416</v>
      </c>
      <c r="F12" s="4" t="s">
        <v>182</v>
      </c>
    </row>
    <row r="13" spans="1:6">
      <c r="A13" s="4" t="s">
        <v>177</v>
      </c>
      <c r="B13" s="4" t="s">
        <v>421</v>
      </c>
      <c r="C13" s="4">
        <v>2024</v>
      </c>
      <c r="D13" s="4" t="s">
        <v>172</v>
      </c>
      <c r="E13" s="4" t="s">
        <v>416</v>
      </c>
      <c r="F13" s="4" t="s">
        <v>182</v>
      </c>
    </row>
    <row r="14" spans="1:6">
      <c r="A14" s="4" t="s">
        <v>178</v>
      </c>
      <c r="B14" s="4" t="s">
        <v>422</v>
      </c>
      <c r="C14" s="4">
        <v>2025</v>
      </c>
      <c r="D14" s="4" t="s">
        <v>173</v>
      </c>
      <c r="E14" s="4" t="s">
        <v>411</v>
      </c>
      <c r="F14" s="4" t="s">
        <v>183</v>
      </c>
    </row>
    <row r="15" spans="1:6">
      <c r="A15" s="4" t="s">
        <v>178</v>
      </c>
      <c r="B15" s="4" t="s">
        <v>423</v>
      </c>
      <c r="C15" s="4">
        <v>2026</v>
      </c>
      <c r="D15" s="4" t="s">
        <v>173</v>
      </c>
      <c r="E15" s="4" t="s">
        <v>411</v>
      </c>
      <c r="F15" s="4" t="s">
        <v>183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424</v>
      </c>
    </row>
    <row r="3" spans="1:4">
      <c r="A3" s="3" t="s">
        <v>204</v>
      </c>
      <c r="B3" s="3" t="s">
        <v>425</v>
      </c>
      <c r="C3" s="3" t="s">
        <v>426</v>
      </c>
      <c r="D3" s="3" t="s">
        <v>427</v>
      </c>
    </row>
    <row r="4" spans="1:4">
      <c r="A4" s="4" t="s">
        <v>123</v>
      </c>
      <c r="B4" s="4" t="s">
        <v>428</v>
      </c>
      <c r="C4" s="4" t="s">
        <v>122</v>
      </c>
      <c r="D4" s="4" t="s">
        <v>429</v>
      </c>
    </row>
    <row r="5" spans="1:4">
      <c r="A5" s="4" t="s">
        <v>123</v>
      </c>
      <c r="B5" s="4" t="s">
        <v>430</v>
      </c>
      <c r="C5" s="4" t="s">
        <v>120</v>
      </c>
      <c r="D5" s="4" t="s">
        <v>431</v>
      </c>
    </row>
    <row r="6" spans="1:4">
      <c r="A6" s="4" t="s">
        <v>123</v>
      </c>
      <c r="B6" s="4" t="s">
        <v>432</v>
      </c>
      <c r="C6" s="4" t="s">
        <v>121</v>
      </c>
      <c r="D6" s="4" t="s">
        <v>433</v>
      </c>
    </row>
    <row r="7" spans="1:4">
      <c r="A7" s="4" t="s">
        <v>124</v>
      </c>
      <c r="B7" s="4" t="s">
        <v>434</v>
      </c>
      <c r="C7" s="4" t="s">
        <v>120</v>
      </c>
      <c r="D7" s="4" t="s">
        <v>435</v>
      </c>
    </row>
    <row r="8" spans="1:4">
      <c r="A8" s="4" t="s">
        <v>124</v>
      </c>
      <c r="B8" s="4" t="s">
        <v>436</v>
      </c>
      <c r="C8" s="4" t="s">
        <v>122</v>
      </c>
      <c r="D8" s="4" t="s">
        <v>437</v>
      </c>
    </row>
    <row r="9" spans="1:4">
      <c r="A9" s="4" t="s">
        <v>124</v>
      </c>
      <c r="B9" s="4" t="s">
        <v>438</v>
      </c>
      <c r="C9" s="4" t="s">
        <v>121</v>
      </c>
      <c r="D9" s="4" t="s">
        <v>439</v>
      </c>
    </row>
    <row r="10" spans="1:4">
      <c r="A10" s="4" t="s">
        <v>124</v>
      </c>
      <c r="B10" s="4" t="s">
        <v>440</v>
      </c>
      <c r="C10" s="4" t="s">
        <v>122</v>
      </c>
      <c r="D10" s="4" t="s">
        <v>441</v>
      </c>
    </row>
    <row r="11" spans="1:4">
      <c r="A11" s="4" t="s">
        <v>125</v>
      </c>
      <c r="B11" s="4" t="s">
        <v>442</v>
      </c>
      <c r="C11" s="4" t="s">
        <v>120</v>
      </c>
      <c r="D11" s="4" t="s">
        <v>443</v>
      </c>
    </row>
    <row r="12" spans="1:4">
      <c r="A12" s="4" t="s">
        <v>125</v>
      </c>
      <c r="B12" s="4" t="s">
        <v>444</v>
      </c>
      <c r="C12" s="4" t="s">
        <v>120</v>
      </c>
      <c r="D12" s="4" t="s">
        <v>443</v>
      </c>
    </row>
    <row r="13" spans="1:4">
      <c r="A13" s="4" t="s">
        <v>125</v>
      </c>
      <c r="B13" s="4" t="s">
        <v>445</v>
      </c>
      <c r="C13" s="4" t="s">
        <v>120</v>
      </c>
      <c r="D13" s="4" t="s">
        <v>443</v>
      </c>
    </row>
    <row r="14" spans="1:4">
      <c r="A14" s="4" t="s">
        <v>125</v>
      </c>
      <c r="B14" s="4" t="s">
        <v>446</v>
      </c>
      <c r="C14" s="4" t="s">
        <v>121</v>
      </c>
      <c r="D14" s="4" t="s">
        <v>447</v>
      </c>
    </row>
    <row r="15" spans="1:4">
      <c r="A15" s="4" t="s">
        <v>126</v>
      </c>
      <c r="B15" s="4" t="s">
        <v>448</v>
      </c>
      <c r="C15" s="4" t="s">
        <v>121</v>
      </c>
      <c r="D15" s="4" t="s">
        <v>449</v>
      </c>
    </row>
    <row r="16" spans="1:4">
      <c r="A16" s="4" t="s">
        <v>126</v>
      </c>
      <c r="B16" s="4" t="s">
        <v>450</v>
      </c>
      <c r="C16" s="4" t="s">
        <v>122</v>
      </c>
      <c r="D16" s="4" t="s">
        <v>451</v>
      </c>
    </row>
    <row r="17" spans="1:4">
      <c r="A17" s="4" t="s">
        <v>126</v>
      </c>
      <c r="B17" s="4" t="s">
        <v>452</v>
      </c>
      <c r="C17" s="4" t="s">
        <v>122</v>
      </c>
      <c r="D17" s="4" t="s">
        <v>453</v>
      </c>
    </row>
    <row r="18" spans="1:4">
      <c r="A18" s="4" t="s">
        <v>126</v>
      </c>
      <c r="B18" s="4" t="s">
        <v>454</v>
      </c>
      <c r="C18" s="4" t="s">
        <v>122</v>
      </c>
      <c r="D18" s="4" t="s">
        <v>455</v>
      </c>
    </row>
    <row r="19" spans="1:4">
      <c r="A19" s="4" t="s">
        <v>126</v>
      </c>
      <c r="B19" s="4" t="s">
        <v>456</v>
      </c>
      <c r="C19" s="4" t="s">
        <v>122</v>
      </c>
      <c r="D19" s="4" t="s">
        <v>457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Muc_luc</vt:lpstr>
      <vt:lpstr>H2.1</vt:lpstr>
      <vt:lpstr>H2.2</vt:lpstr>
      <vt:lpstr>H2.3</vt:lpstr>
      <vt:lpstr>H2.4</vt:lpstr>
      <vt:lpstr>H2.5</vt:lpstr>
      <vt:lpstr>H2.6</vt:lpstr>
      <vt:lpstr>H2.7</vt:lpstr>
      <vt:lpstr>H2.8</vt:lpstr>
      <vt:lpstr>H2.9</vt:lpstr>
      <vt:lpstr>H2.10</vt:lpstr>
      <vt:lpstr>H2.11</vt:lpstr>
      <vt:lpstr>H2.12</vt:lpstr>
      <vt:lpstr>H2.13</vt:lpstr>
      <vt:lpstr>H2.14</vt:lpstr>
      <vt:lpstr>H2.15</vt:lpstr>
      <vt:lpstr>H2.16</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2026-09-30T17:56:29Z</dcterms:created>
  <dcterms:modified xsi:type="dcterms:W3CDTF">2026-09-30T17:56:29Z</dcterms:modified>
</cp:coreProperties>
</file>