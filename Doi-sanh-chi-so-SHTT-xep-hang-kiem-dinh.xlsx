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Đối sánh chỉ số" sheetId="1" state="visible" r:id="rId3"/>
    <sheet name="2. Trọng số &amp; biểu đồ" sheetId="2" state="visible" r:id="rId4"/>
    <sheet name="3. KPI cho Trườn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<sst xmlns="http://schemas.openxmlformats.org/spreadsheetml/2006/main" count="189" uniqueCount="148">
  <si>
    <t xml:space="preserve">BẢNG ĐỐI SÁNH CHỈ SỐ SỞ HỮU TRÍ TUỆ, CHUYỂN GIAO VÀ THƯƠNG MẠI HÓA</t>
  </si>
  <si>
    <t xml:space="preserve">Trong các bảng xếp hạng đại học và khung bảo đảm chất lượng, thế giới và Việt Nam (cập nhật 9/2026)</t>
  </si>
  <si>
    <t xml:space="preserve">Hệ thống</t>
  </si>
  <si>
    <t xml:space="preserve">Phạm vi</t>
  </si>
  <si>
    <t xml:space="preserve">A. Xác lập quyền</t>
  </si>
  <si>
    <t xml:space="preserve">B. Quyền/tri thức được sử dụng</t>
  </si>
  <si>
    <t xml:space="preserve">C. Chuyển giao &amp; thu nhập</t>
  </si>
  <si>
    <t xml:space="preserve">D. Thương mại hóa</t>
  </si>
  <si>
    <t xml:space="preserve">Tỷ trọng SHTT trong điểm tổng</t>
  </si>
  <si>
    <t xml:space="preserve">Nguồn dữ liệu</t>
  </si>
  <si>
    <t xml:space="preserve">Ghi chú</t>
  </si>
  <si>
    <t xml:space="preserve">THE World University Rankings 2026</t>
  </si>
  <si>
    <t xml:space="preserve">Toàn cầu</t>
  </si>
  <si>
    <t xml:space="preserve">–</t>
  </si>
  <si>
    <t xml:space="preserve">Patents 2,00%: số bằng sáng chế trích dẫn nghiên cứu của trường</t>
  </si>
  <si>
    <t xml:space="preserve">Industry Income 2,00%</t>
  </si>
  <si>
    <t xml:space="preserve">4,0% (8,0% với bảng ngành Computer Science và Engineering)</t>
  </si>
  <si>
    <t xml:space="preserve">Elsevier/Scopus; trường tự khai phần thu nhập</t>
  </si>
  <si>
    <t xml:space="preserve">Patents chuẩn hóa theo lĩnh vực và theo tổng giảng viên + nghiên cứu viên; dùng hàm mũ thay Z-score</t>
  </si>
  <si>
    <t xml:space="preserve">THE Sustainability Impact Ratings – SDG 9</t>
  </si>
  <si>
    <t xml:space="preserve">Patents 15,4% (trong SDG 9)</t>
  </si>
  <si>
    <t xml:space="preserve">Research income from industry 38,4%</t>
  </si>
  <si>
    <t xml:space="preserve">University spin-offs 34,6%</t>
  </si>
  <si>
    <t xml:space="preserve">88,4% điểm SDG 9 ≈ 23% điểm tổng nếu SDG 9 thuộc nhóm 3 SDG mạnh nhất</t>
  </si>
  <si>
    <t xml:space="preserve">Elsevier/Scopus; trường tự khai spin-off và thu nhập</t>
  </si>
  <si>
    <t xml:space="preserve">Điểm tổng = SDG 17 (22%) + 3 SDG mạnh nhất (26%/SDG). Không có ngưỡng tối thiểu về nghiên cứu để tham gia</t>
  </si>
  <si>
    <t xml:space="preserve">SCImago Institutions Rankings (SIR)</t>
  </si>
  <si>
    <t xml:space="preserve">Patents (PT) 10%: số đơn theo họ sáng chế đơn giản</t>
  </si>
  <si>
    <t xml:space="preserve">Innovative Knowledge 10% + Technological Impact 10%</t>
  </si>
  <si>
    <t xml:space="preserve">30,0%</t>
  </si>
  <si>
    <t xml:space="preserve">PATSTAT (EPO); Scopus</t>
  </si>
  <si>
    <t xml:space="preserve">Nhóm Innovation 30%; Research 50%; Societal 20%</t>
  </si>
  <si>
    <t xml:space="preserve">QS World University Rankings</t>
  </si>
  <si>
    <t xml:space="preserve">0,0%</t>
  </si>
  <si>
    <t xml:space="preserve">Khảo sát + Scopus</t>
  </si>
  <si>
    <t xml:space="preserve">Không có chỉ số SHTT nào trong 9 chỉ số của bảng xếp hạng</t>
  </si>
  <si>
    <t xml:space="preserve">QS Stars (hệ gắn sao)</t>
  </si>
  <si>
    <t xml:space="preserve">50 bằng đang hiệu lực; 300 đơn đăng ký (mốc điểm tối đa)</t>
  </si>
  <si>
    <t xml:space="preserve">Industrial research: 10 doanh nghiệp đồng công bố Scopus/5 năm (20 điểm)</t>
  </si>
  <si>
    <t xml:space="preserve">(trong industrial research)</t>
  </si>
  <si>
    <t xml:space="preserve">5 spin-off/5 năm còn hoạt động, trường sở hữu &lt;50% (10 điểm)</t>
  </si>
  <si>
    <t xml:space="preserve">Hạng mục tự chọn trong thang 1.000 điểm (5 sao = 700/1.000)</t>
  </si>
  <si>
    <t xml:space="preserve">Trường tự khai, có kiểm toán của QS</t>
  </si>
  <si>
    <t xml:space="preserve">Là dữ liệu đầu vào cho Tiêu chí 6 của VNUR</t>
  </si>
  <si>
    <t xml:space="preserve">U-Multirank</t>
  </si>
  <si>
    <t xml:space="preserve">Toàn cầu / EU</t>
  </si>
  <si>
    <t xml:space="preserve">Số bằng sáng chế trên 1.000 sinh viên; số đơn trên mỗi giảng viên quy đổi</t>
  </si>
  <si>
    <t xml:space="preserve">% sáng chế đăng ký cùng ít nhất một chủ đơn là doanh nghiệp; % công bố có đồng tác giả doanh nghiệp</t>
  </si>
  <si>
    <t xml:space="preserve">Thu từ nghiên cứu và chuyển giao tri thức từ khu vực tư nhân</t>
  </si>
  <si>
    <t xml:space="preserve">Số doanh nghiệp spin-off</t>
  </si>
  <si>
    <t xml:space="preserve">Không quy trọng số (thang A–E từng chỉ số)</t>
  </si>
  <si>
    <t xml:space="preserve">Trường tự khai + bibliometrics</t>
  </si>
  <si>
    <t xml:space="preserve">Bộ chỉ số SHTT chi tiết nhất; phù hợp làm khung KPI nội bộ</t>
  </si>
  <si>
    <t xml:space="preserve">UPM – University Performance Metrics</t>
  </si>
  <si>
    <t xml:space="preserve">Việt Nam / ASEAN</t>
  </si>
  <si>
    <t xml:space="preserve">Tiêu chuẩn 4 Đổi mới sáng tạo (4 tiêu chí, 11%)</t>
  </si>
  <si>
    <t xml:space="preserve">Tiêu chuẩn 5 Hệ sinh thái đổi mới sáng tạo (4 tiêu chí, 6%)</t>
  </si>
  <si>
    <t xml:space="preserve">17,0% (170/1.000 điểm)</t>
  </si>
  <si>
    <t xml:space="preserve">Trường tự khai, đối sánh mốc chuẩn</t>
  </si>
  <si>
    <t xml:space="preserve">8 nhóm lĩnh vực, 54 tiêu chí, 1.000 điểm; 5 sao khi đạt từ 75% điểm</t>
  </si>
  <si>
    <t xml:space="preserve">VNUR – Bảng xếp hạng đại học Việt Nam</t>
  </si>
  <si>
    <t xml:space="preserve">Việt Nam</t>
  </si>
  <si>
    <t xml:space="preserve">Tiêu chí 13: số bằng sáng chế được công bố, 3%</t>
  </si>
  <si>
    <t xml:space="preserve">3,0%</t>
  </si>
  <si>
    <t xml:space="preserve">Cục Sở hữu trí tuệ, 3 năm gần nhất</t>
  </si>
  <si>
    <t xml:space="preserve">Nằm trong Tiêu chuẩn 4 (10%); Tiêu chí 18 – CSDL điện tử có bản quyền 2% là mặt bên mua của quyền tác giả</t>
  </si>
  <si>
    <t xml:space="preserve">Kiểm định – Thông tư 20/2026/TT-BGDĐT</t>
  </si>
  <si>
    <t xml:space="preserve">TC 7.2 (KPI có sáng chế, bản quyền); TC 7.4 (hệ thống dữ liệu toàn bộ tài sản trí tuệ)</t>
  </si>
  <si>
    <t xml:space="preserve">TC 13.2: loại hình và số lượng tài sản trí tuệ</t>
  </si>
  <si>
    <t xml:space="preserve">TC 13.3: khởi nghiệp, ươm tạo khởi nghiệp, thương mại hóa</t>
  </si>
  <si>
    <t xml:space="preserve">4/60 tiêu chí = 6,7%, trải trên 2/15 tiêu chuẩn</t>
  </si>
  <si>
    <t xml:space="preserve">Tự đánh giá + đánh giá ngoài</t>
  </si>
  <si>
    <t xml:space="preserve">Tiêu chuẩn đạt khi không quá 1 tiêu chí không đạt (dưới 6 tiêu chí) → hỏng 2 tiêu chí SHTT là rớt cả tiêu chuẩn</t>
  </si>
  <si>
    <t xml:space="preserve">Chuẩn CSGDĐH – Thông tư 01/2024/TT-BGDĐT</t>
  </si>
  <si>
    <t xml:space="preserve">Gián tiếp: tỉ trọng thu KHCN/tổng thu ≥ 5% (cơ sở đào tạo tiến sĩ)</t>
  </si>
  <si>
    <t xml:space="preserve">0% chỉ số SHTT trực tiếp</t>
  </si>
  <si>
    <t xml:space="preserve">Cơ sở dữ liệu GDĐH</t>
  </si>
  <si>
    <t xml:space="preserve">Tiêu chuẩn 6 chỉ có 2 tiêu chí: thu KHCN và số công bố. Dự thảo thay thế đang lấy ý kiến</t>
  </si>
  <si>
    <t xml:space="preserve">Nghị định 109/2022/NĐ-CP</t>
  </si>
  <si>
    <t xml:space="preserve">≥ 01 bằng sáng chế/năm hoặc 02 GPHI/năm (nhóm nghiên cứu mạnh)</t>
  </si>
  <si>
    <t xml:space="preserve">Chuyển giao ≥ 05 công nghệ/5 năm</t>
  </si>
  <si>
    <t xml:space="preserve">Thương mại hóa ≥ 05 sản phẩm/5 năm; lập doanh nghiệp KHCN</t>
  </si>
  <si>
    <t xml:space="preserve">Ngưỡng định lượng bắt buộc</t>
  </si>
  <si>
    <t xml:space="preserve">Báo cáo của cơ sở</t>
  </si>
  <si>
    <t xml:space="preserve">Thưởng ≥ 5 lần lương bình quân cho tác giả 01 sáng chế; ≥ 3 lần cho 01 GPHI hoặc giống cây trồng</t>
  </si>
  <si>
    <t xml:space="preserve">Chú giải: nền cam = hệ thống của Việt Nam. A–D là bốn nhóm chỉ số: A xác lập quyền, B quyền/tri thức được sử dụng, C chuyển giao và thu nhập, D thương mại hóa.</t>
  </si>
  <si>
    <t xml:space="preserve">Nguồn: THE WUR 2026 Methodology; THE Sustainability Impact Ratings 2026 Methodology; scimagoir.com/methodology.php; topuniversities.com (QS Stars); umultirank.org; vnur.vn; Thông tư 20/2026/TT-BGDĐT; Thông tư 01/2024/TT-BGDĐT; Nghị định 109/2022/NĐ-CP.</t>
  </si>
  <si>
    <t xml:space="preserve">TỶ TRỌNG CHỈ SỐ SHTT – CHUYỂN GIAO – THƯƠNG MẠI HÓA TRONG ĐIỂM TỔNG</t>
  </si>
  <si>
    <t xml:space="preserve">Đơn vị: % điểm tổng của từng hệ thống</t>
  </si>
  <si>
    <t xml:space="preserve">Tỷ trọng (%)</t>
  </si>
  <si>
    <t xml:space="preserve">Chênh lệch so với VNUR (điểm %)</t>
  </si>
  <si>
    <t xml:space="preserve">SCImago Institutions Rankings</t>
  </si>
  <si>
    <t xml:space="preserve">THE Sustainability Impact – SDG 9</t>
  </si>
  <si>
    <t xml:space="preserve">UPM (Việt Nam/ASEAN)</t>
  </si>
  <si>
    <t xml:space="preserve">THE WUR – bảng ngành Kỹ thuật, CNTT</t>
  </si>
  <si>
    <t xml:space="preserve">Kiểm định TT 20/2026 (4/60 tiêu chí)</t>
  </si>
  <si>
    <t xml:space="preserve">THE WUR – bảng chung</t>
  </si>
  <si>
    <t xml:space="preserve">VNUR (Việt Nam)</t>
  </si>
  <si>
    <t xml:space="preserve">Chuẩn CSGDĐH TT 01/2024</t>
  </si>
  <si>
    <t xml:space="preserve">Cơ cấu điểm SDG 9 – THE Sustainability Impact Ratings</t>
  </si>
  <si>
    <t xml:space="preserve">Chỉ số</t>
  </si>
  <si>
    <t xml:space="preserve">% trong SDG 9</t>
  </si>
  <si>
    <t xml:space="preserve">Research income from industry (chuyển giao)</t>
  </si>
  <si>
    <t xml:space="preserve">University spin-offs (thương mại hóa)</t>
  </si>
  <si>
    <t xml:space="preserve">Patents (sáng chế trích dẫn nghiên cứu)</t>
  </si>
  <si>
    <t xml:space="preserve">Research on industry, innovation, infrastructure</t>
  </si>
  <si>
    <t xml:space="preserve">Tổng</t>
  </si>
  <si>
    <t xml:space="preserve">BẢNG KPI SỞ HỮU TRÍ TUỆ – MỐC CHUẨN VÀ MỨC ĐỘ ĐẠT</t>
  </si>
  <si>
    <t xml:space="preserve">Ô nền vàng là ô cần điền số liệu thực tế của Trường. Các cột còn lại tự tính.</t>
  </si>
  <si>
    <t xml:space="preserve">Nhóm</t>
  </si>
  <si>
    <t xml:space="preserve">Đơn vị</t>
  </si>
  <si>
    <t xml:space="preserve">Mốc chuẩn tham chiếu</t>
  </si>
  <si>
    <t xml:space="preserve">Nguồn mốc chuẩn</t>
  </si>
  <si>
    <t xml:space="preserve">Số liệu hiện có của Trường</t>
  </si>
  <si>
    <t xml:space="preserve">Mức độ đạt (%)</t>
  </si>
  <si>
    <t xml:space="preserve">Khoảng thiếu</t>
  </si>
  <si>
    <t xml:space="preserve">A</t>
  </si>
  <si>
    <t xml:space="preserve">Bằng sáng chế/GPHI đang hiệu lực (lũy kế)</t>
  </si>
  <si>
    <t xml:space="preserve">bằng</t>
  </si>
  <si>
    <t xml:space="preserve">QS Stars – mốc điểm tối đa</t>
  </si>
  <si>
    <t xml:space="preserve">Đơn đăng ký sáng chế (lũy kế)</t>
  </si>
  <si>
    <t xml:space="preserve">đơn</t>
  </si>
  <si>
    <t xml:space="preserve">Bằng sáng chế được cấp bình quân/năm</t>
  </si>
  <si>
    <t xml:space="preserve">bằng/năm</t>
  </si>
  <si>
    <t xml:space="preserve">NĐ 109/2022 – nhóm nghiên cứu mạnh</t>
  </si>
  <si>
    <t xml:space="preserve">Giải pháp hữu ích được cấp bình quân/năm</t>
  </si>
  <si>
    <t xml:space="preserve">B</t>
  </si>
  <si>
    <t xml:space="preserve">Doanh nghiệp đối tác có công bố Scopus chung (5 năm)</t>
  </si>
  <si>
    <t xml:space="preserve">doanh nghiệp</t>
  </si>
  <si>
    <t xml:space="preserve">QS Stars – industrial research</t>
  </si>
  <si>
    <t xml:space="preserve">Tỷ lệ sáng chế đồng sở hữu với doanh nghiệp</t>
  </si>
  <si>
    <t xml:space="preserve">%</t>
  </si>
  <si>
    <t xml:space="preserve">U-Multirank – chỉ số co-patents</t>
  </si>
  <si>
    <t xml:space="preserve">C</t>
  </si>
  <si>
    <t xml:space="preserve">Công nghệ đã chuyển giao (5 năm)</t>
  </si>
  <si>
    <t xml:space="preserve">hợp đồng</t>
  </si>
  <si>
    <t xml:space="preserve">NĐ 109/2022</t>
  </si>
  <si>
    <t xml:space="preserve">Tỉ trọng thu từ KHCN trên tổng thu</t>
  </si>
  <si>
    <t xml:space="preserve">TT 01/2024 – Tiêu chuẩn 6</t>
  </si>
  <si>
    <t xml:space="preserve">D</t>
  </si>
  <si>
    <t xml:space="preserve">Sản phẩm KHCN đã thương mại hóa (5 năm)</t>
  </si>
  <si>
    <t xml:space="preserve">sản phẩm</t>
  </si>
  <si>
    <t xml:space="preserve">Doanh nghiệp spin-off còn hoạt động (5 năm, Trường sở hữu &lt;50%)</t>
  </si>
  <si>
    <t xml:space="preserve">QS Stars; THE SDG 9</t>
  </si>
  <si>
    <t xml:space="preserve">Doanh nghiệp khoa học và công nghệ đã thành lập</t>
  </si>
  <si>
    <t xml:space="preserve">NĐ 13/2019 – điều kiện hưởng ưu đãi thuế</t>
  </si>
  <si>
    <t xml:space="preserve">Ví dụ minh họa cách điền (không phải số liệu thật):</t>
  </si>
  <si>
    <t xml:space="preserve">Lưu ý: mốc chuẩn ở cột D là mốc tham chiếu quốc tế hoặc ngưỡng pháp lý, không phải chỉ tiêu bắt buộc của Trường. Trường tự đặt lộ trình theo Nghị quyết 57 (đơn sáng chế tăng 16–18%/năm, tỷ lệ thương mại hóa 8–10% đến 2030).</t>
  </si>
</sst>
</file>

<file path=xl/styles.xml><?xml version="1.0" encoding="utf-8"?>
<styleSheet xmlns="http://schemas.openxmlformats.org/spreadsheetml/2006/main">
  <numFmts count="3">
    <numFmt numFmtId="164" formatCode="General"/>
    <numFmt numFmtId="165" formatCode="0.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color rgb="FFFFFFFF"/>
      <name val="Arial"/>
      <family val="0"/>
      <charset val="1"/>
    </font>
    <font>
      <b val="true"/>
      <sz val="11"/>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4E79"/>
        <bgColor rgb="FF003366"/>
      </patternFill>
    </fill>
    <fill>
      <patternFill patternType="solid">
        <fgColor rgb="FFFCE4D6"/>
        <bgColor rgb="FFF9F9F9"/>
      </patternFill>
    </fill>
    <fill>
      <patternFill patternType="solid">
        <fgColor rgb="FFFFFF00"/>
        <bgColor rgb="FFFFFF00"/>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4F81BD"/>
      <rgbColor rgb="FF33CCCC"/>
      <rgbColor rgb="FF9BBB59"/>
      <rgbColor rgb="FFFFCC00"/>
      <rgbColor rgb="FFFF9900"/>
      <rgbColor rgb="FFFF6600"/>
      <rgbColor rgb="FF8064A2"/>
      <rgbColor rgb="FFA6A6A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Tỷ trọng chỉ số SHTT trong điểm tổng (%)</a:t>
            </a:r>
          </a:p>
        </c:rich>
      </c:tx>
      <c:overlay val="0"/>
      <c:spPr>
        <a:noFill/>
        <a:ln w="0">
          <a:noFill/>
        </a:ln>
      </c:spPr>
    </c:title>
    <c:autoTitleDeleted val="0"/>
    <c:plotArea>
      <c:barChart>
        <c:barDir val="bar"/>
        <c:grouping val="clustered"/>
        <c:varyColors val="0"/>
        <c:ser>
          <c:idx val="0"/>
          <c:order val="0"/>
          <c:tx>
            <c:strRef>
              <c:f>'2. Trọng số &amp; biểu đồ'!B4</c:f>
              <c:strCache>
                <c:ptCount val="1"/>
                <c:pt idx="0">
                  <c:v>Tỷ trọng (%)</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Trọng số &amp; biểu đồ'!$A$5:$A$13</c:f>
              <c:strCache>
                <c:ptCount val="9"/>
                <c:pt idx="0">
                  <c:v>SCImago Institutions Rankings</c:v>
                </c:pt>
                <c:pt idx="1">
                  <c:v>THE Sustainability Impact – SDG 9</c:v>
                </c:pt>
                <c:pt idx="2">
                  <c:v>UPM (Việt Nam/ASEAN)</c:v>
                </c:pt>
                <c:pt idx="3">
                  <c:v>THE WUR – bảng ngành Kỹ thuật, CNTT</c:v>
                </c:pt>
                <c:pt idx="4">
                  <c:v>Kiểm định TT 20/2026 (4/60 tiêu chí)</c:v>
                </c:pt>
                <c:pt idx="5">
                  <c:v>THE WUR – bảng chung</c:v>
                </c:pt>
                <c:pt idx="6">
                  <c:v>VNUR (Việt Nam)</c:v>
                </c:pt>
                <c:pt idx="7">
                  <c:v>Chuẩn CSGDĐH TT 01/2024</c:v>
                </c:pt>
                <c:pt idx="8">
                  <c:v>QS World University Rankings</c:v>
                </c:pt>
              </c:strCache>
            </c:strRef>
          </c:cat>
          <c:val>
            <c:numRef>
              <c:f>'2. Trọng số &amp; biểu đồ'!$B$5:$B$13</c:f>
              <c:numCache>
                <c:formatCode>0.0</c:formatCode>
                <c:ptCount val="9"/>
                <c:pt idx="0">
                  <c:v>30</c:v>
                </c:pt>
                <c:pt idx="1">
                  <c:v>23</c:v>
                </c:pt>
                <c:pt idx="2">
                  <c:v>17</c:v>
                </c:pt>
                <c:pt idx="3">
                  <c:v>8</c:v>
                </c:pt>
                <c:pt idx="4">
                  <c:v>6.7</c:v>
                </c:pt>
                <c:pt idx="5">
                  <c:v>4</c:v>
                </c:pt>
                <c:pt idx="6">
                  <c:v>3</c:v>
                </c:pt>
                <c:pt idx="7">
                  <c:v>0</c:v>
                </c:pt>
                <c:pt idx="8">
                  <c:v>0</c:v>
                </c:pt>
              </c:numCache>
            </c:numRef>
          </c:val>
        </c:ser>
        <c:gapWidth val="150"/>
        <c:overlap val="0"/>
        <c:axId val="37949176"/>
        <c:axId val="21165361"/>
      </c:barChart>
      <c:catAx>
        <c:axId val="379491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165361"/>
        <c:crosses val="autoZero"/>
        <c:auto val="1"/>
        <c:lblAlgn val="ctr"/>
        <c:lblOffset val="100"/>
        <c:noMultiLvlLbl val="0"/>
      </c:catAx>
      <c:valAx>
        <c:axId val="21165361"/>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 điểm tổng</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9491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Cơ cấu điểm SDG 9: 88,4% là SHTT – chuyển giao – thương mại hóa</a:t>
            </a:r>
          </a:p>
        </c:rich>
      </c:tx>
      <c:overlay val="0"/>
      <c:spPr>
        <a:noFill/>
        <a:ln w="0">
          <a:noFill/>
        </a:ln>
      </c:spPr>
    </c:title>
    <c:autoTitleDeleted val="0"/>
    <c:plotArea>
      <c:pieChart>
        <c:varyColors val="1"/>
        <c:ser>
          <c:idx val="0"/>
          <c:order val="0"/>
          <c:tx>
            <c:strRef>
              <c:f>'2. Trọng số &amp; biểu đồ'!B17</c:f>
              <c:strCache>
                <c:ptCount val="1"/>
                <c:pt idx="0">
                  <c:v>% trong SDG 9</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'2. Trọng số &amp; biểu đồ'!$A$18:$A$21</c:f>
              <c:strCache>
                <c:ptCount val="4"/>
                <c:pt idx="0">
                  <c:v>Research income from industry (chuyển giao)</c:v>
                </c:pt>
                <c:pt idx="1">
                  <c:v>University spin-offs (thương mại hóa)</c:v>
                </c:pt>
                <c:pt idx="2">
                  <c:v>Patents (sáng chế trích dẫn nghiên cứu)</c:v>
                </c:pt>
                <c:pt idx="3">
                  <c:v>Research on industry, innovation, infrastructure</c:v>
                </c:pt>
              </c:strCache>
            </c:strRef>
          </c:cat>
          <c:val>
            <c:numRef>
              <c:f>'2. Trọng số &amp; biểu đồ'!$B$18:$B$21</c:f>
              <c:numCache>
                <c:formatCode>0.0</c:formatCode>
                <c:ptCount val="4"/>
                <c:pt idx="0">
                  <c:v>38.4</c:v>
                </c:pt>
                <c:pt idx="1">
                  <c:v>34.6</c:v>
                </c:pt>
                <c:pt idx="2">
                  <c:v>15.4</c:v>
                </c:pt>
                <c:pt idx="3">
                  <c:v>11.6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160920</xdr:rowOff>
    </xdr:from>
    <xdr:to>
      <xdr:col>16</xdr:col>
      <xdr:colOff>581760</xdr:colOff>
      <xdr:row>20</xdr:row>
      <xdr:rowOff>30600</xdr:rowOff>
    </xdr:to>
    <xdr:graphicFrame>
      <xdr:nvGraphicFramePr>
        <xdr:cNvPr id="0" name="Chart 1"/>
        <xdr:cNvGraphicFramePr/>
      </xdr:nvGraphicFramePr>
      <xdr:xfrm>
        <a:off x="6391440" y="57168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15</xdr:row>
      <xdr:rowOff>10440</xdr:rowOff>
    </xdr:from>
    <xdr:to>
      <xdr:col>14</xdr:col>
      <xdr:colOff>364680</xdr:colOff>
      <xdr:row>31</xdr:row>
      <xdr:rowOff>51480</xdr:rowOff>
    </xdr:to>
    <xdr:graphicFrame>
      <xdr:nvGraphicFramePr>
        <xdr:cNvPr id="1" name="Chart 2"/>
        <xdr:cNvGraphicFramePr/>
      </xdr:nvGraphicFramePr>
      <xdr:xfrm>
        <a:off x="6391440" y="304812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5"/>
    <col collapsed="false" customWidth="true" hidden="false" outlineLevel="0" max="4" min="3" style="0" width="30"/>
    <col collapsed="false" customWidth="true" hidden="false" outlineLevel="0" max="6" min="5" style="0" width="28"/>
    <col collapsed="false" customWidth="true" hidden="false" outlineLevel="0" max="7" min="7" style="0" width="26"/>
    <col collapsed="false" customWidth="true" hidden="false" outlineLevel="0" max="8" min="8" style="0" width="22"/>
    <col collapsed="false" customWidth="true" hidden="false" outlineLevel="0" max="9" min="9" style="0" width="38"/>
  </cols>
  <sheetData>
    <row r="1" customFormat="false" ht="17.35"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3" t="s">
        <v>3</v>
      </c>
      <c r="C4" s="3" t="s">
        <v>4</v>
      </c>
      <c r="D4" s="3" t="s">
        <v>5</v>
      </c>
      <c r="E4" s="3" t="s">
        <v>6</v>
      </c>
      <c r="F4" s="3" t="s">
        <v>7</v>
      </c>
      <c r="G4" s="3" t="s">
        <v>8</v>
      </c>
      <c r="H4" s="3" t="s">
        <v>9</v>
      </c>
      <c r="I4" s="3" t="s">
        <v>10</v>
      </c>
    </row>
    <row r="5" customFormat="false" ht="61.5" hidden="false" customHeight="true" outlineLevel="0" collapsed="false">
      <c r="A5" s="4" t="s">
        <v>11</v>
      </c>
      <c r="B5" s="5" t="s">
        <v>12</v>
      </c>
      <c r="C5" s="5" t="s">
        <v>13</v>
      </c>
      <c r="D5" s="5" t="s">
        <v>14</v>
      </c>
      <c r="E5" s="5" t="s">
        <v>15</v>
      </c>
      <c r="F5" s="5" t="s">
        <v>13</v>
      </c>
      <c r="G5" s="5" t="s">
        <v>16</v>
      </c>
      <c r="H5" s="5" t="s">
        <v>17</v>
      </c>
      <c r="I5" s="5" t="s">
        <v>18</v>
      </c>
    </row>
    <row r="6" customFormat="false" ht="61.5" hidden="false" customHeight="true" outlineLevel="0" collapsed="false">
      <c r="A6" s="4" t="s">
        <v>19</v>
      </c>
      <c r="B6" s="5" t="s">
        <v>12</v>
      </c>
      <c r="C6" s="5" t="s">
        <v>13</v>
      </c>
      <c r="D6" s="5" t="s">
        <v>20</v>
      </c>
      <c r="E6" s="5" t="s">
        <v>21</v>
      </c>
      <c r="F6" s="5" t="s">
        <v>22</v>
      </c>
      <c r="G6" s="5" t="s">
        <v>23</v>
      </c>
      <c r="H6" s="5" t="s">
        <v>24</v>
      </c>
      <c r="I6" s="5" t="s">
        <v>25</v>
      </c>
    </row>
    <row r="7" customFormat="false" ht="61.5" hidden="false" customHeight="true" outlineLevel="0" collapsed="false">
      <c r="A7" s="4" t="s">
        <v>26</v>
      </c>
      <c r="B7" s="5" t="s">
        <v>12</v>
      </c>
      <c r="C7" s="5" t="s">
        <v>27</v>
      </c>
      <c r="D7" s="5" t="s">
        <v>28</v>
      </c>
      <c r="E7" s="5" t="s">
        <v>13</v>
      </c>
      <c r="F7" s="5" t="s">
        <v>13</v>
      </c>
      <c r="G7" s="5" t="s">
        <v>29</v>
      </c>
      <c r="H7" s="5" t="s">
        <v>30</v>
      </c>
      <c r="I7" s="5" t="s">
        <v>31</v>
      </c>
    </row>
    <row r="8" customFormat="false" ht="61.5" hidden="false" customHeight="true" outlineLevel="0" collapsed="false">
      <c r="A8" s="4" t="s">
        <v>32</v>
      </c>
      <c r="B8" s="5" t="s">
        <v>12</v>
      </c>
      <c r="C8" s="5" t="s">
        <v>13</v>
      </c>
      <c r="D8" s="5" t="s">
        <v>13</v>
      </c>
      <c r="E8" s="5" t="s">
        <v>13</v>
      </c>
      <c r="F8" s="5" t="s">
        <v>13</v>
      </c>
      <c r="G8" s="5" t="s">
        <v>33</v>
      </c>
      <c r="H8" s="5" t="s">
        <v>34</v>
      </c>
      <c r="I8" s="5" t="s">
        <v>35</v>
      </c>
    </row>
    <row r="9" customFormat="false" ht="61.5" hidden="false" customHeight="true" outlineLevel="0" collapsed="false">
      <c r="A9" s="4" t="s">
        <v>36</v>
      </c>
      <c r="B9" s="5" t="s">
        <v>12</v>
      </c>
      <c r="C9" s="5" t="s">
        <v>37</v>
      </c>
      <c r="D9" s="5" t="s">
        <v>38</v>
      </c>
      <c r="E9" s="5" t="s">
        <v>39</v>
      </c>
      <c r="F9" s="5" t="s">
        <v>40</v>
      </c>
      <c r="G9" s="5" t="s">
        <v>41</v>
      </c>
      <c r="H9" s="5" t="s">
        <v>42</v>
      </c>
      <c r="I9" s="5" t="s">
        <v>43</v>
      </c>
    </row>
    <row r="10" customFormat="false" ht="61.5" hidden="false" customHeight="true" outlineLevel="0" collapsed="false">
      <c r="A10" s="4" t="s">
        <v>44</v>
      </c>
      <c r="B10" s="5" t="s">
        <v>45</v>
      </c>
      <c r="C10" s="5" t="s">
        <v>46</v>
      </c>
      <c r="D10" s="5" t="s">
        <v>47</v>
      </c>
      <c r="E10" s="5" t="s">
        <v>48</v>
      </c>
      <c r="F10" s="5" t="s">
        <v>49</v>
      </c>
      <c r="G10" s="5" t="s">
        <v>50</v>
      </c>
      <c r="H10" s="5" t="s">
        <v>51</v>
      </c>
      <c r="I10" s="5" t="s">
        <v>52</v>
      </c>
    </row>
    <row r="11" customFormat="false" ht="61.5" hidden="false" customHeight="true" outlineLevel="0" collapsed="false">
      <c r="A11" s="6" t="s">
        <v>53</v>
      </c>
      <c r="B11" s="7" t="s">
        <v>54</v>
      </c>
      <c r="C11" s="7" t="s">
        <v>55</v>
      </c>
      <c r="D11" s="7"/>
      <c r="E11" s="7"/>
      <c r="F11" s="7" t="s">
        <v>56</v>
      </c>
      <c r="G11" s="7" t="s">
        <v>57</v>
      </c>
      <c r="H11" s="7" t="s">
        <v>58</v>
      </c>
      <c r="I11" s="7" t="s">
        <v>59</v>
      </c>
    </row>
    <row r="12" customFormat="false" ht="61.5" hidden="false" customHeight="true" outlineLevel="0" collapsed="false">
      <c r="A12" s="6" t="s">
        <v>60</v>
      </c>
      <c r="B12" s="7" t="s">
        <v>61</v>
      </c>
      <c r="C12" s="7" t="s">
        <v>62</v>
      </c>
      <c r="D12" s="7" t="s">
        <v>13</v>
      </c>
      <c r="E12" s="7" t="s">
        <v>13</v>
      </c>
      <c r="F12" s="7" t="s">
        <v>13</v>
      </c>
      <c r="G12" s="7" t="s">
        <v>63</v>
      </c>
      <c r="H12" s="7" t="s">
        <v>64</v>
      </c>
      <c r="I12" s="7" t="s">
        <v>65</v>
      </c>
    </row>
    <row r="13" customFormat="false" ht="61.5" hidden="false" customHeight="true" outlineLevel="0" collapsed="false">
      <c r="A13" s="6" t="s">
        <v>66</v>
      </c>
      <c r="B13" s="7" t="s">
        <v>61</v>
      </c>
      <c r="C13" s="7" t="s">
        <v>67</v>
      </c>
      <c r="D13" s="7" t="s">
        <v>68</v>
      </c>
      <c r="E13" s="7" t="s">
        <v>13</v>
      </c>
      <c r="F13" s="7" t="s">
        <v>69</v>
      </c>
      <c r="G13" s="7" t="s">
        <v>70</v>
      </c>
      <c r="H13" s="7" t="s">
        <v>71</v>
      </c>
      <c r="I13" s="7" t="s">
        <v>72</v>
      </c>
    </row>
    <row r="14" customFormat="false" ht="61.5" hidden="false" customHeight="true" outlineLevel="0" collapsed="false">
      <c r="A14" s="6" t="s">
        <v>73</v>
      </c>
      <c r="B14" s="7" t="s">
        <v>61</v>
      </c>
      <c r="C14" s="7" t="s">
        <v>13</v>
      </c>
      <c r="D14" s="7" t="s">
        <v>13</v>
      </c>
      <c r="E14" s="7" t="s">
        <v>74</v>
      </c>
      <c r="F14" s="7" t="s">
        <v>13</v>
      </c>
      <c r="G14" s="7" t="s">
        <v>75</v>
      </c>
      <c r="H14" s="7" t="s">
        <v>76</v>
      </c>
      <c r="I14" s="7" t="s">
        <v>77</v>
      </c>
    </row>
    <row r="15" customFormat="false" ht="61.5" hidden="false" customHeight="true" outlineLevel="0" collapsed="false">
      <c r="A15" s="6" t="s">
        <v>78</v>
      </c>
      <c r="B15" s="7" t="s">
        <v>61</v>
      </c>
      <c r="C15" s="7" t="s">
        <v>79</v>
      </c>
      <c r="D15" s="7" t="s">
        <v>13</v>
      </c>
      <c r="E15" s="7" t="s">
        <v>80</v>
      </c>
      <c r="F15" s="7" t="s">
        <v>81</v>
      </c>
      <c r="G15" s="7" t="s">
        <v>82</v>
      </c>
      <c r="H15" s="7" t="s">
        <v>83</v>
      </c>
      <c r="I15" s="7" t="s">
        <v>84</v>
      </c>
    </row>
    <row r="17" customFormat="false" ht="15" hidden="false" customHeight="false" outlineLevel="0" collapsed="false">
      <c r="A17" s="2" t="s">
        <v>85</v>
      </c>
    </row>
    <row r="18" customFormat="false" ht="15" hidden="false" customHeight="false" outlineLevel="0" collapsed="false">
      <c r="A18" s="2"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28"/>
  </cols>
  <sheetData>
    <row r="1" customFormat="false" ht="17.35" hidden="false" customHeight="false" outlineLevel="0" collapsed="false">
      <c r="A1" s="1" t="s">
        <v>87</v>
      </c>
    </row>
    <row r="2" customFormat="false" ht="15" hidden="false" customHeight="false" outlineLevel="0" collapsed="false">
      <c r="A2" s="2" t="s">
        <v>88</v>
      </c>
    </row>
    <row r="4" customFormat="false" ht="26.85" hidden="false" customHeight="false" outlineLevel="0" collapsed="false">
      <c r="A4" s="3" t="s">
        <v>2</v>
      </c>
      <c r="B4" s="3" t="s">
        <v>89</v>
      </c>
      <c r="C4" s="3" t="s">
        <v>90</v>
      </c>
    </row>
    <row r="5" customFormat="false" ht="15" hidden="false" customHeight="false" outlineLevel="0" collapsed="false">
      <c r="A5" s="8" t="s">
        <v>91</v>
      </c>
      <c r="B5" s="9" t="n">
        <v>30</v>
      </c>
      <c r="C5" s="9" t="n">
        <f aca="false">B5-$B$11</f>
        <v>27</v>
      </c>
    </row>
    <row r="6" customFormat="false" ht="15" hidden="false" customHeight="false" outlineLevel="0" collapsed="false">
      <c r="A6" s="8" t="s">
        <v>92</v>
      </c>
      <c r="B6" s="9" t="n">
        <v>23</v>
      </c>
      <c r="C6" s="9" t="n">
        <f aca="false">B6-$B$11</f>
        <v>20</v>
      </c>
    </row>
    <row r="7" customFormat="false" ht="15" hidden="false" customHeight="false" outlineLevel="0" collapsed="false">
      <c r="A7" s="8" t="s">
        <v>93</v>
      </c>
      <c r="B7" s="9" t="n">
        <v>17</v>
      </c>
      <c r="C7" s="9" t="n">
        <f aca="false">B7-$B$11</f>
        <v>14</v>
      </c>
    </row>
    <row r="8" customFormat="false" ht="15" hidden="false" customHeight="false" outlineLevel="0" collapsed="false">
      <c r="A8" s="8" t="s">
        <v>94</v>
      </c>
      <c r="B8" s="9" t="n">
        <v>8</v>
      </c>
      <c r="C8" s="9" t="n">
        <f aca="false">B8-$B$11</f>
        <v>5</v>
      </c>
    </row>
    <row r="9" customFormat="false" ht="15" hidden="false" customHeight="false" outlineLevel="0" collapsed="false">
      <c r="A9" s="8" t="s">
        <v>95</v>
      </c>
      <c r="B9" s="9" t="n">
        <v>6.7</v>
      </c>
      <c r="C9" s="9" t="n">
        <f aca="false">B9-$B$11</f>
        <v>3.7</v>
      </c>
    </row>
    <row r="10" customFormat="false" ht="15" hidden="false" customHeight="false" outlineLevel="0" collapsed="false">
      <c r="A10" s="8" t="s">
        <v>96</v>
      </c>
      <c r="B10" s="9" t="n">
        <v>4</v>
      </c>
      <c r="C10" s="9" t="n">
        <f aca="false">B10-$B$11</f>
        <v>1</v>
      </c>
    </row>
    <row r="11" customFormat="false" ht="15" hidden="false" customHeight="false" outlineLevel="0" collapsed="false">
      <c r="A11" s="8" t="s">
        <v>97</v>
      </c>
      <c r="B11" s="9" t="n">
        <v>3</v>
      </c>
      <c r="C11" s="9" t="n">
        <f aca="false">B11-$B$11</f>
        <v>0</v>
      </c>
    </row>
    <row r="12" customFormat="false" ht="15" hidden="false" customHeight="false" outlineLevel="0" collapsed="false">
      <c r="A12" s="8" t="s">
        <v>98</v>
      </c>
      <c r="B12" s="9" t="n">
        <v>0</v>
      </c>
      <c r="C12" s="9" t="n">
        <f aca="false">B12-$B$11</f>
        <v>-3</v>
      </c>
    </row>
    <row r="13" customFormat="false" ht="15" hidden="false" customHeight="false" outlineLevel="0" collapsed="false">
      <c r="A13" s="8" t="s">
        <v>32</v>
      </c>
      <c r="B13" s="9" t="n">
        <v>0</v>
      </c>
      <c r="C13" s="9" t="n">
        <f aca="false">B13-$B$11</f>
        <v>-3</v>
      </c>
    </row>
    <row r="16" customFormat="false" ht="15" hidden="false" customHeight="false" outlineLevel="0" collapsed="false">
      <c r="A16" s="10" t="s">
        <v>99</v>
      </c>
    </row>
    <row r="17" customFormat="false" ht="26.85" hidden="false" customHeight="false" outlineLevel="0" collapsed="false">
      <c r="A17" s="3" t="s">
        <v>100</v>
      </c>
      <c r="B17" s="3" t="s">
        <v>101</v>
      </c>
    </row>
    <row r="18" customFormat="false" ht="15" hidden="false" customHeight="false" outlineLevel="0" collapsed="false">
      <c r="A18" s="8" t="s">
        <v>102</v>
      </c>
      <c r="B18" s="9" t="n">
        <v>38.4</v>
      </c>
    </row>
    <row r="19" customFormat="false" ht="15" hidden="false" customHeight="false" outlineLevel="0" collapsed="false">
      <c r="A19" s="8" t="s">
        <v>103</v>
      </c>
      <c r="B19" s="9" t="n">
        <v>34.6</v>
      </c>
    </row>
    <row r="20" customFormat="false" ht="15" hidden="false" customHeight="false" outlineLevel="0" collapsed="false">
      <c r="A20" s="8" t="s">
        <v>104</v>
      </c>
      <c r="B20" s="9" t="n">
        <v>15.4</v>
      </c>
    </row>
    <row r="21" customFormat="false" ht="15" hidden="false" customHeight="false" outlineLevel="0" collapsed="false">
      <c r="A21" s="8" t="s">
        <v>105</v>
      </c>
      <c r="B21" s="9" t="n">
        <v>11.6</v>
      </c>
    </row>
    <row r="22" customFormat="false" ht="15" hidden="false" customHeight="false" outlineLevel="0" collapsed="false">
      <c r="A22" s="10" t="s">
        <v>106</v>
      </c>
      <c r="B22" s="11" t="n">
        <f aca="false">SUM(B18:B21)</f>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4"/>
    <col collapsed="false" customWidth="true" hidden="false" outlineLevel="0" max="4" min="4" style="0" width="18"/>
    <col collapsed="false" customWidth="true" hidden="false" outlineLevel="0" max="5" min="5" style="0" width="34"/>
    <col collapsed="false" customWidth="true" hidden="false" outlineLevel="0" max="6" min="6" style="0" width="20"/>
    <col collapsed="false" customWidth="true" hidden="false" outlineLevel="0" max="7" min="7" style="0" width="16"/>
    <col collapsed="false" customWidth="true" hidden="false" outlineLevel="0" max="8" min="8" style="0" width="14"/>
  </cols>
  <sheetData>
    <row r="1" customFormat="false" ht="17.35" hidden="false" customHeight="false" outlineLevel="0" collapsed="false">
      <c r="A1" s="1" t="s">
        <v>107</v>
      </c>
    </row>
    <row r="2" customFormat="false" ht="15" hidden="false" customHeight="false" outlineLevel="0" collapsed="false">
      <c r="A2" s="2" t="s">
        <v>108</v>
      </c>
    </row>
    <row r="4" customFormat="false" ht="39.75" hidden="false" customHeight="true" outlineLevel="0" collapsed="false">
      <c r="A4" s="3" t="s">
        <v>109</v>
      </c>
      <c r="B4" s="3" t="s">
        <v>100</v>
      </c>
      <c r="C4" s="3" t="s">
        <v>110</v>
      </c>
      <c r="D4" s="3" t="s">
        <v>111</v>
      </c>
      <c r="E4" s="3" t="s">
        <v>112</v>
      </c>
      <c r="F4" s="3" t="s">
        <v>113</v>
      </c>
      <c r="G4" s="3" t="s">
        <v>114</v>
      </c>
      <c r="H4" s="3" t="s">
        <v>115</v>
      </c>
    </row>
    <row r="5" customFormat="false" ht="15" hidden="false" customHeight="false" outlineLevel="0" collapsed="false">
      <c r="A5" s="5" t="s">
        <v>116</v>
      </c>
      <c r="B5" s="5" t="s">
        <v>117</v>
      </c>
      <c r="C5" s="5" t="s">
        <v>118</v>
      </c>
      <c r="D5" s="5" t="n">
        <v>50</v>
      </c>
      <c r="E5" s="5" t="s">
        <v>119</v>
      </c>
      <c r="F5" s="12" t="n">
        <v>0</v>
      </c>
      <c r="G5" s="13" t="n">
        <f aca="false">IFERROR(F5/D5,"")</f>
        <v>0</v>
      </c>
      <c r="H5" s="5" t="n">
        <f aca="false">IF(F5&gt;=D5,0,D5-F5)</f>
        <v>50</v>
      </c>
    </row>
    <row r="6" customFormat="false" ht="15" hidden="false" customHeight="false" outlineLevel="0" collapsed="false">
      <c r="A6" s="5" t="s">
        <v>116</v>
      </c>
      <c r="B6" s="5" t="s">
        <v>120</v>
      </c>
      <c r="C6" s="5" t="s">
        <v>121</v>
      </c>
      <c r="D6" s="5" t="n">
        <v>300</v>
      </c>
      <c r="E6" s="5" t="s">
        <v>119</v>
      </c>
      <c r="F6" s="12" t="n">
        <v>0</v>
      </c>
      <c r="G6" s="13" t="n">
        <f aca="false">IFERROR(F6/D6,"")</f>
        <v>0</v>
      </c>
      <c r="H6" s="5" t="n">
        <f aca="false">IF(F6&gt;=D6,0,D6-F6)</f>
        <v>300</v>
      </c>
    </row>
    <row r="7" customFormat="false" ht="15" hidden="false" customHeight="false" outlineLevel="0" collapsed="false">
      <c r="A7" s="5" t="s">
        <v>116</v>
      </c>
      <c r="B7" s="5" t="s">
        <v>122</v>
      </c>
      <c r="C7" s="5" t="s">
        <v>123</v>
      </c>
      <c r="D7" s="5" t="n">
        <v>1</v>
      </c>
      <c r="E7" s="5" t="s">
        <v>124</v>
      </c>
      <c r="F7" s="12" t="n">
        <v>0</v>
      </c>
      <c r="G7" s="13" t="n">
        <f aca="false">IFERROR(F7/D7,"")</f>
        <v>0</v>
      </c>
      <c r="H7" s="5" t="n">
        <f aca="false">IF(F7&gt;=D7,0,D7-F7)</f>
        <v>1</v>
      </c>
    </row>
    <row r="8" customFormat="false" ht="15" hidden="false" customHeight="false" outlineLevel="0" collapsed="false">
      <c r="A8" s="5" t="s">
        <v>116</v>
      </c>
      <c r="B8" s="5" t="s">
        <v>125</v>
      </c>
      <c r="C8" s="5" t="s">
        <v>123</v>
      </c>
      <c r="D8" s="5" t="n">
        <v>2</v>
      </c>
      <c r="E8" s="5" t="s">
        <v>124</v>
      </c>
      <c r="F8" s="12" t="n">
        <v>0</v>
      </c>
      <c r="G8" s="13" t="n">
        <f aca="false">IFERROR(F8/D8,"")</f>
        <v>0</v>
      </c>
      <c r="H8" s="5" t="n">
        <f aca="false">IF(F8&gt;=D8,0,D8-F8)</f>
        <v>2</v>
      </c>
    </row>
    <row r="9" customFormat="false" ht="23.85" hidden="false" customHeight="false" outlineLevel="0" collapsed="false">
      <c r="A9" s="5" t="s">
        <v>126</v>
      </c>
      <c r="B9" s="5" t="s">
        <v>127</v>
      </c>
      <c r="C9" s="5" t="s">
        <v>128</v>
      </c>
      <c r="D9" s="5" t="n">
        <v>10</v>
      </c>
      <c r="E9" s="5" t="s">
        <v>129</v>
      </c>
      <c r="F9" s="12" t="n">
        <v>0</v>
      </c>
      <c r="G9" s="13" t="n">
        <f aca="false">IFERROR(F9/D9,"")</f>
        <v>0</v>
      </c>
      <c r="H9" s="5" t="n">
        <f aca="false">IF(F9&gt;=D9,0,D9-F9)</f>
        <v>10</v>
      </c>
    </row>
    <row r="10" customFormat="false" ht="15" hidden="false" customHeight="false" outlineLevel="0" collapsed="false">
      <c r="A10" s="5" t="s">
        <v>126</v>
      </c>
      <c r="B10" s="5" t="s">
        <v>130</v>
      </c>
      <c r="C10" s="5" t="s">
        <v>131</v>
      </c>
      <c r="D10" s="5" t="n">
        <v>20</v>
      </c>
      <c r="E10" s="5" t="s">
        <v>132</v>
      </c>
      <c r="F10" s="12" t="n">
        <v>0</v>
      </c>
      <c r="G10" s="13" t="n">
        <f aca="false">IFERROR(F10/D10,"")</f>
        <v>0</v>
      </c>
      <c r="H10" s="5" t="n">
        <f aca="false">IF(F10&gt;=D10,0,D10-F10)</f>
        <v>20</v>
      </c>
    </row>
    <row r="11" customFormat="false" ht="15" hidden="false" customHeight="false" outlineLevel="0" collapsed="false">
      <c r="A11" s="5" t="s">
        <v>133</v>
      </c>
      <c r="B11" s="5" t="s">
        <v>134</v>
      </c>
      <c r="C11" s="5" t="s">
        <v>135</v>
      </c>
      <c r="D11" s="5" t="n">
        <v>5</v>
      </c>
      <c r="E11" s="5" t="s">
        <v>136</v>
      </c>
      <c r="F11" s="12" t="n">
        <v>0</v>
      </c>
      <c r="G11" s="13" t="n">
        <f aca="false">IFERROR(F11/D11,"")</f>
        <v>0</v>
      </c>
      <c r="H11" s="5" t="n">
        <f aca="false">IF(F11&gt;=D11,0,D11-F11)</f>
        <v>5</v>
      </c>
    </row>
    <row r="12" customFormat="false" ht="15" hidden="false" customHeight="false" outlineLevel="0" collapsed="false">
      <c r="A12" s="5" t="s">
        <v>133</v>
      </c>
      <c r="B12" s="5" t="s">
        <v>137</v>
      </c>
      <c r="C12" s="5" t="s">
        <v>131</v>
      </c>
      <c r="D12" s="5" t="n">
        <v>5</v>
      </c>
      <c r="E12" s="5" t="s">
        <v>138</v>
      </c>
      <c r="F12" s="12" t="n">
        <v>0</v>
      </c>
      <c r="G12" s="13" t="n">
        <f aca="false">IFERROR(F12/D12,"")</f>
        <v>0</v>
      </c>
      <c r="H12" s="5" t="n">
        <f aca="false">IF(F12&gt;=D12,0,D12-F12)</f>
        <v>5</v>
      </c>
    </row>
    <row r="13" customFormat="false" ht="15" hidden="false" customHeight="false" outlineLevel="0" collapsed="false">
      <c r="A13" s="5" t="s">
        <v>139</v>
      </c>
      <c r="B13" s="5" t="s">
        <v>140</v>
      </c>
      <c r="C13" s="5" t="s">
        <v>141</v>
      </c>
      <c r="D13" s="5" t="n">
        <v>5</v>
      </c>
      <c r="E13" s="5" t="s">
        <v>136</v>
      </c>
      <c r="F13" s="12" t="n">
        <v>0</v>
      </c>
      <c r="G13" s="13" t="n">
        <f aca="false">IFERROR(F13/D13,"")</f>
        <v>0</v>
      </c>
      <c r="H13" s="5" t="n">
        <f aca="false">IF(F13&gt;=D13,0,D13-F13)</f>
        <v>5</v>
      </c>
    </row>
    <row r="14" customFormat="false" ht="23.85" hidden="false" customHeight="false" outlineLevel="0" collapsed="false">
      <c r="A14" s="5" t="s">
        <v>139</v>
      </c>
      <c r="B14" s="5" t="s">
        <v>142</v>
      </c>
      <c r="C14" s="5" t="s">
        <v>128</v>
      </c>
      <c r="D14" s="5" t="n">
        <v>5</v>
      </c>
      <c r="E14" s="5" t="s">
        <v>143</v>
      </c>
      <c r="F14" s="12" t="n">
        <v>0</v>
      </c>
      <c r="G14" s="13" t="n">
        <f aca="false">IFERROR(F14/D14,"")</f>
        <v>0</v>
      </c>
      <c r="H14" s="5" t="n">
        <f aca="false">IF(F14&gt;=D14,0,D14-F14)</f>
        <v>5</v>
      </c>
    </row>
    <row r="15" customFormat="false" ht="23.85" hidden="false" customHeight="false" outlineLevel="0" collapsed="false">
      <c r="A15" s="5" t="s">
        <v>139</v>
      </c>
      <c r="B15" s="5" t="s">
        <v>144</v>
      </c>
      <c r="C15" s="5" t="s">
        <v>128</v>
      </c>
      <c r="D15" s="5" t="n">
        <v>1</v>
      </c>
      <c r="E15" s="5" t="s">
        <v>145</v>
      </c>
      <c r="F15" s="12" t="n">
        <v>0</v>
      </c>
      <c r="G15" s="13" t="n">
        <f aca="false">IFERROR(F15/D15,"")</f>
        <v>0</v>
      </c>
      <c r="H15" s="5" t="n">
        <f aca="false">IF(F15&gt;=D15,0,D15-F15)</f>
        <v>1</v>
      </c>
    </row>
    <row r="17" customFormat="false" ht="15" hidden="false" customHeight="false" outlineLevel="0" collapsed="false">
      <c r="A17" s="2" t="s">
        <v>146</v>
      </c>
    </row>
    <row r="18" customFormat="false" ht="15" hidden="false" customHeight="false" outlineLevel="0" collapsed="false">
      <c r="B18" s="8" t="s">
        <v>117</v>
      </c>
      <c r="C18" s="8"/>
      <c r="D18" s="8" t="n">
        <v>50</v>
      </c>
      <c r="E18" s="8"/>
      <c r="F18" s="14" t="n">
        <v>6</v>
      </c>
      <c r="G18" s="15" t="n">
        <f aca="false">IFERROR(F18/D18,"")</f>
        <v>0.12</v>
      </c>
      <c r="H18" s="8" t="n">
        <f aca="false">IF(F18&gt;=D18,0,D18-F18)</f>
        <v>44</v>
      </c>
    </row>
    <row r="20" customFormat="false" ht="15" hidden="false" customHeight="false" outlineLevel="0" collapsed="false">
      <c r="A20" s="2"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2026-09-15T15:30:20Z</dcterms:created>
  <dc:creator>openpyxl</dc:creator>
  <dc:description/>
  <dc:language>en-US</dc:language>
  <cp:lastModifiedBy/>
  <dcterms:modified xsi:type="dcterms:W3CDTF">2026-09-15T15:30:22Z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