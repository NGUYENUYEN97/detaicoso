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tables/table23.xml" ContentType="application/vnd.openxmlformats-officedocument.spreadsheetml.table+xml"/>
  <Override PartName="/xl/worksheets/sheet28.xml" ContentType="application/vnd.openxmlformats-officedocument.spreadsheetml.worksheet+xml"/>
  <Override PartName="/xl/tables/table24.xml" ContentType="application/vnd.openxmlformats-officedocument.spreadsheetml.table+xml"/>
  <Override PartName="/xl/worksheets/sheet29.xml" ContentType="application/vnd.openxmlformats-officedocument.spreadsheetml.worksheet+xml"/>
  <Override PartName="/xl/tables/table2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cafd938b754f2c" /></Relationships>
</file>

<file path=xl/workbook.xml><?xml version="1.0" encoding="utf-8"?>
<x:workbook xmlns:x="http://schemas.openxmlformats.org/spreadsheetml/2006/main">
  <x:sheets>
    <x:sheet xmlns:r="http://schemas.openxmlformats.org/officeDocument/2006/relationships" name="00_README" sheetId="1" r:id="Rcb90f77a87c94ae9"/>
    <x:sheet xmlns:r="http://schemas.openxmlformats.org/officeDocument/2006/relationships" name="01_PROJECT" sheetId="2" r:id="Recc577942de84422"/>
    <x:sheet xmlns:r="http://schemas.openxmlformats.org/officeDocument/2006/relationships" name="02_OUTPUT" sheetId="3" r:id="Rf882def791284ded"/>
    <x:sheet xmlns:r="http://schemas.openxmlformats.org/officeDocument/2006/relationships" name="03_IP_ASSET" sheetId="4" r:id="R597472c46af44522"/>
    <x:sheet xmlns:r="http://schemas.openxmlformats.org/officeDocument/2006/relationships" name="04_PROTECTION" sheetId="5" r:id="Rc1e15a9eb8f3402d"/>
    <x:sheet xmlns:r="http://schemas.openxmlformats.org/officeDocument/2006/relationships" name="05_UTIL_VALUE" sheetId="6" r:id="R47fb1c91a85e4fce"/>
    <x:sheet xmlns:r="http://schemas.openxmlformats.org/officeDocument/2006/relationships" name="06_LEGAL_GAP" sheetId="7" r:id="R43c363d4e4ed4def"/>
    <x:sheet xmlns:r="http://schemas.openxmlformats.org/officeDocument/2006/relationships" name="07_CODEBOOK" sheetId="8" r:id="R57f82497f540482c"/>
    <x:sheet xmlns:r="http://schemas.openxmlformats.org/officeDocument/2006/relationships" name="08_KPI_DASHBOARD" sheetId="9" r:id="R406dd047a2b54660"/>
    <x:sheet xmlns:r="http://schemas.openxmlformats.org/officeDocument/2006/relationships" name="09_LOOKUPS" sheetId="10" r:id="R7b369582e17a4527"/>
    <x:sheet xmlns:r="http://schemas.openxmlformats.org/officeDocument/2006/relationships" name="01_PROJECT_ALL" sheetId="11" r:id="Rf696f835763a41f6"/>
    <x:sheet xmlns:r="http://schemas.openxmlformats.org/officeDocument/2006/relationships" name="02_OUTPUT_ALL" sheetId="12" r:id="R8d59848deddc41b7"/>
    <x:sheet xmlns:r="http://schemas.openxmlformats.org/officeDocument/2006/relationships" name="03_IP_PRIORITY_ALL" sheetId="13" r:id="R40c6fb4587a84067"/>
    <x:sheet xmlns:r="http://schemas.openxmlformats.org/officeDocument/2006/relationships" name="10_CROSSLINK_STATUS" sheetId="14" r:id="Raba3a19f50d842dc"/>
    <x:sheet xmlns:r="http://schemas.openxmlformats.org/officeDocument/2006/relationships" name="11_DATA_REQUEST" sheetId="15" r:id="R218bc02be3ba4c90"/>
    <x:sheet xmlns:r="http://schemas.openxmlformats.org/officeDocument/2006/relationships" name="08_KPI_ALL" sheetId="16" r:id="R69c631bba3794542"/>
    <x:sheet xmlns:r="http://schemas.openxmlformats.org/officeDocument/2006/relationships" name="12_PUBLICATION_LINKS" sheetId="17" r:id="Ra16d733aee104267"/>
    <x:sheet xmlns:r="http://schemas.openxmlformats.org/officeDocument/2006/relationships" name="13_PROTECTION_INVENTORY" sheetId="18" r:id="R934a021f9a4f4189"/>
    <x:sheet xmlns:r="http://schemas.openxmlformats.org/officeDocument/2006/relationships" name="14_PROJECT_PROTECTION_LINK" sheetId="19" r:id="R5e40deb24377408e"/>
    <x:sheet xmlns:r="http://schemas.openxmlformats.org/officeDocument/2006/relationships" name="15_KNOWLEDGE_IP_CHAIN" sheetId="20" r:id="R2a1bffe2eccd47d1"/>
    <x:sheet xmlns:r="http://schemas.openxmlformats.org/officeDocument/2006/relationships" name="13B_PROTECTION_FULL" sheetId="21" r:id="R3b721e30c3f24729"/>
    <x:sheet xmlns:r="http://schemas.openxmlformats.org/officeDocument/2006/relationships" name="16_VERIFICATION_FINDINGS" sheetId="22" r:id="Re84be753dcdf40db"/>
    <x:sheet xmlns:r="http://schemas.openxmlformats.org/officeDocument/2006/relationships" name="17_LEGAL_PRACTICE_MATRIX" sheetId="23" r:id="R2da5a32c3dc94202"/>
    <x:sheet xmlns:r="http://schemas.openxmlformats.org/officeDocument/2006/relationships" name="18_INTERVIEW_GUIDE" sheetId="24" r:id="R32d8f77f2b8045b0"/>
    <x:sheet xmlns:r="http://schemas.openxmlformats.org/officeDocument/2006/relationships" name="19_CASE_TRACE" sheetId="25" r:id="R6ddce0217d924ce1"/>
    <x:sheet xmlns:r="http://schemas.openxmlformats.org/officeDocument/2006/relationships" name="20_METHODS_REVISION" sheetId="26" r:id="R70987dbc21024fb7"/>
    <x:sheet xmlns:r="http://schemas.openxmlformats.org/officeDocument/2006/relationships" name="21_CHAPTER2_BLUEPRINT" sheetId="27" r:id="R56999c74eb55425a"/>
    <x:sheet xmlns:r="http://schemas.openxmlformats.org/officeDocument/2006/relationships" name="22_TABLE_FIGURE_PLAN" sheetId="28" r:id="Refd12ca9c27f4ed2"/>
    <x:sheet xmlns:r="http://schemas.openxmlformats.org/officeDocument/2006/relationships" name="23_DRAFT_2_1_2_4" sheetId="29" r:id="R2ee0681c0d3c414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0"/>
    <x:numFmt numFmtId="202" formatCode="0.0%"/>
  </x:numFmts>
  <x:fonts count="4">
    <x:font>
      <x:sz val="11"/>
      <x:name val="Carlito"/>
    </x:font>
    <x:font>
      <x:b/>
      <x:sz val="14"/>
      <x:color rgb="FFFFFFFF"/>
      <x:name val="Carlito"/>
    </x:font>
    <x:font>
      <x:b/>
      <x:sz val="11"/>
      <x:color rgb="FFFFFFFF"/>
      <x:name val="Carlito"/>
    </x:font>
    <x:font>
      <x:b/>
      <x:sz val="11"/>
      <x:color rgb="FF1F1F1F"/>
      <x:name val="Carlito"/>
    </x:font>
  </x:fonts>
  <x:fills count="13">
    <x:fill>
      <x:patternFill patternType="none"/>
    </x:fill>
    <x:fill>
      <x:patternFill patternType="gray125"/>
    </x:fill>
    <x:fill>
      <x:patternFill patternType="solid">
        <x:fgColor rgb="FF0F766E"/>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0F766E"/>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0F766E"/>
      </x:patternFill>
    </x:fill>
    <x:fill>
      <x:patternFill patternType="solid">
        <x:fgColor rgb="FF0F766E"/>
      </x:patternFill>
    </x:fill>
    <x:fill>
      <x:patternFill patternType="solid">
        <x:fgColor rgb="FF1F4E78"/>
      </x:patternFill>
    </x:fill>
  </x:fills>
  <x:borders count="2">
    <x:border/>
    <x:border/>
  </x:borders>
  <x:cellStyleXfs count="1">
    <x:xf numFmtId="0" fontId="0" fillId="0" borderId="0"/>
  </x:cellStyleXfs>
  <x:cellXfs count="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202"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left"/>
    </x:xf>
    <x:xf numFmtId="0" fontId="1" fillId="10" borderId="0" xfId="0" applyNumberFormat="1" applyFont="1" applyFill="1" applyBorder="1" applyAlignment="1">
      <x:alignment horizontal="left" vertical="center"/>
    </x:xf>
    <x:xf numFmtId="0" fontId="1" fillId="10" borderId="0"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left"/>
    </x:xf>
    <x:xf numFmtId="0" fontId="1" fillId="11" borderId="0" xfId="0" applyNumberFormat="1" applyFont="1" applyFill="1" applyBorder="1" applyAlignment="1">
      <x:alignment horizontal="lef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left" vertical="center" wrapText="1"/>
    </x:xf>
  </x:cellXfs>
  <x:cellStyles count="1">
    <x:cellStyle name="Normal" xfId="0"/>
  </x:cellStyles>
  <x:dxfs count="8">
    <x:dxf>
      <x:fill>
        <x:patternFill>
          <x:bgColor rgb="FFDCFCE7"/>
        </x:patternFill>
      </x:fill>
    </x:dxf>
    <x:dxf>
      <x:font>
        <x:b/>
      </x:font>
      <x:fill>
        <x:patternFill>
          <x:bgColor rgb="FFFEE2E2"/>
        </x:patternFill>
      </x:fill>
    </x:dxf>
    <x:dxf>
      <x:fill>
        <x:patternFill>
          <x:bgColor rgb="FFFEF3C7"/>
        </x:patternFill>
      </x:fill>
    </x:dxf>
    <x:dxf>
      <x:font>
        <x:b/>
      </x:font>
      <x:fill>
        <x:patternFill>
          <x:bgColor rgb="FFFEE2E2"/>
        </x:patternFill>
      </x:fill>
    </x:dxf>
    <x:dxf>
      <x:font>
        <x:b/>
      </x:font>
      <x:fill>
        <x:patternFill>
          <x:bgColor rgb="FFFEE2E2"/>
        </x:patternFill>
      </x:fill>
    </x:dxf>
    <x:dxf>
      <x:fill>
        <x:patternFill>
          <x:bgColor rgb="FFFEE2E2"/>
        </x:patternFill>
      </x:fill>
    </x:dxf>
    <x:dxf>
      <x:font>
        <x:b/>
      </x:font>
      <x:fill>
        <x:patternFill>
          <x:bgColor rgb="FFFEF3C7"/>
        </x:patternFill>
      </x:fill>
    </x:dxf>
    <x:dxf>
      <x:font>
        <x: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aae5c6b744446b" /><Relationship Type="http://schemas.openxmlformats.org/officeDocument/2006/relationships/theme" Target="/xl/theme/theme1.xml" Id="R84f107a967d74921" /><Relationship Type="http://schemas.openxmlformats.org/officeDocument/2006/relationships/sharedStrings" Target="/xl/sharedStrings.xml" Id="R6100d61a734b492c" /><Relationship Type="http://schemas.openxmlformats.org/officeDocument/2006/relationships/worksheet" Target="/xl/worksheets/sheet1.xml" Id="Rcb90f77a87c94ae9" /><Relationship Type="http://schemas.openxmlformats.org/officeDocument/2006/relationships/worksheet" Target="/xl/worksheets/sheet2.xml" Id="Recc577942de84422" /><Relationship Type="http://schemas.openxmlformats.org/officeDocument/2006/relationships/worksheet" Target="/xl/worksheets/sheet3.xml" Id="Rf882def791284ded" /><Relationship Type="http://schemas.openxmlformats.org/officeDocument/2006/relationships/worksheet" Target="/xl/worksheets/sheet4.xml" Id="R597472c46af44522" /><Relationship Type="http://schemas.openxmlformats.org/officeDocument/2006/relationships/worksheet" Target="/xl/worksheets/sheet5.xml" Id="Rc1e15a9eb8f3402d" /><Relationship Type="http://schemas.openxmlformats.org/officeDocument/2006/relationships/worksheet" Target="/xl/worksheets/sheet6.xml" Id="R47fb1c91a85e4fce" /><Relationship Type="http://schemas.openxmlformats.org/officeDocument/2006/relationships/worksheet" Target="/xl/worksheets/sheet7.xml" Id="R43c363d4e4ed4def" /><Relationship Type="http://schemas.openxmlformats.org/officeDocument/2006/relationships/worksheet" Target="/xl/worksheets/sheet8.xml" Id="R57f82497f540482c" /><Relationship Type="http://schemas.openxmlformats.org/officeDocument/2006/relationships/worksheet" Target="/xl/worksheets/sheet9.xml" Id="R406dd047a2b54660" /><Relationship Type="http://schemas.openxmlformats.org/officeDocument/2006/relationships/worksheet" Target="/xl/worksheets/sheet10.xml" Id="R7b369582e17a4527" /><Relationship Type="http://schemas.openxmlformats.org/officeDocument/2006/relationships/worksheet" Target="/xl/worksheets/sheet11.xml" Id="Rf696f835763a41f6" /><Relationship Type="http://schemas.openxmlformats.org/officeDocument/2006/relationships/worksheet" Target="/xl/worksheets/sheet12.xml" Id="R8d59848deddc41b7" /><Relationship Type="http://schemas.openxmlformats.org/officeDocument/2006/relationships/worksheet" Target="/xl/worksheets/sheet13.xml" Id="R40c6fb4587a84067" /><Relationship Type="http://schemas.openxmlformats.org/officeDocument/2006/relationships/worksheet" Target="/xl/worksheets/sheet14.xml" Id="Raba3a19f50d842dc" /><Relationship Type="http://schemas.openxmlformats.org/officeDocument/2006/relationships/worksheet" Target="/xl/worksheets/sheet15.xml" Id="R218bc02be3ba4c90" /><Relationship Type="http://schemas.openxmlformats.org/officeDocument/2006/relationships/worksheet" Target="/xl/worksheets/sheet16.xml" Id="R69c631bba3794542" /><Relationship Type="http://schemas.openxmlformats.org/officeDocument/2006/relationships/worksheet" Target="/xl/worksheets/sheet17.xml" Id="Ra16d733aee104267" /><Relationship Type="http://schemas.openxmlformats.org/officeDocument/2006/relationships/worksheet" Target="/xl/worksheets/sheet18.xml" Id="R934a021f9a4f4189" /><Relationship Type="http://schemas.openxmlformats.org/officeDocument/2006/relationships/worksheet" Target="/xl/worksheets/sheet19.xml" Id="R5e40deb24377408e" /><Relationship Type="http://schemas.openxmlformats.org/officeDocument/2006/relationships/worksheet" Target="/xl/worksheets/sheet20.xml" Id="R2a1bffe2eccd47d1" /><Relationship Type="http://schemas.openxmlformats.org/officeDocument/2006/relationships/worksheet" Target="/xl/worksheets/sheet21.xml" Id="R3b721e30c3f24729" /><Relationship Type="http://schemas.openxmlformats.org/officeDocument/2006/relationships/worksheet" Target="/xl/worksheets/sheet22.xml" Id="Re84be753dcdf40db" /><Relationship Type="http://schemas.openxmlformats.org/officeDocument/2006/relationships/worksheet" Target="/xl/worksheets/sheet23.xml" Id="R2da5a32c3dc94202" /><Relationship Type="http://schemas.openxmlformats.org/officeDocument/2006/relationships/worksheet" Target="/xl/worksheets/sheet24.xml" Id="R32d8f77f2b8045b0" /><Relationship Type="http://schemas.openxmlformats.org/officeDocument/2006/relationships/worksheet" Target="/xl/worksheets/sheet25.xml" Id="R6ddce0217d924ce1" /><Relationship Type="http://schemas.openxmlformats.org/officeDocument/2006/relationships/worksheet" Target="/xl/worksheets/sheet26.xml" Id="R70987dbc21024fb7" /><Relationship Type="http://schemas.openxmlformats.org/officeDocument/2006/relationships/worksheet" Target="/xl/worksheets/sheet27.xml" Id="R56999c74eb55425a" /><Relationship Type="http://schemas.openxmlformats.org/officeDocument/2006/relationships/worksheet" Target="/xl/worksheets/sheet28.xml" Id="Refd12ca9c27f4ed2" /><Relationship Type="http://schemas.openxmlformats.org/officeDocument/2006/relationships/worksheet" Target="/xl/worksheets/sheet29.xml" Id="R2ee0681c0d3c4140" /></Relationships>
</file>

<file path=xl/drawings/_rels/drawing1.xml.rels>&#65279;<?xml version="1.0" encoding="utf-8"?><Relationships xmlns="http://schemas.openxmlformats.org/package/2006/relationships"><Relationship Type="http://schemas.openxmlformats.org/officeDocument/2006/relationships/chart" Target="/xl/drawings/charts/chart1.xml" Id="R4811a1de2b97447b" /></Relationships>
</file>

<file path=xl/drawings/_rels/drawing2.xml.rels>&#65279;<?xml version="1.0" encoding="utf-8"?><Relationships xmlns="http://schemas.openxmlformats.org/package/2006/relationships"><Relationship Type="http://schemas.openxmlformats.org/officeDocument/2006/relationships/chart" Target="/xl/drawings/charts/chart2.xml" Id="R75370bd0ef734c00" /><Relationship Type="http://schemas.openxmlformats.org/officeDocument/2006/relationships/chart" Target="/xl/drawings/charts/chart3.xml" Id="Re0bc580f4d8d4d5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IP Funnel – dữ liệu mẫu đã nhập</a:t>
            </a:r>
          </a:p>
        </c:rich>
      </c:tx>
    </c:title>
    <c:plotArea>
      <c:barChart>
        <c:barDir val="col"/>
        <c:varyColors val="0"/>
        <c:ser>
          <c:idx val="0"/>
          <c:order val="0"/>
          <c:tx>
            <c:v>Series 1</c:v>
          </c:tx>
          <c:cat>
            <c:strRef>
              <c:f>'08_KPI_DASHBOARD'!$A$4:$A$11</c:f>
              <c:strCache>
                <c:ptCount val="0"/>
              </c:strCache>
            </c:strRef>
          </c:cat>
          <c:val>
            <c:numRef>
              <c:f>'08_KPI_DASHBOARD'!$B$4:$B$11</c:f>
              <c:numCache>
                <c:formatCode>General</c:formatCode>
                <c:ptCount val="0"/>
              </c:numCache>
            </c:numRef>
          </c:val>
        </c:ser>
        <c:ser>
          <c:idx val="1"/>
          <c:order val="1"/>
          <c:tx>
            <c:v>Series 2</c:v>
          </c:tx>
          <c:cat>
            <c:strRef>
              <c:f>'08_KPI_DASHBOARD'!$A$4:$A$11</c:f>
              <c:strCache>
                <c:ptCount val="0"/>
              </c:strCache>
            </c:strRef>
          </c:cat>
          <c:val>
            <c:numRef>
              <c:f>'08_KPI_DASHBOARD'!$C$4:$C$11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Số đề tài theo năm nhóm</a:t>
            </a:r>
          </a:p>
        </c:rich>
      </c:tx>
    </c:title>
    <c:plotArea>
      <c:barChart>
        <c:barDir val="col"/>
        <c:grouping val="clustered"/>
        <c:varyColors val="0"/>
        <c:ser>
          <c:idx val="0"/>
          <c:order val="0"/>
          <c:tx>
            <c:v>Số đề tài</c:v>
          </c:tx>
          <c:cat>
            <c:strRef>
              <c:f>'08_KPI_ALL'!$A$17:$A$21</c:f>
              <c:strCache>
                <c:ptCount val="0"/>
              </c:strCache>
            </c:strRef>
          </c:cat>
          <c:val>
            <c:numRef>
              <c:f>'08_KPI_ALL'!$B$17:$B$21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Đề tài theo trụ cột chiến lược</a:t>
            </a:r>
          </a:p>
        </c:rich>
      </c:tx>
    </c:title>
    <c:plotArea>
      <c:barChart>
        <c:barDir val="col"/>
        <c:varyColors val="0"/>
        <c:ser>
          <c:idx val="0"/>
          <c:order val="0"/>
          <c:tx>
            <c:v>Số đề tài</c:v>
          </c:tx>
          <c:cat>
            <c:strRef>
              <c:f>'08_KPI_ALL'!$E$17:$E$21</c:f>
              <c:strCache>
                <c:ptCount val="0"/>
              </c:strCache>
            </c:strRef>
          </c:cat>
          <c:val>
            <c:numRef>
              <c:f>'08_KPI_ALL'!$F$17:$F$21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11a1de2b97447b"/>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14</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370bd0ef734c00"/>
        </a:graphicData>
      </a:graphic>
    </xdr:graphicFrame>
    <xdr:clientData/>
  </xdr:twoCellAnchor>
  <xdr:twoCellAnchor>
    <xdr:from>
      <xdr:col>7</xdr:col>
      <xdr:colOff>0</xdr:colOff>
      <xdr:row>15</xdr:row>
      <xdr:rowOff>0</xdr:rowOff>
    </xdr:from>
    <xdr:to>
      <xdr:col>14</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bc580f4d8d4d5c"/>
        </a:graphicData>
      </a:graphic>
    </xdr:graphicFrame>
    <xdr:clientData/>
  </xdr:twoCellAnchor>
</xdr:wsDr>
</file>

<file path=xl/tables/table1.xml><?xml version="1.0" encoding="utf-8"?>
<x:table xmlns:x="http://schemas.openxmlformats.org/spreadsheetml/2006/main" id="1" name="ProjectTable" displayName="ProjectTable" ref="A1:R8" headerRowCount="1" totalsRowCount="0" totalsRowShown="0">
  <x:tableColumns count="18">
    <x:tableColumn id="1" name="Project_ID"/>
    <x:tableColumn id="2" name="Năm"/>
    <x:tableColumn id="3" name="Mã đề tài"/>
    <x:tableColumn id="4" name="Tên đề tài"/>
    <x:tableColumn id="5" name="Cấp đề tài"/>
    <x:tableColumn id="6" name="Chủ nhiệm"/>
    <x:tableColumn id="7" name="Đơn vị chủ trì"/>
    <x:tableColumn id="8" name="Nhóm ngành chuẩn hóa"/>
    <x:tableColumn id="9" name="Strategic_Cluster"/>
    <x:tableColumn id="10" name="Ngày nghiệm thu"/>
    <x:tableColumn id="11" name="Xếp loại"/>
    <x:tableColumn id="12" name="Kinh phí_VND"/>
    <x:tableColumn id="13" name="Số thành viên"/>
    <x:tableColumn id="14" name="Có DN tham gia?"/>
    <x:tableColumn id="15" name="Có SV tham gia?"/>
    <x:tableColumn id="16" name="Số đầu ra (formula)"/>
    <x:tableColumn id="17" name="Nguồn hồ sơ"/>
    <x:tableColumn id="18" name="Ghi chú xác minh"/>
  </x:tableColumns>
  <x:tableStyleInfo name="TableStyleMedium2" showFirstColumn="0" showLastColumn="0" showRowStripes="1" showColumnStripes="0"/>
</x:table>
</file>

<file path=xl/tables/table2.xml><?xml version="1.0" encoding="utf-8"?>
<x:table xmlns:x="http://schemas.openxmlformats.org/spreadsheetml/2006/main" id="2" name="OutputTable" displayName="OutputTable" ref="A1:P20" headerRowCount="1" totalsRowCount="0" totalsRowShown="0">
  <x:tableColumns count="16">
    <x:tableColumn id="1" name="Output_ID"/>
    <x:tableColumn id="2" name="Project_ID"/>
    <x:tableColumn id="3" name="Năm"/>
    <x:tableColumn id="4" name="Tên đầu ra"/>
    <x:tableColumn id="5" name="Loại đầu ra"/>
    <x:tableColumn id="6" name="Số lượng"/>
    <x:tableColumn id="7" name="Đơn vị tính"/>
    <x:tableColumn id="8" name="Tác giả/chủ trì liên quan"/>
    <x:tableColumn id="9" name="Đã công bố?"/>
    <x:tableColumn id="10" name="DOI/Link/Mã"/>
    <x:tableColumn id="11" name="Dấu hiệu TSTT?"/>
    <x:tableColumn id="12" name="Nhóm TSTT sơ bộ"/>
    <x:tableColumn id="13" name="Khả năng tạo giá trị"/>
    <x:tableColumn id="14" name="Bằng chứng nguồn"/>
    <x:tableColumn id="15" name="Mức tin cậy"/>
    <x:tableColumn id="16" name="Ghi chú"/>
  </x:tableColumns>
  <x:tableStyleInfo name="TableStyleMedium2" showFirstColumn="0" showLastColumn="0" showRowStripes="1" showColumnStripes="0"/>
</x:table>
</file>

<file path=xl/tables/table3.xml><?xml version="1.0" encoding="utf-8"?>
<x:table xmlns:x="http://schemas.openxmlformats.org/spreadsheetml/2006/main" id="3" name="IPAssetTable" displayName="IPAssetTable" ref="A1:T8" headerRowCount="1" totalsRowCount="0" totalsRowShown="0">
  <x:tableColumns count="20">
    <x:tableColumn id="1" name="IP_ID"/>
    <x:tableColumn id="2" name="Project_ID"/>
    <x:tableColumn id="3" name="Output_ID chính"/>
    <x:tableColumn id="4" name="Tên TSTT/cụm TSTT"/>
    <x:tableColumn id="5" name="Nhóm TSTT"/>
    <x:tableColumn id="6" name="Hình thức quyền dự kiến"/>
    <x:tableColumn id="7" name="Chủ thể sáng tạo rõ?"/>
    <x:tableColumn id="8" name="Chủ sở hữu rõ?"/>
    <x:tableColumn id="9" name="Trường sở hữu/đồng sở hữu?"/>
    <x:tableColumn id="10" name="Nguồn lực trường?"/>
    <x:tableColumn id="11" name="Có đối tác ngoài trường?"/>
    <x:tableColumn id="12" name="Đã được nhận diện chính thức?"/>
    <x:tableColumn id="13" name="Đã sàng lọc khả năng bảo hộ?"/>
    <x:tableColumn id="14" name="Mức tiềm năng bảo hộ (0-3)"/>
    <x:tableColumn id="15" name="Mức tiềm năng ứng dụng (0-3)"/>
    <x:tableColumn id="16" name="Rủi ro công bố trước bảo hộ"/>
    <x:tableColumn id="17" name="Tình trạng IP"/>
    <x:tableColumn id="18" name="Mức tin cậy"/>
    <x:tableColumn id="19" name="Bằng chứng"/>
    <x:tableColumn id="20" name="Ghi chú chuyên gia"/>
  </x:tableColumns>
  <x:tableStyleInfo name="TableStyleMedium2" showFirstColumn="0" showLastColumn="0" showRowStripes="1" showColumnStripes="0"/>
</x:table>
</file>

<file path=xl/tables/table4.xml><?xml version="1.0" encoding="utf-8"?>
<x:table xmlns:x="http://schemas.openxmlformats.org/spreadsheetml/2006/main" id="4" name="ProtectionTable" displayName="ProtectionTable" ref="A1:Q3" headerRowCount="1" totalsRowCount="0" totalsRowShown="0">
  <x:tableColumns count="17">
    <x:tableColumn id="1" name="Protection_ID"/>
    <x:tableColumn id="2" name="IP_ID"/>
    <x:tableColumn id="3" name="Loại quyền/hồ sơ"/>
    <x:tableColumn id="4" name="Ngày phát sinh kết quả"/>
    <x:tableColumn id="5" name="Ngày khai báo IP"/>
    <x:tableColumn id="6" name="Ngày sàng lọc"/>
    <x:tableColumn id="7" name="Ngày nộp đơn"/>
    <x:tableColumn id="8" name="Số đơn"/>
    <x:tableColumn id="9" name="Cơ quan nhận đơn"/>
    <x:tableColumn id="10" name="Chủ đơn"/>
    <x:tableColumn id="11" name="Tình trạng"/>
    <x:tableColumn id="12" name="Ngày cấp"/>
    <x:tableColumn id="13" name="Số văn bằng"/>
    <x:tableColumn id="14" name="Chi phí bảo hộ_VND"/>
    <x:tableColumn id="15" name="Time_to_IP_days"/>
    <x:tableColumn id="16" name="Nguồn bằng chứng"/>
    <x:tableColumn id="17" name="Ghi chú"/>
  </x:tableColumns>
  <x:tableStyleInfo name="TableStyleMedium2" showFirstColumn="0" showLastColumn="0" showRowStripes="1" showColumnStripes="0"/>
</x:table>
</file>

<file path=xl/tables/table5.xml><?xml version="1.0" encoding="utf-8"?>
<x:table xmlns:x="http://schemas.openxmlformats.org/spreadsheetml/2006/main" id="5" name="UtilValueTable" displayName="UtilValueTable" ref="A1:T2" headerRowCount="1" totalsRowCount="0" totalsRowShown="0">
  <x:tableColumns count="20">
    <x:tableColumn id="1" name="Util_ID"/>
    <x:tableColumn id="2" name="IP_ID"/>
    <x:tableColumn id="3" name="Project_ID"/>
    <x:tableColumn id="4" name="Hình thức sử dụng"/>
    <x:tableColumn id="5" name="Mức sử dụng (0-7)"/>
    <x:tableColumn id="6" name="Đơn vị sử dụng"/>
    <x:tableColumn id="7" name="Đối tác"/>
    <x:tableColumn id="8" name="Bằng chứng sử dụng"/>
    <x:tableColumn id="9" name="Ngày bắt đầu"/>
    <x:tableColumn id="10" name="Doanh thu_VND"/>
    <x:tableColumn id="11" name="Tiết kiệm chi phí_VND"/>
    <x:tableColumn id="12" name="Số người dùng/đối tượng hưởng lợi"/>
    <x:tableColumn id="13" name="Giá trị khoa học (0-3)"/>
    <x:tableColumn id="14" name="Giá trị đào tạo (0-3)"/>
    <x:tableColumn id="15" name="Giá trị công nghệ (0-3)"/>
    <x:tableColumn id="16" name="Giá trị kinh tế (0-3)"/>
    <x:tableColumn id="17" name="Giá trị chiến lược (0-3)"/>
    <x:tableColumn id="18" name="Tình trạng định giá"/>
    <x:tableColumn id="19" name="Nguồn"/>
    <x:tableColumn id="20" name="Ghi chú"/>
  </x:tableColumns>
  <x:tableStyleInfo name="TableStyleMedium2" showFirstColumn="0" showLastColumn="0" showRowStripes="1" showColumnStripes="0"/>
</x:table>
</file>

<file path=xl/tables/table6.xml><?xml version="1.0" encoding="utf-8"?>
<x:table xmlns:x="http://schemas.openxmlformats.org/spreadsheetml/2006/main" id="6" name="LegalGapTable" displayName="LegalGapTable" ref="A1:K13" headerRowCount="1" totalsRowCount="0" totalsRowShown="0">
  <x:tableColumns count="11">
    <x:tableColumn id="1" name="Gap_ID"/>
    <x:tableColumn id="2" name="Khâu quản trị"/>
    <x:tableColumn id="3" name="Yêu cầu/quy định nội bộ"/>
    <x:tableColumn id="4" name="Nguồn quy định"/>
    <x:tableColumn id="5" name="Bằng chứng thực tế cần thu"/>
    <x:tableColumn id="6" name="Bằng chứng hiện có"/>
    <x:tableColumn id="7" name="Mức tuân thủ (0-2)"/>
    <x:tableColumn id="8" name="Mức độ rủi ro"/>
    <x:tableColumn id="9" name="Khoảng cách sơ bộ"/>
    <x:tableColumn id="10" name="Dữ liệu cần xin thêm"/>
    <x:tableColumn id="11" name="Khuyến nghị kiểm tra"/>
  </x:tableColumns>
  <x:tableStyleInfo name="TableStyleMedium2" showFirstColumn="0" showLastColumn="0" showRowStripes="1" showColumnStripes="0"/>
</x:table>
</file>

<file path=xl/tables/table7.xml><?xml version="1.0" encoding="utf-8"?>
<x:table xmlns:x="http://schemas.openxmlformats.org/spreadsheetml/2006/main" id="7" name="CodebookTable" displayName="CodebookTable" ref="A1:H79" headerRowCount="1" totalsRowCount="0" totalsRowShown="0">
  <x:tableColumns count="8">
    <x:tableColumn id="1" name="Dataset"/>
    <x:tableColumn id="2" name="Biến"/>
    <x:tableColumn id="3" name="Nhãn/ý nghĩa"/>
    <x:tableColumn id="4" name="Kiểu"/>
    <x:tableColumn id="5" name="Mã hóa/giá trị hợp lệ"/>
    <x:tableColumn id="6" name="Bắt buộc?"/>
    <x:tableColumn id="7" name="Nguồn dự kiến"/>
    <x:tableColumn id="8" name="Ghi chú coding"/>
  </x:tableColumns>
  <x:tableStyleInfo name="TableStyleMedium2" showFirstColumn="0" showLastColumn="0" showRowStripes="1" showColumnStripes="0"/>
</x:table>
</file>

<file path=xl/tables/table8.xml><?xml version="1.0" encoding="utf-8"?>
<x:table xmlns:x="http://schemas.openxmlformats.org/spreadsheetml/2006/main" id="8" name="ProjectAllTable" displayName="ProjectAllTable" ref="A1:R39" headerRowCount="1" totalsRowCount="0" totalsRowShown="0">
  <x:tableColumns count="18">
    <x:tableColumn id="1" name="Project_ID"/>
    <x:tableColumn id="2" name="Năm giao/nhóm"/>
    <x:tableColumn id="3" name="Mã đề tài"/>
    <x:tableColumn id="4" name="Tên đề tài"/>
    <x:tableColumn id="5" name="Cấp"/>
    <x:tableColumn id="6" name="Chủ nhiệm"/>
    <x:tableColumn id="7" name="Đơn vị chủ trì"/>
    <x:tableColumn id="8" name="Nhóm ngành chuẩn hóa"/>
    <x:tableColumn id="9" name="Strategic_Cluster"/>
    <x:tableColumn id="10" name="Ngày nghiệm thu"/>
    <x:tableColumn id="11" name="Xếp loại"/>
    <x:tableColumn id="12" name="Kinh phí_VND"/>
    <x:tableColumn id="13" name="Hình thức kinh phí"/>
    <x:tableColumn id="14" name="Số người tham gia"/>
    <x:tableColumn id="15" name="Đầu ra ứng dụng ghi trong hồ sơ?"/>
    <x:tableColumn id="16" name="Số đầu ra (formula)"/>
    <x:tableColumn id="17" name="Nguồn"/>
    <x:tableColumn id="18" name="Ghi chú xác minh"/>
  </x:tableColumns>
  <x:tableStyleInfo name="TableStyleMedium2" showFirstColumn="0" showLastColumn="0" showRowStripes="1" showColumnStripes="0"/>
</x:table>
</file>

<file path=xl/tables/table9.xml><?xml version="1.0" encoding="utf-8"?>
<x:table xmlns:x="http://schemas.openxmlformats.org/spreadsheetml/2006/main" id="9" name="OutputAllTable" displayName="OutputAllTable" ref="A1:O91" headerRowCount="1" totalsRowCount="0" totalsRowShown="0">
  <x:tableColumns count="15">
    <x:tableColumn id="1" name="Output_ID"/>
    <x:tableColumn id="2" name="Project_ID"/>
    <x:tableColumn id="3" name="Năm"/>
    <x:tableColumn id="4" name="Tên đầu ra theo hồ sơ"/>
    <x:tableColumn id="5" name="Loại đầu ra"/>
    <x:tableColumn id="6" name="Số lượng"/>
    <x:tableColumn id="7" name="Đơn vị tính"/>
    <x:tableColumn id="8" name="Trạng thái bằng chứng"/>
    <x:tableColumn id="9" name="Dấu hiệu TSTT?"/>
    <x:tableColumn id="10" name="Hình thức quyền/biện pháp sơ bộ"/>
    <x:tableColumn id="11" name="Ưu tiên quản trị IP"/>
    <x:tableColumn id="12" name="Có dấu hiệu ứng dụng?"/>
    <x:tableColumn id="13" name="Đối chiếu với CSDL công bố"/>
    <x:tableColumn id="14" name="Nguồn"/>
    <x:tableColumn id="15" name="Ghi chú coding"/>
  </x:tableColumns>
  <x:tableStyleInfo name="TableStyleMedium2" showFirstColumn="0" showLastColumn="0" showRowStripes="1" showColumnStripes="0"/>
</x:table>
</file>

<file path=xl/tables/table10.xml><?xml version="1.0" encoding="utf-8"?>
<x:table xmlns:x="http://schemas.openxmlformats.org/spreadsheetml/2006/main" id="10" name="IPPriorityAllTable" displayName="IPPriorityAllTable" ref="A1:O27" headerRowCount="1" totalsRowCount="0" totalsRowShown="0">
  <x:tableColumns count="15">
    <x:tableColumn id="1" name="Priority_IP_ID"/>
    <x:tableColumn id="2" name="Output_ID"/>
    <x:tableColumn id="3" name="Project_ID"/>
    <x:tableColumn id="4" name="Năm"/>
    <x:tableColumn id="5" name="TSTT/đầu ra ưu tiên"/>
    <x:tableColumn id="6" name="Loại đầu ra"/>
    <x:tableColumn id="7" name="Mức ưu tiên"/>
    <x:tableColumn id="8" name="Hình thức quyền/biện pháp sơ bộ"/>
    <x:tableColumn id="9" name="Dấu hiệu ứng dụng"/>
    <x:tableColumn id="10" name="Đã nhận diện chính thức?"/>
    <x:tableColumn id="11" name="Đã sàng lọc IP?"/>
    <x:tableColumn id="12" name="Chủ sở hữu đã xác minh?"/>
    <x:tableColumn id="13" name="Hành động đề xuất"/>
    <x:tableColumn id="14" name="Nguồn"/>
    <x:tableColumn id="15" name="Trạng thái bằng chứng"/>
  </x:tableColumns>
  <x:tableStyleInfo name="TableStyleMedium2" showFirstColumn="0" showLastColumn="0" showRowStripes="1" showColumnStripes="0"/>
</x:table>
</file>

<file path=xl/tables/table11.xml><?xml version="1.0" encoding="utf-8"?>
<x:table xmlns:x="http://schemas.openxmlformats.org/spreadsheetml/2006/main" id="11" name="CrosslinkTable" displayName="CrosslinkTable" ref="A1:M31" headerRowCount="1" totalsRowCount="0" totalsRowShown="0">
  <x:tableColumns count="13">
    <x:tableColumn id="1" name="Crosslink_ID"/>
    <x:tableColumn id="2" name="Output_ID"/>
    <x:tableColumn id="3" name="Project_ID"/>
    <x:tableColumn id="4" name="Năm"/>
    <x:tableColumn id="5" name="Đầu ra ghi trong hồ sơ"/>
    <x:tableColumn id="6" name="CSDL đích"/>
    <x:tableColumn id="7" name="Match_Status"/>
    <x:tableColumn id="8" name="Tiêu đề ghép được"/>
    <x:tableColumn id="9" name="DOI/Link"/>
    <x:tableColumn id="10" name="Mức tin cậy ghép"/>
    <x:tableColumn id="11" name="Trạng thái bằng chứng gốc"/>
    <x:tableColumn id="12" name="Nguồn"/>
    <x:tableColumn id="13" name="Ghi chú"/>
  </x:tableColumns>
  <x:tableStyleInfo name="TableStyleMedium2" showFirstColumn="0" showLastColumn="0" showRowStripes="1" showColumnStripes="0"/>
</x:table>
</file>

<file path=xl/tables/table12.xml><?xml version="1.0" encoding="utf-8"?>
<x:table xmlns:x="http://schemas.openxmlformats.org/spreadsheetml/2006/main" id="12" name="DataRequestTable" displayName="DataRequestTable" ref="A1:I16" headerRowCount="1" totalsRowCount="0" totalsRowShown="0">
  <x:tableColumns count="9">
    <x:tableColumn id="1" name="Request_ID"/>
    <x:tableColumn id="2" name="Dữ liệu/hồ sơ cần xin"/>
    <x:tableColumn id="3" name="Giai đoạn"/>
    <x:tableColumn id="4" name="Đơn vị dự kiến lưu giữ"/>
    <x:tableColumn id="5" name="Trường dữ liệu tối thiểu"/>
    <x:tableColumn id="6" name="Phục vụ chỉ số/phân tích"/>
    <x:tableColumn id="7" name="Ưu tiên"/>
    <x:tableColumn id="8" name="Trạng thái"/>
    <x:tableColumn id="9" name="Ghi chú"/>
  </x:tableColumns>
  <x:tableStyleInfo name="TableStyleMedium2" showFirstColumn="0" showLastColumn="0" showRowStripes="1" showColumnStripes="0"/>
</x:table>
</file>

<file path=xl/tables/table13.xml><?xml version="1.0" encoding="utf-8"?>
<x:table xmlns:x="http://schemas.openxmlformats.org/spreadsheetml/2006/main" id="13" name="PublicationLinksTable" displayName="PublicationLinksTable" ref="A1:N14" headerRowCount="1" totalsRowCount="0" totalsRowShown="0">
  <x:tableColumns count="14">
    <x:tableColumn id="1" name="Link_ID"/>
    <x:tableColumn id="2" name="Output_ID"/>
    <x:tableColumn id="3" name="Project_ID"/>
    <x:tableColumn id="4" name="Quan hệ"/>
    <x:tableColumn id="5" name="Tiêu đề công bố xác định được"/>
    <x:tableColumn id="6" name="Loại công bố"/>
    <x:tableColumn id="7" name="Tạp chí/Hội thảo"/>
    <x:tableColumn id="8" name="Tác giả"/>
    <x:tableColumn id="9" name="Năm"/>
    <x:tableColumn id="10" name="Số/Vol/ISBN"/>
    <x:tableColumn id="11" name="DOI/Link"/>
    <x:tableColumn id="12" name="Mức độ khớp"/>
    <x:tableColumn id="13" name="Cơ sở khớp"/>
    <x:tableColumn id="14" name="Nguồn dữ liệu"/>
  </x:tableColumns>
  <x:tableStyleInfo name="TableStyleMedium2" showFirstColumn="0" showLastColumn="0" showRowStripes="1" showColumnStripes="0"/>
</x:table>
</file>

<file path=xl/tables/table14.xml><?xml version="1.0" encoding="utf-8"?>
<x:table xmlns:x="http://schemas.openxmlformats.org/spreadsheetml/2006/main" id="14" name="ProtectionInventoryTable" displayName="ProtectionInventoryTable" ref="A1:L13" headerRowCount="1" totalsRowCount="0" totalsRowShown="0">
  <x:tableColumns count="12">
    <x:tableColumn id="1" name="Protection_ID"/>
    <x:tableColumn id="2" name="Loại hình"/>
    <x:tableColumn id="3" name="Tên/đối tượng"/>
    <x:tableColumn id="4" name="Số/Ký mã hiệu"/>
    <x:tableColumn id="5" name="Năm"/>
    <x:tableColumn id="6" name="Cơ quan"/>
    <x:tableColumn id="7" name="Chủ sở hữu"/>
    <x:tableColumn id="8" name="Trạng thái suy ra từ nguồn"/>
    <x:tableColumn id="9" name="Project_ID liên quan sơ bộ"/>
    <x:tableColumn id="10" name="Mức độ liên kết"/>
    <x:tableColumn id="11" name="Nguồn"/>
    <x:tableColumn id="12" name="Ghi chú"/>
  </x:tableColumns>
  <x:tableStyleInfo name="TableStyleMedium2" showFirstColumn="0" showLastColumn="0" showRowStripes="1" showColumnStripes="0"/>
</x:table>
</file>

<file path=xl/tables/table15.xml><?xml version="1.0" encoding="utf-8"?>
<x:table xmlns:x="http://schemas.openxmlformats.org/spreadsheetml/2006/main" id="15" name="ProjectProtectionLinkTable" displayName="ProjectProtectionLinkTable" ref="A1:H3" headerRowCount="1" totalsRowCount="0" totalsRowShown="0">
  <x:tableColumns count="8">
    <x:tableColumn id="1" name="Link_ID"/>
    <x:tableColumn id="2" name="Project_ID"/>
    <x:tableColumn id="3" name="Output_ID"/>
    <x:tableColumn id="4" name="Protection_ID"/>
    <x:tableColumn id="5" name="Tên liên kết"/>
    <x:tableColumn id="6" name="Mức độ khớp"/>
    <x:tableColumn id="7" name="Bằng chứng liên kết"/>
    <x:tableColumn id="8" name="Điểm cần xác minh"/>
  </x:tableColumns>
  <x:tableStyleInfo name="TableStyleMedium2" showFirstColumn="0" showLastColumn="0" showRowStripes="1" showColumnStripes="0"/>
</x:table>
</file>

<file path=xl/tables/table16.xml><?xml version="1.0" encoding="utf-8"?>
<x:table xmlns:x="http://schemas.openxmlformats.org/spreadsheetml/2006/main" id="16" name="KnowledgeIPChainTable" displayName="KnowledgeIPChainTable" ref="A1:K39" headerRowCount="1" totalsRowCount="0" totalsRowShown="0">
  <x:tableColumns count="11">
    <x:tableColumn id="1" name="Project_ID"/>
    <x:tableColumn id="2" name="Năm"/>
    <x:tableColumn id="3" name="Tên đề tài"/>
    <x:tableColumn id="4" name="Strategic_Cluster"/>
    <x:tableColumn id="5" name="Số đầu ra"/>
    <x:tableColumn id="6" name="Đầu ra ưu tiên IP"/>
    <x:tableColumn id="7" name="Công bố đã ghép"/>
    <x:tableColumn id="8" name="Bảo hộ đã liên kết"/>
    <x:tableColumn id="9" name="Đầu ra có dấu hiệu ứng dụng"/>
    <x:tableColumn id="10" name="Giai đoạn chuỗi hiện quan sát được"/>
    <x:tableColumn id="11" name="Khoảng trống cần kiểm chứng"/>
  </x:tableColumns>
  <x:tableStyleInfo name="TableStyleMedium2" showFirstColumn="0" showLastColumn="0" showRowStripes="1" showColumnStripes="0"/>
</x:table>
</file>

<file path=xl/tables/table17.xml><?xml version="1.0" encoding="utf-8"?>
<x:table xmlns:x="http://schemas.openxmlformats.org/spreadsheetml/2006/main" id="17" name="ProtectionFullSourceTable" displayName="ProtectionFullSourceTable" ref="A1:M17" headerRowCount="1" totalsRowCount="0" totalsRowShown="0">
  <x:tableColumns count="13">
    <x:tableColumn id="1" name="Source_ID"/>
    <x:tableColumn id="2" name="Loại hình chuẩn hóa"/>
    <x:tableColumn id="3" name="Tên và nội dung"/>
    <x:tableColumn id="4" name="Số/Ký mã hiệu theo nguồn"/>
    <x:tableColumn id="5" name="Năm"/>
    <x:tableColumn id="6" name="Nơi cấp"/>
    <x:tableColumn id="7" name="Vai trò theo nguồn"/>
    <x:tableColumn id="8" name="Chủ sở hữu"/>
    <x:tableColumn id="9" name="Trạng thái hồ sơ suy ra tối thiểu"/>
    <x:tableColumn id="10" name="Phạm vi đối với nghiên cứu ĐHTĐ"/>
    <x:tableColumn id="11" name="Project_ID liên quan sơ bộ"/>
    <x:tableColumn id="12" name="Mức độ liên kết"/>
    <x:tableColumn id="13" name="Ghi chú phương pháp"/>
  </x:tableColumns>
  <x:tableStyleInfo name="TableStyleMedium2" showFirstColumn="0" showLastColumn="0" showRowStripes="1" showColumnStripes="0"/>
</x:table>
</file>

<file path=xl/tables/table18.xml><?xml version="1.0" encoding="utf-8"?>
<x:table xmlns:x="http://schemas.openxmlformats.org/spreadsheetml/2006/main" id="18" name="VerificationFindingsTable" displayName="VerificationFindingsTable" ref="A1:H7" headerRowCount="1" totalsRowCount="0" totalsRowShown="0">
  <x:tableColumns count="8">
    <x:tableColumn id="1" name="Finding_ID"/>
    <x:tableColumn id="2" name="Nội dung xác nhận"/>
    <x:tableColumn id="3" name="Bằng chứng hiện có"/>
    <x:tableColumn id="4" name="Cách diễn giải được phép"/>
    <x:tableColumn id="5" name="Không được suy diễn"/>
    <x:tableColumn id="6" name="Hệ quả đối với chỉ số"/>
    <x:tableColumn id="7" name="Phương pháp thay thế/bổ sung"/>
    <x:tableColumn id="8" name="Mức quan trọng"/>
  </x:tableColumns>
  <x:tableStyleInfo name="TableStyleMedium2" showFirstColumn="0" showLastColumn="0" showRowStripes="1" showColumnStripes="0"/>
</x:table>
</file>

<file path=xl/tables/table19.xml><?xml version="1.0" encoding="utf-8"?>
<x:table xmlns:x="http://schemas.openxmlformats.org/spreadsheetml/2006/main" id="19" name="LegalPracticeMatrixTable" displayName="LegalPracticeMatrixTable" ref="A1:L13" headerRowCount="1" totalsRowCount="0" totalsRowShown="0">
  <x:tableColumns count="12">
    <x:tableColumn id="1" name="Matrix_ID"/>
    <x:tableColumn id="2" name="Khâu quản trị"/>
    <x:tableColumn id="3" name="Tầng chuẩn"/>
    <x:tableColumn id="4" name="Văn bản/Điều"/>
    <x:tableColumn id="5" name="Nội dung chuẩn cần đối chiếu"/>
    <x:tableColumn id="6" name="Tình trạng hiệu lực/áp dụng"/>
    <x:tableColumn id="7" name="Bằng chứng thực tế 2021-2025"/>
    <x:tableColumn id="8" name="Đánh giá sơ bộ"/>
    <x:tableColumn id="9" name="Loại khoảng cách"/>
    <x:tableColumn id="10" name="Mức rủi ro"/>
    <x:tableColumn id="11" name="Câu hỏi cần xác minh"/>
    <x:tableColumn id="12" name="Nguồn/URL"/>
  </x:tableColumns>
  <x:tableStyleInfo name="TableStyleMedium2" showFirstColumn="0" showLastColumn="0" showRowStripes="1" showColumnStripes="0"/>
</x:table>
</file>

<file path=xl/tables/table20.xml><?xml version="1.0" encoding="utf-8"?>
<x:table xmlns:x="http://schemas.openxmlformats.org/spreadsheetml/2006/main" id="20" name="InterviewGuideTable" displayName="InterviewGuideTable" ref="A3:H18" headerRowCount="1" totalsRowCount="0" totalsRowShown="0">
  <x:tableColumns count="8">
    <x:tableColumn id="1" name="Q_ID"/>
    <x:tableColumn id="2" name="Nhóm người trả lời"/>
    <x:tableColumn id="3" name="Câu hỏi chính"/>
    <x:tableColumn id="4" name="Mục đích bằng chứng"/>
    <x:tableColumn id="5" name="Case ưu tiên"/>
    <x:tableColumn id="6" name="Câu hỏi gợi mở"/>
    <x:tableColumn id="7" name="Không được dẫn dắt theo hướng"/>
    <x:tableColumn id="8" name="Mã hóa sau phỏng vấn"/>
  </x:tableColumns>
  <x:tableStyleInfo name="TableStyleMedium2" showFirstColumn="0" showLastColumn="0" showRowStripes="1" showColumnStripes="0"/>
</x:table>
</file>

<file path=xl/tables/table21.xml><?xml version="1.0" encoding="utf-8"?>
<x:table xmlns:x="http://schemas.openxmlformats.org/spreadsheetml/2006/main" id="21" name="CaseTraceTable" displayName="CaseTraceTable" ref="A1:M7" headerRowCount="1" totalsRowCount="0" totalsRowShown="0">
  <x:tableColumns count="13">
    <x:tableColumn id="1" name="Case_ID"/>
    <x:tableColumn id="2" name="Project_ID"/>
    <x:tableColumn id="3" name="Case"/>
    <x:tableColumn id="4" name="Lý do chọn"/>
    <x:tableColumn id="5" name="Mốc 1: Đề tài"/>
    <x:tableColumn id="6" name="Mốc 2: Đầu ra kỹ thuật"/>
    <x:tableColumn id="7" name="Mốc 3: Công bố"/>
    <x:tableColumn id="8" name="Mốc 4: Quyết định IP"/>
    <x:tableColumn id="9" name="Mốc 5: Đơn/Văn bằng"/>
    <x:tableColumn id="10" name="Mốc 6: Ứng dụng"/>
    <x:tableColumn id="11" name="Bằng chứng còn thiếu"/>
    <x:tableColumn id="12" name="Người nên phỏng vấn"/>
    <x:tableColumn id="13" name="Kết luận được phép hiện tại"/>
  </x:tableColumns>
  <x:tableStyleInfo name="TableStyleMedium2" showFirstColumn="0" showLastColumn="0" showRowStripes="1" showColumnStripes="0"/>
</x:table>
</file>

<file path=xl/tables/table22.xml><?xml version="1.0" encoding="utf-8"?>
<x:table xmlns:x="http://schemas.openxmlformats.org/spreadsheetml/2006/main" id="22" name="MethodsRevisionTable" displayName="MethodsRevisionTable" ref="A3:F10" headerRowCount="1" totalsRowCount="0" totalsRowShown="0">
  <x:tableColumns count="6">
    <x:tableColumn id="1" name="Thành phần"/>
    <x:tableColumn id="2" name="Nội dung"/>
    <x:tableColumn id="3" name="Dữ liệu"/>
    <x:tableColumn id="4" name="Đơn vị phân tích"/>
    <x:tableColumn id="5" name="Đầu ra"/>
    <x:tableColumn id="6" name="Ghi chú"/>
  </x:tableColumns>
  <x:tableStyleInfo name="TableStyleMedium2" showFirstColumn="0" showLastColumn="0" showRowStripes="1" showColumnStripes="0"/>
</x:table>
</file>

<file path=xl/tables/table23.xml><?xml version="1.0" encoding="utf-8"?>
<x:table xmlns:x="http://schemas.openxmlformats.org/spreadsheetml/2006/main" id="23" name="Chapter2BlueprintTable" displayName="Chapter2BlueprintTable" ref="A3:H11" headerRowCount="1" totalsRowCount="0" totalsRowShown="0">
  <x:tableColumns count="8">
    <x:tableColumn id="1" name="Mục"/>
    <x:tableColumn id="2" name="Tên mục đề xuất"/>
    <x:tableColumn id="3" name="Câu hỏi phải trả lời"/>
    <x:tableColumn id="4" name="Dữ liệu sử dụng"/>
    <x:tableColumn id="5" name="Bảng/biểu đồ chính"/>
    <x:tableColumn id="6" name="Phát hiện dự kiến"/>
    <x:tableColumn id="7" name="Mức kết luận cho phép"/>
    <x:tableColumn id="8" name="Ghi chú viết"/>
  </x:tableColumns>
  <x:tableStyleInfo name="TableStyleMedium2" showFirstColumn="0" showLastColumn="0" showRowStripes="1" showColumnStripes="0"/>
</x:table>
</file>

<file path=xl/tables/table24.xml><?xml version="1.0" encoding="utf-8"?>
<x:table xmlns:x="http://schemas.openxmlformats.org/spreadsheetml/2006/main" id="24" name="TableFigurePlanTable" displayName="TableFigurePlanTable" ref="A1:G12" headerRowCount="1" totalsRowCount="0" totalsRowShown="0">
  <x:tableColumns count="7">
    <x:tableColumn id="1" name="ID"/>
    <x:tableColumn id="2" name="Loại"/>
    <x:tableColumn id="3" name="Tên đề xuất"/>
    <x:tableColumn id="4" name="Nguồn dữ liệu"/>
    <x:tableColumn id="5" name="Biến/công thức"/>
    <x:tableColumn id="6" name="Thông điệp chính"/>
    <x:tableColumn id="7" name="Mức ưu tiên"/>
  </x:tableColumns>
  <x:tableStyleInfo name="TableStyleMedium2" showFirstColumn="0" showLastColumn="0" showRowStripes="1" showColumnStripes="0"/>
</x:table>
</file>

<file path=xl/tables/table25.xml><?xml version="1.0" encoding="utf-8"?>
<x:table xmlns:x="http://schemas.openxmlformats.org/spreadsheetml/2006/main" id="25" name="DraftChapter2Table" displayName="DraftChapter2Table" ref="A3:D12" headerRowCount="1" totalsRowCount="0" totalsRowShown="0">
  <x:tableColumns count="4">
    <x:tableColumn id="1" name="Mục"/>
    <x:tableColumn id="2" name="Đoạn"/>
    <x:tableColumn id="3" name="Nội dung nháp"/>
    <x:tableColumn id="4" name="Nguồn phải trích khi viết báo cá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b2f23571ea4a8d" /></Relationships>
</file>

<file path=xl/worksheets/_rels/sheet3.xml.rels>&#65279;<?xml version="1.0" encoding="utf-8"?><Relationships xmlns="http://schemas.openxmlformats.org/package/2006/relationships"><Relationship Type="http://schemas.openxmlformats.org/officeDocument/2006/relationships/table" Target="/xl/tables/table2.xml" Id="R12abaaf978994990" /></Relationships>
</file>

<file path=xl/worksheets/_rels/sheet4.xml.rels>&#65279;<?xml version="1.0" encoding="utf-8"?><Relationships xmlns="http://schemas.openxmlformats.org/package/2006/relationships"><Relationship Type="http://schemas.openxmlformats.org/officeDocument/2006/relationships/table" Target="/xl/tables/table3.xml" Id="R09923032442c4c93" /></Relationships>
</file>

<file path=xl/worksheets/_rels/sheet5.xml.rels>&#65279;<?xml version="1.0" encoding="utf-8"?><Relationships xmlns="http://schemas.openxmlformats.org/package/2006/relationships"><Relationship Type="http://schemas.openxmlformats.org/officeDocument/2006/relationships/table" Target="/xl/tables/table4.xml" Id="Rc63f9d49089d4c60" /></Relationships>
</file>

<file path=xl/worksheets/_rels/sheet6.xml.rels>&#65279;<?xml version="1.0" encoding="utf-8"?><Relationships xmlns="http://schemas.openxmlformats.org/package/2006/relationships"><Relationship Type="http://schemas.openxmlformats.org/officeDocument/2006/relationships/table" Target="/xl/tables/table5.xml" Id="R2ec20559ffaf47c1" /></Relationships>
</file>

<file path=xl/worksheets/_rels/sheet7.xml.rels>&#65279;<?xml version="1.0" encoding="utf-8"?><Relationships xmlns="http://schemas.openxmlformats.org/package/2006/relationships"><Relationship Type="http://schemas.openxmlformats.org/officeDocument/2006/relationships/table" Target="/xl/tables/table6.xml" Id="R351e1372cae04f58" /></Relationships>
</file>

<file path=xl/worksheets/_rels/sheet8.xml.rels>&#65279;<?xml version="1.0" encoding="utf-8"?><Relationships xmlns="http://schemas.openxmlformats.org/package/2006/relationships"><Relationship Type="http://schemas.openxmlformats.org/officeDocument/2006/relationships/table" Target="/xl/tables/table7.xml" Id="R2a480eaf402b44ca" /></Relationships>
</file>

<file path=xl/worksheets/_rels/sheet9.xml.rels>&#65279;<?xml version="1.0" encoding="utf-8"?><Relationships xmlns="http://schemas.openxmlformats.org/package/2006/relationships"><Relationship Type="http://schemas.openxmlformats.org/officeDocument/2006/relationships/drawing" Target="/xl/drawings/drawing1.xml" Id="Rd8f00ec6007d4ac2" /></Relationships>
</file>

<file path=xl/worksheets/_rels/sheet11.xml.rels>&#65279;<?xml version="1.0" encoding="utf-8"?><Relationships xmlns="http://schemas.openxmlformats.org/package/2006/relationships"><Relationship Type="http://schemas.openxmlformats.org/officeDocument/2006/relationships/table" Target="/xl/tables/table8.xml" Id="R847c49269d614be1" /></Relationships>
</file>

<file path=xl/worksheets/_rels/sheet12.xml.rels>&#65279;<?xml version="1.0" encoding="utf-8"?><Relationships xmlns="http://schemas.openxmlformats.org/package/2006/relationships"><Relationship Type="http://schemas.openxmlformats.org/officeDocument/2006/relationships/table" Target="/xl/tables/table9.xml" Id="R6dac424aa2fa4ac2" /></Relationships>
</file>

<file path=xl/worksheets/_rels/sheet13.xml.rels>&#65279;<?xml version="1.0" encoding="utf-8"?><Relationships xmlns="http://schemas.openxmlformats.org/package/2006/relationships"><Relationship Type="http://schemas.openxmlformats.org/officeDocument/2006/relationships/table" Target="/xl/tables/table10.xml" Id="Re89cb598e3b74fe1" /></Relationships>
</file>

<file path=xl/worksheets/_rels/sheet14.xml.rels>&#65279;<?xml version="1.0" encoding="utf-8"?><Relationships xmlns="http://schemas.openxmlformats.org/package/2006/relationships"><Relationship Type="http://schemas.openxmlformats.org/officeDocument/2006/relationships/table" Target="/xl/tables/table11.xml" Id="R6cb11f3f35084fdf" /></Relationships>
</file>

<file path=xl/worksheets/_rels/sheet15.xml.rels>&#65279;<?xml version="1.0" encoding="utf-8"?><Relationships xmlns="http://schemas.openxmlformats.org/package/2006/relationships"><Relationship Type="http://schemas.openxmlformats.org/officeDocument/2006/relationships/table" Target="/xl/tables/table12.xml" Id="R85d0c6ade45e4728" /></Relationships>
</file>

<file path=xl/worksheets/_rels/sheet16.xml.rels>&#65279;<?xml version="1.0" encoding="utf-8"?><Relationships xmlns="http://schemas.openxmlformats.org/package/2006/relationships"><Relationship Type="http://schemas.openxmlformats.org/officeDocument/2006/relationships/drawing" Target="/xl/drawings/drawing2.xml" Id="Rb1a8ef99286e4fb7" /></Relationships>
</file>

<file path=xl/worksheets/_rels/sheet17.xml.rels>&#65279;<?xml version="1.0" encoding="utf-8"?><Relationships xmlns="http://schemas.openxmlformats.org/package/2006/relationships"><Relationship Type="http://schemas.openxmlformats.org/officeDocument/2006/relationships/table" Target="/xl/tables/table13.xml" Id="R52e33c8f919f465f" /></Relationships>
</file>

<file path=xl/worksheets/_rels/sheet18.xml.rels>&#65279;<?xml version="1.0" encoding="utf-8"?><Relationships xmlns="http://schemas.openxmlformats.org/package/2006/relationships"><Relationship Type="http://schemas.openxmlformats.org/officeDocument/2006/relationships/table" Target="/xl/tables/table14.xml" Id="R8aecc55ce6d342a2" /></Relationships>
</file>

<file path=xl/worksheets/_rels/sheet19.xml.rels>&#65279;<?xml version="1.0" encoding="utf-8"?><Relationships xmlns="http://schemas.openxmlformats.org/package/2006/relationships"><Relationship Type="http://schemas.openxmlformats.org/officeDocument/2006/relationships/table" Target="/xl/tables/table15.xml" Id="R3ce48ca946d64c48" /></Relationships>
</file>

<file path=xl/worksheets/_rels/sheet20.xml.rels>&#65279;<?xml version="1.0" encoding="utf-8"?><Relationships xmlns="http://schemas.openxmlformats.org/package/2006/relationships"><Relationship Type="http://schemas.openxmlformats.org/officeDocument/2006/relationships/table" Target="/xl/tables/table16.xml" Id="Rac25b386075740b4" /></Relationships>
</file>

<file path=xl/worksheets/_rels/sheet21.xml.rels>&#65279;<?xml version="1.0" encoding="utf-8"?><Relationships xmlns="http://schemas.openxmlformats.org/package/2006/relationships"><Relationship Type="http://schemas.openxmlformats.org/officeDocument/2006/relationships/table" Target="/xl/tables/table17.xml" Id="R8571fa768f0b48a7" /></Relationships>
</file>

<file path=xl/worksheets/_rels/sheet22.xml.rels>&#65279;<?xml version="1.0" encoding="utf-8"?><Relationships xmlns="http://schemas.openxmlformats.org/package/2006/relationships"><Relationship Type="http://schemas.openxmlformats.org/officeDocument/2006/relationships/table" Target="/xl/tables/table18.xml" Id="R0c5308607a10450d" /></Relationships>
</file>

<file path=xl/worksheets/_rels/sheet23.xml.rels>&#65279;<?xml version="1.0" encoding="utf-8"?><Relationships xmlns="http://schemas.openxmlformats.org/package/2006/relationships"><Relationship Type="http://schemas.openxmlformats.org/officeDocument/2006/relationships/table" Target="/xl/tables/table19.xml" Id="R96effccc33684c0a" /></Relationships>
</file>

<file path=xl/worksheets/_rels/sheet24.xml.rels>&#65279;<?xml version="1.0" encoding="utf-8"?><Relationships xmlns="http://schemas.openxmlformats.org/package/2006/relationships"><Relationship Type="http://schemas.openxmlformats.org/officeDocument/2006/relationships/table" Target="/xl/tables/table20.xml" Id="R164a49bd6b1d449d" /></Relationships>
</file>

<file path=xl/worksheets/_rels/sheet25.xml.rels>&#65279;<?xml version="1.0" encoding="utf-8"?><Relationships xmlns="http://schemas.openxmlformats.org/package/2006/relationships"><Relationship Type="http://schemas.openxmlformats.org/officeDocument/2006/relationships/table" Target="/xl/tables/table21.xml" Id="R0e6bde3f807b4827" /></Relationships>
</file>

<file path=xl/worksheets/_rels/sheet26.xml.rels>&#65279;<?xml version="1.0" encoding="utf-8"?><Relationships xmlns="http://schemas.openxmlformats.org/package/2006/relationships"><Relationship Type="http://schemas.openxmlformats.org/officeDocument/2006/relationships/table" Target="/xl/tables/table22.xml" Id="R745b50fd7b394ee4" /></Relationships>
</file>

<file path=xl/worksheets/_rels/sheet27.xml.rels>&#65279;<?xml version="1.0" encoding="utf-8"?><Relationships xmlns="http://schemas.openxmlformats.org/package/2006/relationships"><Relationship Type="http://schemas.openxmlformats.org/officeDocument/2006/relationships/table" Target="/xl/tables/table23.xml" Id="R3977c32f7d7b486b" /></Relationships>
</file>

<file path=xl/worksheets/_rels/sheet28.xml.rels>&#65279;<?xml version="1.0" encoding="utf-8"?><Relationships xmlns="http://schemas.openxmlformats.org/package/2006/relationships"><Relationship Type="http://schemas.openxmlformats.org/officeDocument/2006/relationships/table" Target="/xl/tables/table24.xml" Id="R8390ed4e80594b3a" /></Relationships>
</file>

<file path=xl/worksheets/_rels/sheet29.xml.rels>&#65279;<?xml version="1.0" encoding="utf-8"?><Relationships xmlns="http://schemas.openxmlformats.org/package/2006/relationships"><Relationship Type="http://schemas.openxmlformats.org/officeDocument/2006/relationships/table" Target="/xl/tables/table25.xml" Id="R3740d5c2adf94e81" /></Relationships>
</file>

<file path=xl/worksheets/sheet1.xml><?xml version="1.0" encoding="utf-8"?>
<x:worksheet xmlns:x="http://schemas.openxmlformats.org/spreadsheetml/2006/main">
  <x:sheetFormatPr defaultRowHeight="15"/>
  <x:cols>
    <x:col min="1" max="1" width="22" hidden="0" customWidth="1"/>
    <x:col min="2" max="2" width="95" hidden="0" customWidth="1"/>
  </x:cols>
  <x:sheetData>
    <x:row r="1">
      <x:c r="A1" s="5" t="str">
        <x:v>IP MASTER DATASET 2021–2025 – TRƯỜNG ĐẠI HỌC THÀNH ĐÔ</x:v>
      </x:c>
      <x:c r="B1" s="5"/>
      <x:c r="C1" s="5"/>
      <x:c r="D1" s="5"/>
      <x:c r="E1" s="5"/>
      <x:c r="F1" s="5"/>
      <x:c r="G1" s="5"/>
      <x:c r="H1" s="5"/>
    </x:row>
    <x:row r="3">
      <x:c r="A3" s="14" t="str">
        <x:v>Mục</x:v>
      </x:c>
      <x:c r="B3" s="14" t="str">
        <x:v>Nội dung</x:v>
      </x:c>
    </x:row>
    <x:row r="4">
      <x:c r="A4" s="20" t="str">
        <x:v>Mục đích</x:v>
      </x:c>
      <x:c r="B4" s="20" t="str">
        <x:v>Khung dữ liệu phục vụ đề tài cấp cơ sở: kiểm kê kết quả KHCN → nhận diện TSTT → xác lập/bảo hộ → ứng dụng/chuyển giao → giá trị.</x:v>
      </x:c>
    </x:row>
    <x:row r="5">
      <x:c r="A5" s="20" t="str">
        <x:v>Trạng thái</x:v>
      </x:c>
      <x:c r="B5" s="20" t="str">
        <x:v>Bản v0.7: hoàn thiện blueprint Chương 2, kế hoạch bảng/biểu đồ và bản nháp các mục 2.1–2.4. Cấu trúc Chương 2 đi theo logic: thể chế → năng lực tạo đầu ra/TSTT → portfolio quyền → quy trình nhận diện/bảo hộ → ứng dụng/khai thác → case tracing → gap → đánh giá chung.</x:v>
      </x:c>
    </x:row>
    <x:row r="6">
      <x:c r="A6" s="20" t="str">
        <x:v>Nguyên tắc đơn vị phân tích</x:v>
      </x:c>
      <x:c r="B6" s="20" t="str">
        <x:v>PROJECT = 1 đề tài; OUTPUT = 1 đầu ra; IP_ASSET = 1 TSTT hoặc cụm TSTT; PROTECTION = 1 hồ sơ/quyền; UTILIZATION_VALUE = 1 lần/hình thức khai thác.</x:v>
      </x:c>
    </x:row>
    <x:row r="7">
      <x:c r="A7" s="20" t="str">
        <x:v>Không đồng nhất</x:v>
      </x:c>
      <x:c r="B7" s="20" t="str">
        <x:v>Không coi số văn bằng bảo hộ là tổng số TSTT. TSTT tiềm năng được nhận diện trước, sau đó mới xét hình thức quyền phù hợp.</x:v>
      </x:c>
    </x:row>
    <x:row r="8">
      <x:c r="A8" s="20" t="str">
        <x:v>Mã thiếu dữ liệu</x:v>
      </x:c>
      <x:c r="B8" s="20" t="str">
        <x:v>Để trống = chưa có bằng chứng; 'Chưa xác minh' = có dấu hiệu nhưng chưa đủ hồ sơ; không suy diễn từ tên đề tài.</x:v>
      </x:c>
    </x:row>
    <x:row r="9">
      <x:c r="A9" s="20" t="str">
        <x:v>Nguồn chính</x:v>
      </x:c>
      <x:c r="B9" s="20" t="str">
        <x:v>Tổng hợp đề tài KHCN cấp cơ sở của GV 2021–2025; Quy chế hoạt động KHCN 2021; Quy chế quản trị TSTT; các bảng công bố/sách/giáo trình.</x:v>
      </x:c>
    </x:row>
    <x:row r="10">
      <x:c r="A10" s="20" t="str">
        <x:v>Chiến lược</x:v>
      </x:c>
      <x:c r="B10" s="20" t="str">
        <x:v>Mã Strategic Cluster theo 4 trụ cột: Smart Mobility, Digital Services, Global Communication, Wellness &amp; Care; có thể dùng 'Khác/Chưa phân loại'.</x:v>
      </x:c>
    </x:row>
    <x:row r="11">
      <x:c r="A11" s="20" t="str">
        <x:v>Khuyến nghị sử dụng</x:v>
      </x:c>
      <x:c r="B11" s="20" t="str">
        <x:v>Hoàn thiện dữ liệu thô trước khi tính tỷ lệ và kết luận. Mọi chỉ số KPI hiện tại chỉ phản ánh các dòng mẫu đã nhập.</x:v>
      </x:c>
    </x:row>
    <x:row r="12">
      <x:c r="A12" s="20" t="str">
        <x:v>Phiên bản</x:v>
      </x:c>
      <x:c r="B12" s="20" t="str">
        <x:v>v0.7 – Chapter 2 writing blueprint + table/figure plan + draft sections 2.1–2.4.</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8" hidden="0" customWidth="1"/>
    <x:col min="3" max="3" width="18" hidden="0" customWidth="1"/>
    <x:col min="4" max="4" width="54" hidden="0" customWidth="1"/>
    <x:col min="5" max="5" width="12" hidden="0" customWidth="1"/>
    <x:col min="6" max="6" width="20" hidden="0" customWidth="1"/>
    <x:col min="7" max="7" width="20" hidden="0" customWidth="1"/>
    <x:col min="8" max="8" width="22" hidden="0" customWidth="1"/>
    <x:col min="9" max="9" width="22" hidden="0" customWidth="1"/>
    <x:col min="10" max="10" width="13" hidden="0" customWidth="1"/>
    <x:col min="11" max="11" width="10" hidden="0" customWidth="1"/>
    <x:col min="12" max="12" width="16" hidden="0" customWidth="1"/>
    <x:col min="13" max="13" width="12" hidden="0" customWidth="1"/>
    <x:col min="14" max="14" width="14" hidden="0" customWidth="1"/>
    <x:col min="15" max="15" width="14" hidden="0" customWidth="1"/>
    <x:col min="16" max="16" width="14" hidden="0" customWidth="1"/>
    <x:col min="17" max="17" width="45" hidden="0" customWidth="1"/>
    <x:col min="18" max="18" width="48" hidden="0" customWidth="1"/>
  </x:cols>
  <x:sheetData>
    <x:row r="1">
      <x:c r="A1" s="14" t="str">
        <x:v>Project_ID</x:v>
      </x:c>
      <x:c r="B1" s="14" t="str">
        <x:v>Năm</x:v>
      </x:c>
      <x:c r="C1" s="14" t="str">
        <x:v>Mã đề tài</x:v>
      </x:c>
      <x:c r="D1" s="14" t="str">
        <x:v>Tên đề tài</x:v>
      </x:c>
      <x:c r="E1" s="14" t="str">
        <x:v>Cấp đề tài</x:v>
      </x:c>
      <x:c r="F1" s="14" t="str">
        <x:v>Chủ nhiệm</x:v>
      </x:c>
      <x:c r="G1" s="14" t="str">
        <x:v>Đơn vị chủ trì</x:v>
      </x:c>
      <x:c r="H1" s="14" t="str">
        <x:v>Nhóm ngành chuẩn hóa</x:v>
      </x:c>
      <x:c r="I1" s="14" t="str">
        <x:v>Strategic_Cluster</x:v>
      </x:c>
      <x:c r="J1" s="14" t="str">
        <x:v>Ngày nghiệm thu</x:v>
      </x:c>
      <x:c r="K1" s="14" t="str">
        <x:v>Xếp loại</x:v>
      </x:c>
      <x:c r="L1" s="14" t="str">
        <x:v>Kinh phí_VND</x:v>
      </x:c>
      <x:c r="M1" s="14" t="str">
        <x:v>Số thành viên</x:v>
      </x:c>
      <x:c r="N1" s="14" t="str">
        <x:v>Có DN tham gia?</x:v>
      </x:c>
      <x:c r="O1" s="14" t="str">
        <x:v>Có SV tham gia?</x:v>
      </x:c>
      <x:c r="P1" s="14" t="str">
        <x:v>Số đầu ra (formula)</x:v>
      </x:c>
      <x:c r="Q1" s="14" t="str">
        <x:v>Nguồn hồ sơ</x:v>
      </x:c>
      <x:c r="R1" s="14" t="str">
        <x:v>Ghi chú xác minh</x:v>
      </x:c>
    </x:row>
    <x:row r="2">
      <x:c r="A2" t="str">
        <x:v>P2022-37</x:v>
      </x:c>
      <x:c r="B2" t="n">
        <x:v>2022</x:v>
      </x:c>
      <x:c r="C2" t="str">
        <x:v>37-2022/KHCN</x:v>
      </x:c>
      <x:c r="D2" t="str">
        <x:v>Tính toán thiết kế panel kiểm tra và sửa chữa hệ thống khởi động điện trên ô tô</x:v>
      </x:c>
      <x:c r="E2" t="str">
        <x:v>Cơ sở</x:v>
      </x:c>
      <x:c r="F2" t="str">
        <x:v>Phạm Viết Xuân</x:v>
      </x:c>
      <x:c r="G2" t="str">
        <x:v>Khoa CNKT Ô tô</x:v>
      </x:c>
      <x:c r="H2" t="str">
        <x:v>Kỹ thuật ô tô</x:v>
      </x:c>
      <x:c r="I2" t="str">
        <x:v>Smart Mobility</x:v>
      </x:c>
      <x:c r="J2" s="22" t="n">
        <x:v>44874</x:v>
      </x:c>
      <x:c r="K2" t="str">
        <x:v>Đạt</x:v>
      </x:c>
      <x:c r="L2" s="24" t="n">
        <x:v>5000000</x:v>
      </x:c>
      <x:c r="M2" t="n">
        <x:v>1</x:v>
      </x:c>
      <x:c r="N2" t="str">
        <x:v>Chưa xác minh</x:v>
      </x:c>
      <x:c r="O2" t="str">
        <x:v>Chưa xác minh</x:v>
      </x:c>
      <x:c r="P2" t="n">
        <x:f>COUNTIF('02_OUTPUT'!$B:$B,A2)</x:f>
        <x:v>2</x:v>
      </x:c>
      <x:c r="Q2" t="str">
        <x:v>Tổng hợp đề tài KHCN cấp cơ sở của GV 2021-2025.pdf, tr.3</x:v>
      </x:c>
      <x:c r="R2" t="str"/>
    </x:row>
    <x:row r="3">
      <x:c r="A3" t="str">
        <x:v>P2022-39</x:v>
      </x:c>
      <x:c r="B3" t="n">
        <x:v>2022</x:v>
      </x:c>
      <x:c r="C3" t="str">
        <x:v>39-2022/KHCN</x:v>
      </x:c>
      <x:c r="D3" t="str">
        <x:v>Nghiên cứu chế tạo vật liệu cầm máu trên cơ sở chitosan và cao nhọ nồi</x:v>
      </x:c>
      <x:c r="E3" t="str">
        <x:v>Cơ sở</x:v>
      </x:c>
      <x:c r="F3" t="str">
        <x:v>Nguyễn Ngọc Linh</x:v>
      </x:c>
      <x:c r="G3" t="str">
        <x:v>Khoa Dược</x:v>
      </x:c>
      <x:c r="H3" t="str">
        <x:v>Dược/Vật liệu y sinh</x:v>
      </x:c>
      <x:c r="I3" t="str">
        <x:v>Wellness &amp; Care</x:v>
      </x:c>
      <x:c r="J3" s="22" t="n">
        <x:v>44875</x:v>
      </x:c>
      <x:c r="K3" t="str">
        <x:v>Đạt</x:v>
      </x:c>
      <x:c r="L3" s="24" t="n">
        <x:v>29000000</x:v>
      </x:c>
      <x:c r="M3" t="n">
        <x:v>5</x:v>
      </x:c>
      <x:c r="N3" t="str">
        <x:v>Chưa xác minh</x:v>
      </x:c>
      <x:c r="O3" t="str">
        <x:v>Chưa xác minh</x:v>
      </x:c>
      <x:c r="P3" t="n">
        <x:f>COUNTIF('02_OUTPUT'!$B:$B,A3)</x:f>
        <x:v>2</x:v>
      </x:c>
      <x:c r="Q3" t="str">
        <x:v>Tổng hợp đề tài KHCN cấp cơ sở của GV 2021-2025.pdf, tr.3</x:v>
      </x:c>
      <x:c r="R3" t="str"/>
    </x:row>
    <x:row r="4">
      <x:c r="A4" t="str">
        <x:v>P2022-40</x:v>
      </x:c>
      <x:c r="B4" t="n">
        <x:v>2022</x:v>
      </x:c>
      <x:c r="C4" t="str">
        <x:v>40-2022/KHCN</x:v>
      </x:c>
      <x:c r="D4" t="str">
        <x:v>Nghiên cứu xây dựng bộ mẫu dược liệu áp dụng giảng dạy tại Trường Đại học Thành Đô</x:v>
      </x:c>
      <x:c r="E4" t="str">
        <x:v>Cơ sở</x:v>
      </x:c>
      <x:c r="F4" t="str">
        <x:v>Lê Văn Tuyến</x:v>
      </x:c>
      <x:c r="G4" t="str">
        <x:v>Khoa Dược</x:v>
      </x:c>
      <x:c r="H4" t="str">
        <x:v>Dược/Giáo dục dược</x:v>
      </x:c>
      <x:c r="I4" t="str">
        <x:v>Wellness &amp; Care</x:v>
      </x:c>
      <x:c r="J4" s="22" t="n">
        <x:v>44875</x:v>
      </x:c>
      <x:c r="K4" t="str">
        <x:v>Đạt</x:v>
      </x:c>
      <x:c r="L4" s="24" t="n">
        <x:v>50000000</x:v>
      </x:c>
      <x:c r="M4" t="n">
        <x:v>7</x:v>
      </x:c>
      <x:c r="N4" t="str">
        <x:v>Chưa xác minh</x:v>
      </x:c>
      <x:c r="O4" t="str">
        <x:v>Chưa xác minh</x:v>
      </x:c>
      <x:c r="P4" t="n">
        <x:f>COUNTIF('02_OUTPUT'!$B:$B,A4)</x:f>
        <x:v>2</x:v>
      </x:c>
      <x:c r="Q4" t="str">
        <x:v>Tổng hợp đề tài KHCN cấp cơ sở của GV 2021-2025.pdf, tr.3</x:v>
      </x:c>
      <x:c r="R4" t="str"/>
    </x:row>
    <x:row r="5">
      <x:c r="A5" t="str">
        <x:v>P2023-08</x:v>
      </x:c>
      <x:c r="B5" t="n">
        <x:v>2023</x:v>
      </x:c>
      <x:c r="C5" t="str">
        <x:v>08-2023/KHCN</x:v>
      </x:c>
      <x:c r="D5" t="str">
        <x:v>Ứng dụng mô hình hợp tác giáo dục giữa Nhà trường - Doanh nghiệp trong nghiên cứu chiết xuất tinh dầu từ vỏ bưởi</x:v>
      </x:c>
      <x:c r="E5" t="str">
        <x:v>Cơ sở</x:v>
      </x:c>
      <x:c r="F5" t="str">
        <x:v>Phan Thị Thanh Thảo</x:v>
      </x:c>
      <x:c r="G5" t="str">
        <x:v>Viện REK</x:v>
      </x:c>
      <x:c r="H5" t="str">
        <x:v>Dược/Hợp tác ĐH-DN</x:v>
      </x:c>
      <x:c r="I5" t="str">
        <x:v>Wellness &amp; Care</x:v>
      </x:c>
      <x:c r="J5" s="22" t="n">
        <x:v>45243</x:v>
      </x:c>
      <x:c r="K5" t="str">
        <x:v>Tốt</x:v>
      </x:c>
      <x:c r="L5" s="24" t="n">
        <x:v>50000000</x:v>
      </x:c>
      <x:c r="M5" t="n">
        <x:v>8</x:v>
      </x:c>
      <x:c r="N5" t="str">
        <x:v>Có dấu hiệu</x:v>
      </x:c>
      <x:c r="O5" t="str">
        <x:v>Chưa xác minh</x:v>
      </x:c>
      <x:c r="P5" t="n">
        <x:f>COUNTIF('02_OUTPUT'!$B:$B,A5)</x:f>
        <x:v>2</x:v>
      </x:c>
      <x:c r="Q5" t="str">
        <x:v>Tổng hợp đề tài KHCN cấp cơ sở của GV 2021-2025.pdf</x:v>
      </x:c>
      <x:c r="R5" t="str">
        <x:v>Sản phẩm ghi 'chuyển giao công nghệ cho trường ĐHTĐ thương mại hóa'; cần xác minh nghĩa và chứng từ.</x:v>
      </x:c>
    </x:row>
    <x:row r="6">
      <x:c r="A6" t="str">
        <x:v>P2024-06</x:v>
      </x:c>
      <x:c r="B6" t="n">
        <x:v>2024</x:v>
      </x:c>
      <x:c r="C6" t="str">
        <x:v>06-2024/KHCN</x:v>
      </x:c>
      <x:c r="D6" t="str">
        <x:v>Nghiên cứu ứng dụng quy trình sản xuất xà phòng tảo biển hữu cơ</x:v>
      </x:c>
      <x:c r="E6" t="str">
        <x:v>Cơ sở</x:v>
      </x:c>
      <x:c r="F6" t="str">
        <x:v>Nguyễn Ngọc Linh</x:v>
      </x:c>
      <x:c r="G6" t="str">
        <x:v>Khoa Dược</x:v>
      </x:c>
      <x:c r="H6" t="str">
        <x:v>Dược/Mỹ phẩm</x:v>
      </x:c>
      <x:c r="I6" t="str">
        <x:v>Wellness &amp; Care</x:v>
      </x:c>
      <x:c r="J6" s="22" t="n">
        <x:v>45611</x:v>
      </x:c>
      <x:c r="K6" t="str">
        <x:v>Tốt</x:v>
      </x:c>
      <x:c r="L6" s="24" t="n">
        <x:v>58000000</x:v>
      </x:c>
      <x:c r="M6" t="n">
        <x:v>4</x:v>
      </x:c>
      <x:c r="N6" t="str">
        <x:v>Chưa xác minh</x:v>
      </x:c>
      <x:c r="O6" t="str">
        <x:v>Chưa xác minh</x:v>
      </x:c>
      <x:c r="P6" t="n">
        <x:f>COUNTIF('02_OUTPUT'!$B:$B,A6)</x:f>
        <x:v>4</x:v>
      </x:c>
      <x:c r="Q6" t="str">
        <x:v>Tổng hợp đề tài KHCN cấp cơ sở của GV 2021-2025.pdf</x:v>
      </x:c>
      <x:c r="R6" t="str"/>
    </x:row>
    <x:row r="7">
      <x:c r="A7" t="str">
        <x:v>P2025-06</x:v>
      </x:c>
      <x:c r="B7" t="n">
        <x:v>2025</x:v>
      </x:c>
      <x:c r="C7" t="str">
        <x:v>06-2025/KHCN</x:v>
      </x:c>
      <x:c r="D7" t="str">
        <x:v>Nghiên cứu bào chế cồn thuốc xoa bóp hỗ trợ giảm đau nhức xương khớp quy mô phòng thí nghiệm</x:v>
      </x:c>
      <x:c r="E7" t="str">
        <x:v>Cơ sở</x:v>
      </x:c>
      <x:c r="F7" t="str">
        <x:v>Nguyễn Đăng Việt</x:v>
      </x:c>
      <x:c r="G7" t="str">
        <x:v>Viện Y-Dược</x:v>
      </x:c>
      <x:c r="H7" t="str">
        <x:v>Dược/Bào chế</x:v>
      </x:c>
      <x:c r="I7" t="str">
        <x:v>Wellness &amp; Care</x:v>
      </x:c>
      <x:c r="J7" s="22" t="n">
        <x:v>46016</x:v>
      </x:c>
      <x:c r="K7" t="str">
        <x:v>Tốt</x:v>
      </x:c>
      <x:c r="L7" s="24" t="n">
        <x:v>30000000</x:v>
      </x:c>
      <x:c r="M7" t="n">
        <x:v>4</x:v>
      </x:c>
      <x:c r="N7" t="str">
        <x:v>Chưa xác minh</x:v>
      </x:c>
      <x:c r="O7" t="str">
        <x:v>Chưa xác minh</x:v>
      </x:c>
      <x:c r="P7" t="n">
        <x:f>COUNTIF('02_OUTPUT'!$B:$B,A7)</x:f>
        <x:v>3</x:v>
      </x:c>
      <x:c r="Q7" t="str">
        <x:v>Tổng hợp đề tài KHCN cấp cơ sở của GV 2021-2025.pdf</x:v>
      </x:c>
      <x:c r="R7" t="str">
        <x:v>Kinh phí còn kèm tính giờ NCKH theo hồ sơ.</x:v>
      </x:c>
    </x:row>
    <x:row r="8">
      <x:c r="A8" t="str">
        <x:v>P2025-07</x:v>
      </x:c>
      <x:c r="B8" t="n">
        <x:v>2025</x:v>
      </x:c>
      <x:c r="C8" t="str">
        <x:v>07-2025/KHCN</x:v>
      </x:c>
      <x:c r="D8" t="str">
        <x:v>Nghiên cứu bào chế viên ngậm hỗ trợ giảm ho từ Gừng và Húng chanh</x:v>
      </x:c>
      <x:c r="E8" t="str">
        <x:v>Cơ sở</x:v>
      </x:c>
      <x:c r="F8" t="str">
        <x:v>Ngô Thị Thu</x:v>
      </x:c>
      <x:c r="G8" t="str">
        <x:v>Viện Y-Dược</x:v>
      </x:c>
      <x:c r="H8" t="str">
        <x:v>Dược/Bào chế</x:v>
      </x:c>
      <x:c r="I8" t="str">
        <x:v>Wellness &amp; Care</x:v>
      </x:c>
      <x:c r="J8" s="22" t="n">
        <x:v>46016</x:v>
      </x:c>
      <x:c r="K8" t="str">
        <x:v>Tốt</x:v>
      </x:c>
      <x:c r="L8" s="24" t="n">
        <x:v>30000000</x:v>
      </x:c>
      <x:c r="M8" t="n">
        <x:v>4</x:v>
      </x:c>
      <x:c r="N8" t="str">
        <x:v>Chưa xác minh</x:v>
      </x:c>
      <x:c r="O8" t="str">
        <x:v>Chưa xác minh</x:v>
      </x:c>
      <x:c r="P8" t="n">
        <x:f>COUNTIF('02_OUTPUT'!$B:$B,A8)</x:f>
        <x:v>4</x:v>
      </x:c>
      <x:c r="Q8" t="str">
        <x:v>Tổng hợp đề tài KHCN cấp cơ sở của GV 2021-2025.pdf</x:v>
      </x:c>
      <x:c r="R8" t="str">
        <x:v>Kinh phí còn kèm tính giờ NCKH theo hồ sơ.</x:v>
      </x:c>
    </x:row>
    <x:row r="9">
      <x:c r="J9" s="22"/>
      <x:c r="L9" s="24"/>
    </x:row>
    <x:row r="10">
      <x:c r="J10" s="22"/>
      <x:c r="L10" s="24"/>
    </x:row>
    <x:row r="11">
      <x:c r="J11" s="22"/>
      <x:c r="L11" s="24"/>
    </x:row>
    <x:row r="12">
      <x:c r="J12" s="22"/>
      <x:c r="L12" s="24"/>
    </x:row>
    <x:row r="13">
      <x:c r="J13" s="22"/>
      <x:c r="L13" s="24"/>
    </x:row>
    <x:row r="14">
      <x:c r="J14" s="22"/>
      <x:c r="L14" s="24"/>
    </x:row>
    <x:row r="15">
      <x:c r="J15" s="22"/>
      <x:c r="L15" s="24"/>
    </x:row>
    <x:row r="16">
      <x:c r="J16" s="22"/>
      <x:c r="L16" s="24"/>
    </x:row>
    <x:row r="17">
      <x:c r="J17" s="22"/>
      <x:c r="L17" s="24"/>
    </x:row>
    <x:row r="18">
      <x:c r="J18" s="22"/>
      <x:c r="L18" s="24"/>
    </x:row>
    <x:row r="19">
      <x:c r="J19" s="22"/>
      <x:c r="L19" s="24"/>
    </x:row>
    <x:row r="20">
      <x:c r="J20" s="22"/>
      <x:c r="L20" s="24"/>
    </x:row>
    <x:row r="21">
      <x:c r="J21" s="22"/>
      <x:c r="L21" s="24"/>
    </x:row>
    <x:row r="22">
      <x:c r="J22" s="22"/>
      <x:c r="L22" s="24"/>
    </x:row>
    <x:row r="23">
      <x:c r="J23" s="22"/>
      <x:c r="L23" s="24"/>
    </x:row>
    <x:row r="24">
      <x:c r="J24" s="22"/>
      <x:c r="L24" s="24"/>
    </x:row>
    <x:row r="25">
      <x:c r="J25" s="22"/>
      <x:c r="L25" s="24"/>
    </x:row>
    <x:row r="26">
      <x:c r="J26" s="22"/>
      <x:c r="L26" s="24"/>
    </x:row>
    <x:row r="27">
      <x:c r="J27" s="22"/>
      <x:c r="L27" s="24"/>
    </x:row>
    <x:row r="28">
      <x:c r="J28" s="22"/>
      <x:c r="L28" s="24"/>
    </x:row>
    <x:row r="29">
      <x:c r="J29" s="22"/>
      <x:c r="L29" s="24"/>
    </x:row>
    <x:row r="30">
      <x:c r="J30" s="22"/>
      <x:c r="L30" s="24"/>
    </x:row>
    <x:row r="31">
      <x:c r="J31" s="22"/>
      <x:c r="L31" s="24"/>
    </x:row>
    <x:row r="32">
      <x:c r="J32" s="22"/>
      <x:c r="L32" s="24"/>
    </x:row>
    <x:row r="33">
      <x:c r="J33" s="22"/>
      <x:c r="L33" s="24"/>
    </x:row>
    <x:row r="34">
      <x:c r="J34" s="22"/>
      <x:c r="L34" s="24"/>
    </x:row>
    <x:row r="35">
      <x:c r="J35" s="22"/>
      <x:c r="L35" s="24"/>
    </x:row>
    <x:row r="36">
      <x:c r="J36" s="22"/>
      <x:c r="L36" s="24"/>
    </x:row>
    <x:row r="37">
      <x:c r="J37" s="22"/>
      <x:c r="L37" s="24"/>
    </x:row>
    <x:row r="38">
      <x:c r="J38" s="22"/>
      <x:c r="L38" s="24"/>
    </x:row>
    <x:row r="39">
      <x:c r="J39" s="22"/>
      <x:c r="L39" s="24"/>
    </x:row>
    <x:row r="40">
      <x:c r="J40" s="22"/>
      <x:c r="L40" s="24"/>
    </x:row>
    <x:row r="41">
      <x:c r="J41" s="22"/>
      <x:c r="L41" s="24"/>
    </x:row>
    <x:row r="42">
      <x:c r="J42" s="22"/>
      <x:c r="L42" s="24"/>
    </x:row>
    <x:row r="43">
      <x:c r="J43" s="22"/>
      <x:c r="L43" s="24"/>
    </x:row>
    <x:row r="44">
      <x:c r="J44" s="22"/>
      <x:c r="L44" s="24"/>
    </x:row>
    <x:row r="45">
      <x:c r="J45" s="22"/>
      <x:c r="L45" s="24"/>
    </x:row>
    <x:row r="46">
      <x:c r="J46" s="22"/>
      <x:c r="L46" s="24"/>
    </x:row>
    <x:row r="47">
      <x:c r="J47" s="22"/>
      <x:c r="L47" s="24"/>
    </x:row>
    <x:row r="48">
      <x:c r="J48" s="22"/>
      <x:c r="L48" s="24"/>
    </x:row>
    <x:row r="49">
      <x:c r="J49" s="22"/>
      <x:c r="L49" s="24"/>
    </x:row>
    <x:row r="50">
      <x:c r="J50" s="22"/>
      <x:c r="L50" s="24"/>
    </x:row>
    <x:row r="51">
      <x:c r="J51" s="22"/>
      <x:c r="L51" s="24"/>
    </x:row>
    <x:row r="52">
      <x:c r="J52" s="22"/>
      <x:c r="L52" s="24"/>
    </x:row>
    <x:row r="53">
      <x:c r="J53" s="22"/>
      <x:c r="L53" s="24"/>
    </x:row>
    <x:row r="54">
      <x:c r="J54" s="22"/>
      <x:c r="L54" s="24"/>
    </x:row>
    <x:row r="55">
      <x:c r="J55" s="22"/>
      <x:c r="L55" s="24"/>
    </x:row>
    <x:row r="56">
      <x:c r="J56" s="22"/>
      <x:c r="L56" s="24"/>
    </x:row>
    <x:row r="57">
      <x:c r="J57" s="22"/>
      <x:c r="L57" s="24"/>
    </x:row>
    <x:row r="58">
      <x:c r="J58" s="22"/>
      <x:c r="L58" s="24"/>
    </x:row>
    <x:row r="59">
      <x:c r="J59" s="22"/>
      <x:c r="L59" s="24"/>
    </x:row>
    <x:row r="60">
      <x:c r="J60" s="22"/>
      <x:c r="L60" s="24"/>
    </x:row>
    <x:row r="61">
      <x:c r="J61" s="22"/>
      <x:c r="L61" s="24"/>
    </x:row>
    <x:row r="62">
      <x:c r="J62" s="22"/>
      <x:c r="L62" s="24"/>
    </x:row>
    <x:row r="63">
      <x:c r="J63" s="22"/>
      <x:c r="L63" s="24"/>
    </x:row>
    <x:row r="64">
      <x:c r="J64" s="22"/>
      <x:c r="L64" s="24"/>
    </x:row>
    <x:row r="65">
      <x:c r="J65" s="22"/>
      <x:c r="L65" s="24"/>
    </x:row>
    <x:row r="66">
      <x:c r="J66" s="22"/>
      <x:c r="L66" s="24"/>
    </x:row>
    <x:row r="67">
      <x:c r="J67" s="22"/>
      <x:c r="L67" s="24"/>
    </x:row>
    <x:row r="68">
      <x:c r="J68" s="22"/>
      <x:c r="L68" s="24"/>
    </x:row>
    <x:row r="69">
      <x:c r="J69" s="22"/>
      <x:c r="L69" s="24"/>
    </x:row>
    <x:row r="70">
      <x:c r="J70" s="22"/>
      <x:c r="L70" s="24"/>
    </x:row>
    <x:row r="71">
      <x:c r="J71" s="22"/>
      <x:c r="L71" s="24"/>
    </x:row>
    <x:row r="72">
      <x:c r="J72" s="22"/>
      <x:c r="L72" s="24"/>
    </x:row>
    <x:row r="73">
      <x:c r="J73" s="22"/>
      <x:c r="L73" s="24"/>
    </x:row>
    <x:row r="74">
      <x:c r="J74" s="22"/>
      <x:c r="L74" s="24"/>
    </x:row>
    <x:row r="75">
      <x:c r="J75" s="22"/>
      <x:c r="L75" s="24"/>
    </x:row>
    <x:row r="76">
      <x:c r="J76" s="22"/>
      <x:c r="L76" s="24"/>
    </x:row>
    <x:row r="77">
      <x:c r="J77" s="22"/>
      <x:c r="L77" s="24"/>
    </x:row>
    <x:row r="78">
      <x:c r="J78" s="22"/>
      <x:c r="L78" s="24"/>
    </x:row>
    <x:row r="79">
      <x:c r="J79" s="22"/>
      <x:c r="L79" s="24"/>
    </x:row>
    <x:row r="80">
      <x:c r="J80" s="22"/>
      <x:c r="L80" s="24"/>
    </x:row>
    <x:row r="81">
      <x:c r="J81" s="22"/>
      <x:c r="L81" s="24"/>
    </x:row>
    <x:row r="82">
      <x:c r="J82" s="22"/>
      <x:c r="L82" s="24"/>
    </x:row>
    <x:row r="83">
      <x:c r="J83" s="22"/>
      <x:c r="L83" s="24"/>
    </x:row>
    <x:row r="84">
      <x:c r="J84" s="22"/>
      <x:c r="L84" s="24"/>
    </x:row>
    <x:row r="85">
      <x:c r="J85" s="22"/>
      <x:c r="L85" s="24"/>
    </x:row>
    <x:row r="86">
      <x:c r="J86" s="22"/>
      <x:c r="L86" s="24"/>
    </x:row>
    <x:row r="87">
      <x:c r="J87" s="22"/>
      <x:c r="L87" s="24"/>
    </x:row>
    <x:row r="88">
      <x:c r="J88" s="22"/>
      <x:c r="L88" s="24"/>
    </x:row>
    <x:row r="89">
      <x:c r="J89" s="22"/>
      <x:c r="L89" s="24"/>
    </x:row>
    <x:row r="90">
      <x:c r="J90" s="22"/>
      <x:c r="L90" s="24"/>
    </x:row>
    <x:row r="91">
      <x:c r="J91" s="22"/>
      <x:c r="L91" s="24"/>
    </x:row>
    <x:row r="92">
      <x:c r="J92" s="22"/>
      <x:c r="L92" s="24"/>
    </x:row>
    <x:row r="93">
      <x:c r="J93" s="22"/>
      <x:c r="L93" s="24"/>
    </x:row>
    <x:row r="94">
      <x:c r="J94" s="22"/>
      <x:c r="L94" s="24"/>
    </x:row>
    <x:row r="95">
      <x:c r="J95" s="22"/>
      <x:c r="L95" s="24"/>
    </x:row>
    <x:row r="96">
      <x:c r="J96" s="22"/>
      <x:c r="L96" s="24"/>
    </x:row>
    <x:row r="97">
      <x:c r="J97" s="22"/>
      <x:c r="L97" s="24"/>
    </x:row>
    <x:row r="98">
      <x:c r="J98" s="22"/>
      <x:c r="L98" s="24"/>
    </x:row>
    <x:row r="99">
      <x:c r="J99" s="22"/>
      <x:c r="L99" s="24"/>
    </x:row>
    <x:row r="100">
      <x:c r="J100" s="22"/>
      <x:c r="L100" s="24"/>
    </x:row>
  </x:sheetData>
  <x:pageMargins left="0.7" right="0.7" top="0.75" bottom="0.75" header="0.3" footer="0.3"/>
  <x:tableParts count="1">
    <x:tablePart xmlns:r="http://schemas.openxmlformats.org/officeDocument/2006/relationships" r:id="R17b2f23571ea4a8d"/>
  </x:tableParts>
</x:worksheet>
</file>

<file path=xl/worksheets/sheet3.xml><?xml version="1.0" encoding="utf-8"?>
<x:worksheet xmlns:x="http://schemas.openxmlformats.org/spreadsheetml/2006/main">
  <x:sheetFormatPr defaultRowHeight="15"/>
  <x:cols>
    <x:col min="1" max="1" width="17" hidden="0" customWidth="1"/>
    <x:col min="2" max="2" width="14" hidden="0" customWidth="1"/>
    <x:col min="3" max="3" width="8" hidden="0" customWidth="1"/>
    <x:col min="4" max="4" width="56" hidden="0" customWidth="1"/>
    <x:col min="5" max="5" width="20" hidden="0" customWidth="1"/>
    <x:col min="6" max="6" width="10" hidden="0" customWidth="1"/>
    <x:col min="7" max="7" width="14" hidden="0" customWidth="1"/>
    <x:col min="8" max="8" width="24" hidden="0" customWidth="1"/>
    <x:col min="9" max="9" width="15" hidden="0" customWidth="1"/>
    <x:col min="10" max="10" width="20" hidden="0" customWidth="1"/>
    <x:col min="11" max="11" width="14" hidden="0" customWidth="1"/>
    <x:col min="12" max="12" width="34" hidden="0" customWidth="1"/>
    <x:col min="13" max="13" width="22" hidden="0" customWidth="1"/>
    <x:col min="14" max="14" width="48" hidden="0" customWidth="1"/>
    <x:col min="15" max="15" width="12" hidden="0" customWidth="1"/>
    <x:col min="16" max="16" width="48" hidden="0" customWidth="1"/>
  </x:cols>
  <x:sheetData>
    <x:row r="1">
      <x:c r="A1" s="14" t="str">
        <x:v>Output_ID</x:v>
      </x:c>
      <x:c r="B1" s="14" t="str">
        <x:v>Project_ID</x:v>
      </x:c>
      <x:c r="C1" s="14" t="str">
        <x:v>Năm</x:v>
      </x:c>
      <x:c r="D1" s="14" t="str">
        <x:v>Tên đầu ra</x:v>
      </x:c>
      <x:c r="E1" s="14" t="str">
        <x:v>Loại đầu ra</x:v>
      </x:c>
      <x:c r="F1" s="14" t="str">
        <x:v>Số lượng</x:v>
      </x:c>
      <x:c r="G1" s="14" t="str">
        <x:v>Đơn vị tính</x:v>
      </x:c>
      <x:c r="H1" s="14" t="str">
        <x:v>Tác giả/chủ trì liên quan</x:v>
      </x:c>
      <x:c r="I1" s="14" t="str">
        <x:v>Đã công bố?</x:v>
      </x:c>
      <x:c r="J1" s="14" t="str">
        <x:v>DOI/Link/Mã</x:v>
      </x:c>
      <x:c r="K1" s="14" t="str">
        <x:v>Dấu hiệu TSTT?</x:v>
      </x:c>
      <x:c r="L1" s="14" t="str">
        <x:v>Nhóm TSTT sơ bộ</x:v>
      </x:c>
      <x:c r="M1" s="14" t="str">
        <x:v>Khả năng tạo giá trị</x:v>
      </x:c>
      <x:c r="N1" s="14" t="str">
        <x:v>Bằng chứng nguồn</x:v>
      </x:c>
      <x:c r="O1" s="14" t="str">
        <x:v>Mức tin cậy</x:v>
      </x:c>
      <x:c r="P1" s="14" t="str">
        <x:v>Ghi chú</x:v>
      </x:c>
    </x:row>
    <x:row r="2">
      <x:c r="A2" t="str">
        <x:v>O2022-37-01</x:v>
      </x:c>
      <x:c r="B2" t="str">
        <x:v>P2022-37</x:v>
      </x:c>
      <x:c r="C2" t="n">
        <x:v>2022</x:v>
      </x:c>
      <x:c r="D2" t="str">
        <x:v>Báo cáo tổng kết đề tài</x:v>
      </x:c>
      <x:c r="E2" t="str">
        <x:v>Báo cáo nghiên cứu</x:v>
      </x:c>
      <x:c r="F2" t="n">
        <x:v>1</x:v>
      </x:c>
      <x:c r="G2" t="str">
        <x:v>báo cáo</x:v>
      </x:c>
      <x:c r="H2" t="str">
        <x:v>Phạm Viết Xuân</x:v>
      </x:c>
      <x:c r="I2" t="str">
        <x:v>Có nội bộ</x:v>
      </x:c>
      <x:c r="J2" t="str"/>
      <x:c r="K2" t="str">
        <x:v>Có</x:v>
      </x:c>
      <x:c r="L2" t="str">
        <x:v>Tác phẩm học thuật</x:v>
      </x:c>
      <x:c r="M2" t="str">
        <x:v>Khoa học/đào tạo</x:v>
      </x:c>
      <x:c r="N2" t="str">
        <x:v>Tổng hợp đề tài KHCN cấp cơ sở của GV 2021-2025.pdf, tr.3</x:v>
      </x:c>
      <x:c r="O2" t="str">
        <x:v>Cao</x:v>
      </x:c>
      <x:c r="P2" t="str"/>
    </x:row>
    <x:row r="3">
      <x:c r="A3" t="str">
        <x:v>O2022-37-02</x:v>
      </x:c>
      <x:c r="B3" t="str">
        <x:v>P2022-37</x:v>
      </x:c>
      <x:c r="C3" t="n">
        <x:v>2022</x:v>
      </x:c>
      <x:c r="D3" t="str">
        <x:v>Mô hình kiểm tra và sửa chữa hệ thống khởi động điện trên ô tô</x:v>
      </x:c>
      <x:c r="E3" t="str">
        <x:v>Mô hình/prototype</x:v>
      </x:c>
      <x:c r="F3" t="n">
        <x:v>1</x:v>
      </x:c>
      <x:c r="G3" t="str">
        <x:v>mô hình</x:v>
      </x:c>
      <x:c r="H3" t="str">
        <x:v>Phạm Viết Xuân</x:v>
      </x:c>
      <x:c r="I3" t="str">
        <x:v>Chưa xác minh</x:v>
      </x:c>
      <x:c r="J3" t="str"/>
      <x:c r="K3" t="str">
        <x:v>Có</x:v>
      </x:c>
      <x:c r="L3" t="str">
        <x:v>Giải pháp kỹ thuật/thiết kế - cần sàng lọc</x:v>
      </x:c>
      <x:c r="M3" t="str">
        <x:v>Công nghệ/đào tạo</x:v>
      </x:c>
      <x:c r="N3" t="str">
        <x:v>Tổng hợp đề tài KHCN cấp cơ sở của GV 2021-2025.pdf, tr.3</x:v>
      </x:c>
      <x:c r="O3" t="str">
        <x:v>Cao</x:v>
      </x:c>
      <x:c r="P3" t="str">
        <x:v>Chưa đủ dữ liệu để kết luận sáng chế/KDCN.</x:v>
      </x:c>
    </x:row>
    <x:row r="4">
      <x:c r="A4" t="str">
        <x:v>O2022-39-01</x:v>
      </x:c>
      <x:c r="B4" t="str">
        <x:v>P2022-39</x:v>
      </x:c>
      <x:c r="C4" t="n">
        <x:v>2022</x:v>
      </x:c>
      <x:c r="D4" t="str">
        <x:v>Báo cáo tổng kết đề tài</x:v>
      </x:c>
      <x:c r="E4" t="str">
        <x:v>Báo cáo nghiên cứu</x:v>
      </x:c>
      <x:c r="F4" t="n">
        <x:v>1</x:v>
      </x:c>
      <x:c r="G4" t="str">
        <x:v>báo cáo</x:v>
      </x:c>
      <x:c r="H4" t="str">
        <x:v>Nhóm đề tài</x:v>
      </x:c>
      <x:c r="I4" t="str">
        <x:v>Có nội bộ</x:v>
      </x:c>
      <x:c r="J4" t="str"/>
      <x:c r="K4" t="str">
        <x:v>Có</x:v>
      </x:c>
      <x:c r="L4" t="str">
        <x:v>Tác phẩm học thuật</x:v>
      </x:c>
      <x:c r="M4" t="str">
        <x:v>Khoa học</x:v>
      </x:c>
      <x:c r="N4" t="str">
        <x:v>Tổng hợp đề tài KHCN cấp cơ sở của GV 2021-2025.pdf, tr.3</x:v>
      </x:c>
      <x:c r="O4" t="str">
        <x:v>Cao</x:v>
      </x:c>
      <x:c r="P4" t="str"/>
    </x:row>
    <x:row r="5">
      <x:c r="A5" t="str">
        <x:v>O2022-39-02</x:v>
      </x:c>
      <x:c r="B5" t="str">
        <x:v>P2022-39</x:v>
      </x:c>
      <x:c r="C5" t="n">
        <x:v>2022</x:v>
      </x:c>
      <x:c r="D5" t="str">
        <x:v>Sản phẩm cầm máu ở dạng màng</x:v>
      </x:c>
      <x:c r="E5" t="str">
        <x:v>Sản phẩm/prototype</x:v>
      </x:c>
      <x:c r="F5" t="n">
        <x:v>1</x:v>
      </x:c>
      <x:c r="G5" t="str">
        <x:v>sản phẩm</x:v>
      </x:c>
      <x:c r="H5" t="str">
        <x:v>Nhóm đề tài</x:v>
      </x:c>
      <x:c r="I5" t="str">
        <x:v>Chưa xác minh</x:v>
      </x:c>
      <x:c r="J5" t="str"/>
      <x:c r="K5" t="str">
        <x:v>Có</x:v>
      </x:c>
      <x:c r="L5" t="str">
        <x:v>Giải pháp kỹ thuật/know-how - cần sàng lọc</x:v>
      </x:c>
      <x:c r="M5" t="str">
        <x:v>Công nghệ/y tế</x:v>
      </x:c>
      <x:c r="N5" t="str">
        <x:v>Tổng hợp đề tài KHCN cấp cơ sở của GV 2021-2025.pdf, tr.3</x:v>
      </x:c>
      <x:c r="O5" t="str">
        <x:v>Cao</x:v>
      </x:c>
      <x:c r="P5" t="str"/>
    </x:row>
    <x:row r="6">
      <x:c r="A6" t="str">
        <x:v>O2022-40-01</x:v>
      </x:c>
      <x:c r="B6" t="str">
        <x:v>P2022-40</x:v>
      </x:c>
      <x:c r="C6" t="n">
        <x:v>2022</x:v>
      </x:c>
      <x:c r="D6" t="str">
        <x:v>Báo cáo tổng kết đề tài</x:v>
      </x:c>
      <x:c r="E6" t="str">
        <x:v>Báo cáo nghiên cứu</x:v>
      </x:c>
      <x:c r="F6" t="n">
        <x:v>1</x:v>
      </x:c>
      <x:c r="G6" t="str">
        <x:v>báo cáo</x:v>
      </x:c>
      <x:c r="H6" t="str">
        <x:v>Nhóm đề tài</x:v>
      </x:c>
      <x:c r="I6" t="str">
        <x:v>Có nội bộ</x:v>
      </x:c>
      <x:c r="J6" t="str"/>
      <x:c r="K6" t="str">
        <x:v>Có</x:v>
      </x:c>
      <x:c r="L6" t="str">
        <x:v>Tác phẩm học thuật</x:v>
      </x:c>
      <x:c r="M6" t="str">
        <x:v>Khoa học</x:v>
      </x:c>
      <x:c r="N6" t="str">
        <x:v>Tổng hợp đề tài KHCN cấp cơ sở của GV 2021-2025.pdf, tr.3</x:v>
      </x:c>
      <x:c r="O6" t="str">
        <x:v>Cao</x:v>
      </x:c>
      <x:c r="P6" t="str"/>
    </x:row>
    <x:row r="7">
      <x:c r="A7" t="str">
        <x:v>O2022-40-02</x:v>
      </x:c>
      <x:c r="B7" t="str">
        <x:v>P2022-40</x:v>
      </x:c>
      <x:c r="C7" t="n">
        <x:v>2022</x:v>
      </x:c>
      <x:c r="D7" t="str">
        <x:v>Bộ mẫu cây thuốc</x:v>
      </x:c>
      <x:c r="E7" t="str">
        <x:v>Bộ mẫu/collection</x:v>
      </x:c>
      <x:c r="F7" t="n">
        <x:v>1</x:v>
      </x:c>
      <x:c r="G7" t="str">
        <x:v>bộ</x:v>
      </x:c>
      <x:c r="H7" t="str">
        <x:v>Nhóm đề tài</x:v>
      </x:c>
      <x:c r="I7" t="str">
        <x:v>Chưa xác minh</x:v>
      </x:c>
      <x:c r="J7" t="str"/>
      <x:c r="K7" t="str">
        <x:v>Có</x:v>
      </x:c>
      <x:c r="L7" t="str">
        <x:v>TSTT học thuật/collection - hình thức quyền cần xác minh</x:v>
      </x:c>
      <x:c r="M7" t="str">
        <x:v>Đào tạo</x:v>
      </x:c>
      <x:c r="N7" t="str">
        <x:v>Tổng hợp đề tài KHCN cấp cơ sở của GV 2021-2025.pdf, tr.3</x:v>
      </x:c>
      <x:c r="O7" t="str">
        <x:v>Cao</x:v>
      </x:c>
      <x:c r="P7" t="str"/>
    </x:row>
    <x:row r="8">
      <x:c r="A8" t="str">
        <x:v>O2023-08-01</x:v>
      </x:c>
      <x:c r="B8" t="str">
        <x:v>P2023-08</x:v>
      </x:c>
      <x:c r="C8" t="n">
        <x:v>2023</x:v>
      </x:c>
      <x:c r="D8" t="str">
        <x:v>01 bài báo khoa học đăng tạp chí có chỉ số ISSN</x:v>
      </x:c>
      <x:c r="E8" t="str">
        <x:v>Bài báo</x:v>
      </x:c>
      <x:c r="F8" t="n">
        <x:v>1</x:v>
      </x:c>
      <x:c r="G8" t="str">
        <x:v>bài</x:v>
      </x:c>
      <x:c r="H8" t="str">
        <x:v>Nhóm đề tài</x:v>
      </x:c>
      <x:c r="I8" t="str">
        <x:v>Có</x:v>
      </x:c>
      <x:c r="J8" t="str"/>
      <x:c r="K8" t="str">
        <x:v>Có</x:v>
      </x:c>
      <x:c r="L8" t="str">
        <x:v>Tác phẩm học thuật</x:v>
      </x:c>
      <x:c r="M8" t="str">
        <x:v>Khoa học/uy tín</x:v>
      </x:c>
      <x:c r="N8" t="str">
        <x:v>Tổng hợp đề tài KHCN cấp cơ sở của GV 2021-2025.pdf</x:v>
      </x:c>
      <x:c r="O8" t="str">
        <x:v>Cao</x:v>
      </x:c>
      <x:c r="P8" t="str">
        <x:v>Cần nối với danh mục bài báo để xác định tên/DOI.</x:v>
      </x:c>
    </x:row>
    <x:row r="9">
      <x:c r="A9" t="str">
        <x:v>O2023-08-02</x:v>
      </x:c>
      <x:c r="B9" t="str">
        <x:v>P2023-08</x:v>
      </x:c>
      <x:c r="C9" t="n">
        <x:v>2023</x:v>
      </x:c>
      <x:c r="D9" t="str">
        <x:v>Tinh dầu Citrus grandis (L.) Osbeck 100ml</x:v>
      </x:c>
      <x:c r="E9" t="str">
        <x:v>Sản phẩm/prototype</x:v>
      </x:c>
      <x:c r="F9" t="n">
        <x:v>1</x:v>
      </x:c>
      <x:c r="G9" t="str">
        <x:v>mẫu 100ml</x:v>
      </x:c>
      <x:c r="H9" t="str">
        <x:v>Nhóm đề tài</x:v>
      </x:c>
      <x:c r="I9" t="str">
        <x:v>Chưa xác minh</x:v>
      </x:c>
      <x:c r="J9" t="str"/>
      <x:c r="K9" t="str">
        <x:v>Có</x:v>
      </x:c>
      <x:c r="L9" t="str">
        <x:v>Giải pháp kỹ thuật/know-how - cần sàng lọc</x:v>
      </x:c>
      <x:c r="M9" t="str">
        <x:v>Công nghệ/thương mại</x:v>
      </x:c>
      <x:c r="N9" t="str">
        <x:v>Tổng hợp đề tài KHCN cấp cơ sở của GV 2021-2025.pdf</x:v>
      </x:c>
      <x:c r="O9" t="str">
        <x:v>Cao</x:v>
      </x:c>
      <x:c r="P9" t="str">
        <x:v>Có ghi sản phẩm chuyển giao cho trường thương mại hóa.</x:v>
      </x:c>
    </x:row>
    <x:row r="10">
      <x:c r="A10" t="str">
        <x:v>O2024-06-01</x:v>
      </x:c>
      <x:c r="B10" t="str">
        <x:v>P2024-06</x:v>
      </x:c>
      <x:c r="C10" t="n">
        <x:v>2024</x:v>
      </x:c>
      <x:c r="D10" t="str">
        <x:v>01 bài báo khoa học đăng Tạp chí NCKH&amp;PT Trường Đại học Thành Đô</x:v>
      </x:c>
      <x:c r="E10" t="str">
        <x:v>Bài báo</x:v>
      </x:c>
      <x:c r="F10" t="n">
        <x:v>1</x:v>
      </x:c>
      <x:c r="G10" t="str">
        <x:v>bài</x:v>
      </x:c>
      <x:c r="H10" t="str">
        <x:v>Nhóm đề tài</x:v>
      </x:c>
      <x:c r="I10" t="str">
        <x:v>Có</x:v>
      </x:c>
      <x:c r="J10" t="str"/>
      <x:c r="K10" t="str">
        <x:v>Có</x:v>
      </x:c>
      <x:c r="L10" t="str">
        <x:v>Tác phẩm học thuật</x:v>
      </x:c>
      <x:c r="M10" t="str">
        <x:v>Khoa học/uy tín</x:v>
      </x:c>
      <x:c r="N10" t="str">
        <x:v>Tổng hợp đề tài KHCN cấp cơ sở của GV 2021-2025.pdf</x:v>
      </x:c>
      <x:c r="O10" t="str">
        <x:v>Cao</x:v>
      </x:c>
      <x:c r="P10" t="str"/>
    </x:row>
    <x:row r="11">
      <x:c r="A11" t="str">
        <x:v>O2024-06-02</x:v>
      </x:c>
      <x:c r="B11" t="str">
        <x:v>P2024-06</x:v>
      </x:c>
      <x:c r="C11" t="n">
        <x:v>2024</x:v>
      </x:c>
      <x:c r="D11" t="str">
        <x:v>Bánh xà phòng hữu cơ tảo biển 60 gam</x:v>
      </x:c>
      <x:c r="E11" t="str">
        <x:v>Sản phẩm/prototype</x:v>
      </x:c>
      <x:c r="F11" t="n">
        <x:v>200</x:v>
      </x:c>
      <x:c r="G11" t="str">
        <x:v>bánh</x:v>
      </x:c>
      <x:c r="H11" t="str">
        <x:v>Nhóm đề tài</x:v>
      </x:c>
      <x:c r="I11" t="str">
        <x:v>Chưa xác minh</x:v>
      </x:c>
      <x:c r="J11" t="str"/>
      <x:c r="K11" t="str">
        <x:v>Có</x:v>
      </x:c>
      <x:c r="L11" t="str">
        <x:v>Sản phẩm hiện thân của TSTT</x:v>
      </x:c>
      <x:c r="M11" t="str">
        <x:v>Công nghệ/thị trường</x:v>
      </x:c>
      <x:c r="N11" t="str">
        <x:v>Tổng hợp đề tài KHCN cấp cơ sở của GV 2021-2025.pdf</x:v>
      </x:c>
      <x:c r="O11" t="str">
        <x:v>Cao</x:v>
      </x:c>
      <x:c r="P11" t="str">
        <x:v>Không tách thành quyền riêng nếu không có thiết kế/nhãn hiệu độc lập.</x:v>
      </x:c>
    </x:row>
    <x:row r="12">
      <x:c r="A12" t="str">
        <x:v>O2024-06-03</x:v>
      </x:c>
      <x:c r="B12" t="str">
        <x:v>P2024-06</x:v>
      </x:c>
      <x:c r="C12" t="n">
        <x:v>2024</x:v>
      </x:c>
      <x:c r="D12" t="str">
        <x:v>Quy trình sản xuất và công thức xà phòng hữu cơ tảo biển</x:v>
      </x:c>
      <x:c r="E12" t="str">
        <x:v>Quy trình/công thức</x:v>
      </x:c>
      <x:c r="F12" t="n">
        <x:v>1</x:v>
      </x:c>
      <x:c r="G12" t="str">
        <x:v>bộ</x:v>
      </x:c>
      <x:c r="H12" t="str">
        <x:v>Nhóm đề tài</x:v>
      </x:c>
      <x:c r="I12" t="str">
        <x:v>Chưa xác minh</x:v>
      </x:c>
      <x:c r="J12" t="str"/>
      <x:c r="K12" t="str">
        <x:v>Có</x:v>
      </x:c>
      <x:c r="L12" t="str">
        <x:v>Giải pháp kỹ thuật/know-how</x:v>
      </x:c>
      <x:c r="M12" t="str">
        <x:v>Công nghệ/thương mại</x:v>
      </x:c>
      <x:c r="N12" t="str">
        <x:v>Tổng hợp đề tài KHCN cấp cơ sở của GV 2021-2025.pdf</x:v>
      </x:c>
      <x:c r="O12" t="str">
        <x:v>Cao</x:v>
      </x:c>
      <x:c r="P12" t="str">
        <x:v>Đầu ra ưu tiên sàng lọc khả năng bảo hộ/bí mật kinh doanh.</x:v>
      </x:c>
    </x:row>
    <x:row r="13">
      <x:c r="A13" t="str">
        <x:v>O2024-06-04</x:v>
      </x:c>
      <x:c r="B13" t="str">
        <x:v>P2024-06</x:v>
      </x:c>
      <x:c r="C13" t="n">
        <x:v>2024</x:v>
      </x:c>
      <x:c r="D13" t="str">
        <x:v>Báo cáo đề tài</x:v>
      </x:c>
      <x:c r="E13" t="str">
        <x:v>Báo cáo nghiên cứu</x:v>
      </x:c>
      <x:c r="F13" t="n">
        <x:v>1</x:v>
      </x:c>
      <x:c r="G13" t="str">
        <x:v>báo cáo</x:v>
      </x:c>
      <x:c r="H13" t="str">
        <x:v>Nhóm đề tài</x:v>
      </x:c>
      <x:c r="I13" t="str">
        <x:v>Có nội bộ</x:v>
      </x:c>
      <x:c r="J13" t="str"/>
      <x:c r="K13" t="str">
        <x:v>Có</x:v>
      </x:c>
      <x:c r="L13" t="str">
        <x:v>Tác phẩm học thuật</x:v>
      </x:c>
      <x:c r="M13" t="str">
        <x:v>Khoa học</x:v>
      </x:c>
      <x:c r="N13" t="str">
        <x:v>Tổng hợp đề tài KHCN cấp cơ sở của GV 2021-2025.pdf</x:v>
      </x:c>
      <x:c r="O13" t="str">
        <x:v>Cao</x:v>
      </x:c>
      <x:c r="P13" t="str"/>
    </x:row>
    <x:row r="14">
      <x:c r="A14" t="str">
        <x:v>O2025-06-01</x:v>
      </x:c>
      <x:c r="B14" t="str">
        <x:v>P2025-06</x:v>
      </x:c>
      <x:c r="C14" t="n">
        <x:v>2025</x:v>
      </x:c>
      <x:c r="D14" t="str">
        <x:v>Bài đăng trên Tạp chí NCKH&amp;PT</x:v>
      </x:c>
      <x:c r="E14" t="str">
        <x:v>Bài báo</x:v>
      </x:c>
      <x:c r="F14" t="n">
        <x:v>1</x:v>
      </x:c>
      <x:c r="G14" t="str">
        <x:v>bài</x:v>
      </x:c>
      <x:c r="H14" t="str">
        <x:v>Nhóm đề tài</x:v>
      </x:c>
      <x:c r="I14" t="str">
        <x:v>Có</x:v>
      </x:c>
      <x:c r="J14" t="str"/>
      <x:c r="K14" t="str">
        <x:v>Có</x:v>
      </x:c>
      <x:c r="L14" t="str">
        <x:v>Tác phẩm học thuật</x:v>
      </x:c>
      <x:c r="M14" t="str">
        <x:v>Khoa học/uy tín</x:v>
      </x:c>
      <x:c r="N14" t="str">
        <x:v>Tổng hợp đề tài KHCN cấp cơ sở của GV 2021-2025.pdf</x:v>
      </x:c>
      <x:c r="O14" t="str">
        <x:v>Cao</x:v>
      </x:c>
      <x:c r="P14" t="str"/>
    </x:row>
    <x:row r="15">
      <x:c r="A15" t="str">
        <x:v>O2025-06-02</x:v>
      </x:c>
      <x:c r="B15" t="str">
        <x:v>P2025-06</x:v>
      </x:c>
      <x:c r="C15" t="n">
        <x:v>2025</x:v>
      </x:c>
      <x:c r="D15" t="str">
        <x:v>Công thức bào chế cồn thuốc xoa bóp hỗ trợ giảm đau nhức xương khớp</x:v>
      </x:c>
      <x:c r="E15" t="str">
        <x:v>Công thức/quy trình</x:v>
      </x:c>
      <x:c r="F15" t="n">
        <x:v>1</x:v>
      </x:c>
      <x:c r="G15" t="str">
        <x:v>công thức</x:v>
      </x:c>
      <x:c r="H15" t="str">
        <x:v>Nhóm đề tài</x:v>
      </x:c>
      <x:c r="I15" t="str">
        <x:v>Chưa xác minh</x:v>
      </x:c>
      <x:c r="J15" t="str"/>
      <x:c r="K15" t="str">
        <x:v>Có</x:v>
      </x:c>
      <x:c r="L15" t="str">
        <x:v>Giải pháp hữu ích tiềm năng</x:v>
      </x:c>
      <x:c r="M15" t="str">
        <x:v>Công nghệ/thương mại</x:v>
      </x:c>
      <x:c r="N15" t="str">
        <x:v>Tổng hợp đề tài KHCN cấp cơ sở của GV 2021-2025.pdf</x:v>
      </x:c>
      <x:c r="O15" t="str">
        <x:v>Cao</x:v>
      </x:c>
      <x:c r="P15" t="str">
        <x:v>Hồ sơ ghi 'công thức mới, dự kiến đăng ký bằng độc quyền giải pháp hữu ích'.</x:v>
      </x:c>
    </x:row>
    <x:row r="16">
      <x:c r="A16" t="str">
        <x:v>O2025-06-03</x:v>
      </x:c>
      <x:c r="B16" t="str">
        <x:v>P2025-06</x:v>
      </x:c>
      <x:c r="C16" t="n">
        <x:v>2025</x:v>
      </x:c>
      <x:c r="D16" t="str">
        <x:v>Cồn thuốc xoa bóp hỗ trợ giảm đau nhức xương khớp chai 50ml</x:v>
      </x:c>
      <x:c r="E16" t="str">
        <x:v>Sản phẩm/prototype</x:v>
      </x:c>
      <x:c r="F16" t="n">
        <x:v>50</x:v>
      </x:c>
      <x:c r="G16" t="str">
        <x:v>chai</x:v>
      </x:c>
      <x:c r="H16" t="str">
        <x:v>Nhóm đề tài</x:v>
      </x:c>
      <x:c r="I16" t="str">
        <x:v>Chưa xác minh</x:v>
      </x:c>
      <x:c r="J16" t="str"/>
      <x:c r="K16" t="str">
        <x:v>Có</x:v>
      </x:c>
      <x:c r="L16" t="str">
        <x:v>Sản phẩm hiện thân của TSTT</x:v>
      </x:c>
      <x:c r="M16" t="str">
        <x:v>Công nghệ/thị trường</x:v>
      </x:c>
      <x:c r="N16" t="str">
        <x:v>Tổng hợp đề tài KHCN cấp cơ sở của GV 2021-2025.pdf</x:v>
      </x:c>
      <x:c r="O16" t="str">
        <x:v>Cao</x:v>
      </x:c>
      <x:c r="P16" t="str"/>
    </x:row>
    <x:row r="17">
      <x:c r="A17" t="str">
        <x:v>O2025-07-01</x:v>
      </x:c>
      <x:c r="B17" t="str">
        <x:v>P2025-07</x:v>
      </x:c>
      <x:c r="C17" t="n">
        <x:v>2025</x:v>
      </x:c>
      <x:c r="D17" t="str">
        <x:v>Báo cáo đề tài</x:v>
      </x:c>
      <x:c r="E17" t="str">
        <x:v>Báo cáo nghiên cứu</x:v>
      </x:c>
      <x:c r="F17" t="n">
        <x:v>1</x:v>
      </x:c>
      <x:c r="G17" t="str">
        <x:v>báo cáo</x:v>
      </x:c>
      <x:c r="H17" t="str">
        <x:v>Nhóm đề tài</x:v>
      </x:c>
      <x:c r="I17" t="str">
        <x:v>Có nội bộ</x:v>
      </x:c>
      <x:c r="J17" t="str"/>
      <x:c r="K17" t="str">
        <x:v>Có</x:v>
      </x:c>
      <x:c r="L17" t="str">
        <x:v>Tác phẩm học thuật</x:v>
      </x:c>
      <x:c r="M17" t="str">
        <x:v>Khoa học</x:v>
      </x:c>
      <x:c r="N17" t="str">
        <x:v>Tổng hợp đề tài KHCN cấp cơ sở của GV 2021-2025.pdf</x:v>
      </x:c>
      <x:c r="O17" t="str">
        <x:v>Cao</x:v>
      </x:c>
      <x:c r="P17" t="str"/>
    </x:row>
    <x:row r="18">
      <x:c r="A18" t="str">
        <x:v>O2025-07-02</x:v>
      </x:c>
      <x:c r="B18" t="str">
        <x:v>P2025-07</x:v>
      </x:c>
      <x:c r="C18" t="n">
        <x:v>2025</x:v>
      </x:c>
      <x:c r="D18" t="str">
        <x:v>Bài báo đăng trên tạp chí tính điểm/chỉ số ISSN</x:v>
      </x:c>
      <x:c r="E18" t="str">
        <x:v>Bài báo</x:v>
      </x:c>
      <x:c r="F18" t="n">
        <x:v>1</x:v>
      </x:c>
      <x:c r="G18" t="str">
        <x:v>bài</x:v>
      </x:c>
      <x:c r="H18" t="str">
        <x:v>Nhóm đề tài</x:v>
      </x:c>
      <x:c r="I18" t="str">
        <x:v>Có</x:v>
      </x:c>
      <x:c r="J18" t="str"/>
      <x:c r="K18" t="str">
        <x:v>Có</x:v>
      </x:c>
      <x:c r="L18" t="str">
        <x:v>Tác phẩm học thuật</x:v>
      </x:c>
      <x:c r="M18" t="str">
        <x:v>Khoa học/uy tín</x:v>
      </x:c>
      <x:c r="N18" t="str">
        <x:v>Tổng hợp đề tài KHCN cấp cơ sở của GV 2021-2025.pdf</x:v>
      </x:c>
      <x:c r="O18" t="str">
        <x:v>Cao</x:v>
      </x:c>
      <x:c r="P18" t="str"/>
    </x:row>
    <x:row r="19">
      <x:c r="A19" t="str">
        <x:v>O2025-07-03</x:v>
      </x:c>
      <x:c r="B19" t="str">
        <x:v>P2025-07</x:v>
      </x:c>
      <x:c r="C19" t="n">
        <x:v>2025</x:v>
      </x:c>
      <x:c r="D19" t="str">
        <x:v>Quy trình bào chế viên ngậm hỗ trợ giảm ho từ Gừng và Húng chanh</x:v>
      </x:c>
      <x:c r="E19" t="str">
        <x:v>Quy trình/công thức</x:v>
      </x:c>
      <x:c r="F19" t="n">
        <x:v>1</x:v>
      </x:c>
      <x:c r="G19" t="str">
        <x:v>quy trình</x:v>
      </x:c>
      <x:c r="H19" t="str">
        <x:v>Nhóm đề tài</x:v>
      </x:c>
      <x:c r="I19" t="str">
        <x:v>Chưa xác minh</x:v>
      </x:c>
      <x:c r="J19" t="str"/>
      <x:c r="K19" t="str">
        <x:v>Có</x:v>
      </x:c>
      <x:c r="L19" t="str">
        <x:v>Giải pháp hữu ích tiềm năng</x:v>
      </x:c>
      <x:c r="M19" t="str">
        <x:v>Công nghệ/thương mại</x:v>
      </x:c>
      <x:c r="N19" t="str">
        <x:v>Tổng hợp đề tài KHCN cấp cơ sở của GV 2021-2025.pdf</x:v>
      </x:c>
      <x:c r="O19" t="str">
        <x:v>Cao</x:v>
      </x:c>
      <x:c r="P19" t="str">
        <x:v>Hồ sơ ghi 'quy trình mới, dự kiến đăng ký bằng độc quyền giải pháp hữu ích'.</x:v>
      </x:c>
    </x:row>
    <x:row r="20">
      <x:c r="A20" t="str">
        <x:v>O2025-07-04</x:v>
      </x:c>
      <x:c r="B20" t="str">
        <x:v>P2025-07</x:v>
      </x:c>
      <x:c r="C20" t="n">
        <x:v>2025</x:v>
      </x:c>
      <x:c r="D20" t="str">
        <x:v>Sản phẩm bào chế viên ngậm hỗ trợ giảm ho từ Gừng và Húng chanh</x:v>
      </x:c>
      <x:c r="E20" t="str">
        <x:v>Sản phẩm/prototype</x:v>
      </x:c>
      <x:c r="F20" t="n">
        <x:v>50</x:v>
      </x:c>
      <x:c r="G20" t="str">
        <x:v>thanh/10 viên</x:v>
      </x:c>
      <x:c r="H20" t="str">
        <x:v>Nhóm đề tài</x:v>
      </x:c>
      <x:c r="I20" t="str">
        <x:v>Chưa xác minh</x:v>
      </x:c>
      <x:c r="J20" t="str"/>
      <x:c r="K20" t="str">
        <x:v>Có</x:v>
      </x:c>
      <x:c r="L20" t="str">
        <x:v>Sản phẩm hiện thân của TSTT</x:v>
      </x:c>
      <x:c r="M20" t="str">
        <x:v>Công nghệ/thị trường</x:v>
      </x:c>
      <x:c r="N20" t="str">
        <x:v>Tổng hợp đề tài KHCN cấp cơ sở của GV 2021-2025.pdf</x:v>
      </x:c>
      <x:c r="O20" t="str">
        <x:v>Cao</x:v>
      </x:c>
      <x:c r="P20" t="str"/>
    </x:row>
  </x:sheetData>
  <x:pageMargins left="0.7" right="0.7" top="0.75" bottom="0.75" header="0.3" footer="0.3"/>
  <x:tableParts count="1">
    <x:tablePart xmlns:r="http://schemas.openxmlformats.org/officeDocument/2006/relationships" r:id="R12abaaf978994990"/>
  </x:tableParts>
</x:worksheet>
</file>

<file path=xl/worksheets/sheet4.xml><?xml version="1.0" encoding="utf-8"?>
<x:worksheet xmlns:x="http://schemas.openxmlformats.org/spreadsheetml/2006/main">
  <x:sheetFormatPr defaultRowHeight="15"/>
  <x:cols>
    <x:col min="1" max="1" width="16" hidden="0" customWidth="1"/>
    <x:col min="2" max="2" width="14" hidden="0" customWidth="1"/>
    <x:col min="3" max="3" width="18" hidden="0" customWidth="1"/>
    <x:col min="4" max="4" width="55" hidden="0" customWidth="1"/>
    <x:col min="5" max="5" width="20" hidden="0" customWidth="1"/>
    <x:col min="6" max="6" width="38" hidden="0" customWidth="1"/>
    <x:col min="7" max="7" width="15" hidden="0" customWidth="1"/>
    <x:col min="8" max="8" width="24" hidden="0" customWidth="1"/>
    <x:col min="9" max="9" width="22" hidden="0" customWidth="1"/>
    <x:col min="10" max="10" width="16" hidden="0" customWidth="1"/>
    <x:col min="11" max="11" width="18" hidden="0" customWidth="1"/>
    <x:col min="12" max="12" width="23" hidden="0" customWidth="1"/>
    <x:col min="13" max="13" width="23" hidden="0" customWidth="1"/>
    <x:col min="14" max="14" width="16" hidden="0" customWidth="1"/>
    <x:col min="15" max="15" width="16" hidden="0" customWidth="1"/>
    <x:col min="16" max="16" width="22" hidden="0" customWidth="1"/>
    <x:col min="17" max="17" width="22" hidden="0" customWidth="1"/>
    <x:col min="18" max="18" width="14" hidden="0" customWidth="1"/>
    <x:col min="19" max="19" width="45" hidden="0" customWidth="1"/>
    <x:col min="20" max="20" width="48" hidden="0" customWidth="1"/>
  </x:cols>
  <x:sheetData>
    <x:row r="1">
      <x:c r="A1" s="14" t="str">
        <x:v>IP_ID</x:v>
      </x:c>
      <x:c r="B1" s="14" t="str">
        <x:v>Project_ID</x:v>
      </x:c>
      <x:c r="C1" s="14" t="str">
        <x:v>Output_ID chính</x:v>
      </x:c>
      <x:c r="D1" s="14" t="str">
        <x:v>Tên TSTT/cụm TSTT</x:v>
      </x:c>
      <x:c r="E1" s="14" t="str">
        <x:v>Nhóm TSTT</x:v>
      </x:c>
      <x:c r="F1" s="14" t="str">
        <x:v>Hình thức quyền dự kiến</x:v>
      </x:c>
      <x:c r="G1" s="14" t="str">
        <x:v>Chủ thể sáng tạo rõ?</x:v>
      </x:c>
      <x:c r="H1" s="14" t="str">
        <x:v>Chủ sở hữu rõ?</x:v>
      </x:c>
      <x:c r="I1" s="14" t="str">
        <x:v>Trường sở hữu/đồng sở hữu?</x:v>
      </x:c>
      <x:c r="J1" s="14" t="str">
        <x:v>Nguồn lực trường?</x:v>
      </x:c>
      <x:c r="K1" s="14" t="str">
        <x:v>Có đối tác ngoài trường?</x:v>
      </x:c>
      <x:c r="L1" s="14" t="str">
        <x:v>Đã được nhận diện chính thức?</x:v>
      </x:c>
      <x:c r="M1" s="14" t="str">
        <x:v>Đã sàng lọc khả năng bảo hộ?</x:v>
      </x:c>
      <x:c r="N1" s="14" t="str">
        <x:v>Mức tiềm năng bảo hộ (0-3)</x:v>
      </x:c>
      <x:c r="O1" s="14" t="str">
        <x:v>Mức tiềm năng ứng dụng (0-3)</x:v>
      </x:c>
      <x:c r="P1" s="14" t="str">
        <x:v>Rủi ro công bố trước bảo hộ</x:v>
      </x:c>
      <x:c r="Q1" s="14" t="str">
        <x:v>Tình trạng IP</x:v>
      </x:c>
      <x:c r="R1" s="14" t="str">
        <x:v>Mức tin cậy</x:v>
      </x:c>
      <x:c r="S1" s="14" t="str">
        <x:v>Bằng chứng</x:v>
      </x:c>
      <x:c r="T1" s="14" t="str">
        <x:v>Ghi chú chuyên gia</x:v>
      </x:c>
    </x:row>
    <x:row r="2">
      <x:c r="A2" t="str">
        <x:v>IP2022-37-A</x:v>
      </x:c>
      <x:c r="B2" t="str">
        <x:v>P2022-37</x:v>
      </x:c>
      <x:c r="C2" t="str">
        <x:v>O2022-37-02</x:v>
      </x:c>
      <x:c r="D2" t="str">
        <x:v>Mô hình panel kiểm tra và sửa chữa hệ thống khởi động điện trên ô tô</x:v>
      </x:c>
      <x:c r="E2" t="str">
        <x:v>Công nghệ</x:v>
      </x:c>
      <x:c r="F2" t="str">
        <x:v>Chưa xác minh: sáng chế/GPHI/KDCN</x:v>
      </x:c>
      <x:c r="G2" t="str">
        <x:v>Có</x:v>
      </x:c>
      <x:c r="H2" t="str">
        <x:v>Có theo quy chế/hợp đồng - cần hồ sơ cụ thể</x:v>
      </x:c>
      <x:c r="I2" t="str">
        <x:v>Có khả năng</x:v>
      </x:c>
      <x:c r="J2" t="str">
        <x:v>Có khả năng</x:v>
      </x:c>
      <x:c r="K2" t="str">
        <x:v>Chưa xác minh</x:v>
      </x:c>
      <x:c r="L2" t="str">
        <x:v>Chưa xác minh</x:v>
      </x:c>
      <x:c r="M2" t="str">
        <x:v>Chưa xác minh</x:v>
      </x:c>
      <x:c r="N2"/>
      <x:c r="O2"/>
      <x:c r="P2" t="str">
        <x:v>Chưa xác minh</x:v>
      </x:c>
      <x:c r="Q2" t="str">
        <x:v>Tiềm năng</x:v>
      </x:c>
      <x:c r="R2" t="str">
        <x:v>Trung bình</x:v>
      </x:c>
      <x:c r="S2" t="str">
        <x:v>Sản phẩm nghiệm thu là mô hình</x:v>
      </x:c>
      <x:c r="T2" t="str">
        <x:v>Cần rà soát tính mới và phần hình dáng/kết cấu.</x:v>
      </x:c>
    </x:row>
    <x:row r="3">
      <x:c r="A3" t="str">
        <x:v>IP2022-39-A</x:v>
      </x:c>
      <x:c r="B3" t="str">
        <x:v>P2022-39</x:v>
      </x:c>
      <x:c r="C3" t="str">
        <x:v>O2022-39-02</x:v>
      </x:c>
      <x:c r="D3" t="str">
        <x:v>Vật liệu/sản phẩm cầm máu trên cơ sở chitosan và cao nhọ nồi</x:v>
      </x:c>
      <x:c r="E3" t="str">
        <x:v>Công nghệ</x:v>
      </x:c>
      <x:c r="F3" t="str">
        <x:v>Chưa xác minh: sáng chế/GPHI/know-how</x:v>
      </x:c>
      <x:c r="G3" t="str">
        <x:v>Có</x:v>
      </x:c>
      <x:c r="H3" t="str">
        <x:v>Có theo quy chế/hợp đồng - cần hồ sơ cụ thể</x:v>
      </x:c>
      <x:c r="I3" t="str">
        <x:v>Có khả năng</x:v>
      </x:c>
      <x:c r="J3" t="str">
        <x:v>Có khả năng</x:v>
      </x:c>
      <x:c r="K3" t="str">
        <x:v>Chưa xác minh</x:v>
      </x:c>
      <x:c r="L3" t="str">
        <x:v>Chưa xác minh</x:v>
      </x:c>
      <x:c r="M3" t="str">
        <x:v>Chưa xác minh</x:v>
      </x:c>
      <x:c r="N3"/>
      <x:c r="O3"/>
      <x:c r="P3" t="str">
        <x:v>Chưa xác minh</x:v>
      </x:c>
      <x:c r="Q3" t="str">
        <x:v>Tiềm năng</x:v>
      </x:c>
      <x:c r="R3" t="str">
        <x:v>Trung bình</x:v>
      </x:c>
      <x:c r="S3" t="str">
        <x:v>Sản phẩm nghiệm thu dạng màng</x:v>
      </x:c>
      <x:c r="T3" t="str">
        <x:v>Ưu tiên tra cứu sáng chế và đánh giá novelty.</x:v>
      </x:c>
    </x:row>
    <x:row r="4">
      <x:c r="A4" t="str">
        <x:v>IP2022-40-A</x:v>
      </x:c>
      <x:c r="B4" t="str">
        <x:v>P2022-40</x:v>
      </x:c>
      <x:c r="C4" t="str">
        <x:v>O2022-40-02</x:v>
      </x:c>
      <x:c r="D4" t="str">
        <x:v>Bộ mẫu cây thuốc phục vụ giảng dạy</x:v>
      </x:c>
      <x:c r="E4" t="str">
        <x:v>Học thuật/đào tạo</x:v>
      </x:c>
      <x:c r="F4" t="str">
        <x:v>Chưa xác minh: tác phẩm sưu tập/CSDL/quyền khác</x:v>
      </x:c>
      <x:c r="G4" t="str">
        <x:v>Có</x:v>
      </x:c>
      <x:c r="H4" t="str">
        <x:v>Chưa xác minh</x:v>
      </x:c>
      <x:c r="I4" t="str">
        <x:v>Có khả năng</x:v>
      </x:c>
      <x:c r="J4" t="str">
        <x:v>Có khả năng</x:v>
      </x:c>
      <x:c r="K4" t="str">
        <x:v>Chưa xác minh</x:v>
      </x:c>
      <x:c r="L4" t="str">
        <x:v>Chưa xác minh</x:v>
      </x:c>
      <x:c r="M4" t="str">
        <x:v>Chưa xác minh</x:v>
      </x:c>
      <x:c r="N4"/>
      <x:c r="O4"/>
      <x:c r="P4" t="str">
        <x:v>Thấp</x:v>
      </x:c>
      <x:c r="Q4" t="str">
        <x:v>Tiềm năng</x:v>
      </x:c>
      <x:c r="R4" t="str">
        <x:v>Trung bình</x:v>
      </x:c>
      <x:c r="S4" t="str">
        <x:v>Sản phẩm nghiệm thu là bộ mẫu cây thuốc</x:v>
      </x:c>
      <x:c r="T4" t="str">
        <x:v>Giá trị đào tạo có thể cao dù quyền độc quyền hạn chế.</x:v>
      </x:c>
    </x:row>
    <x:row r="5">
      <x:c r="A5" t="str">
        <x:v>IP2023-08-A</x:v>
      </x:c>
      <x:c r="B5" t="str">
        <x:v>P2023-08</x:v>
      </x:c>
      <x:c r="C5" t="str">
        <x:v>O2023-08-02</x:v>
      </x:c>
      <x:c r="D5" t="str">
        <x:v>Tinh dầu Citrus grandis (L.) Osbeck và tri thức/quy trình liên quan</x:v>
      </x:c>
      <x:c r="E5" t="str">
        <x:v>Công nghệ</x:v>
      </x:c>
      <x:c r="F5" t="str">
        <x:v>Chưa xác minh: know-how/sáng chế/GPHI</x:v>
      </x:c>
      <x:c r="G5" t="str">
        <x:v>Có</x:v>
      </x:c>
      <x:c r="H5" t="str">
        <x:v>Chưa xác minh</x:v>
      </x:c>
      <x:c r="I5" t="str">
        <x:v>Có khả năng</x:v>
      </x:c>
      <x:c r="J5" t="str">
        <x:v>Có khả năng</x:v>
      </x:c>
      <x:c r="K5" t="str">
        <x:v>Có dấu hiệu hợp tác DN</x:v>
      </x:c>
      <x:c r="L5" t="str">
        <x:v>Có dấu hiệu qua hồ sơ</x:v>
      </x:c>
      <x:c r="M5" t="str">
        <x:v>Chưa xác minh</x:v>
      </x:c>
      <x:c r="N5"/>
      <x:c r="O5"/>
      <x:c r="P5" t="str">
        <x:v>Chưa xác minh</x:v>
      </x:c>
      <x:c r="Q5" t="str">
        <x:v>Có bằng chứng khai thác nội bộ</x:v>
      </x:c>
      <x:c r="R5" t="str">
        <x:v>Trung bình</x:v>
      </x:c>
      <x:c r="S5" t="str">
        <x:v>Hồ sơ ghi chuyển giao sản phẩm cho trường để thương mại hóa</x:v>
      </x:c>
      <x:c r="T5" t="str">
        <x:v>Cần làm rõ sản phẩm nào được chuyển giao, chủ sở hữu, doanh thu/hợp đồng.</x:v>
      </x:c>
    </x:row>
    <x:row r="6">
      <x:c r="A6" t="str">
        <x:v>IP2024-06-A</x:v>
      </x:c>
      <x:c r="B6" t="str">
        <x:v>P2024-06</x:v>
      </x:c>
      <x:c r="C6" t="str">
        <x:v>O2024-06-03</x:v>
      </x:c>
      <x:c r="D6" t="str">
        <x:v>Quy trình sản xuất và công thức xà phòng hữu cơ tảo biển</x:v>
      </x:c>
      <x:c r="E6" t="str">
        <x:v>Công nghệ</x:v>
      </x:c>
      <x:c r="F6" t="str">
        <x:v>Sáng chế/GPHI hoặc bí mật kinh doanh - cần sàng lọc</x:v>
      </x:c>
      <x:c r="G6" t="str">
        <x:v>Có</x:v>
      </x:c>
      <x:c r="H6" t="str">
        <x:v>Có theo quy chế/hợp đồng - cần hồ sơ cụ thể</x:v>
      </x:c>
      <x:c r="I6" t="str">
        <x:v>Có khả năng</x:v>
      </x:c>
      <x:c r="J6" t="str">
        <x:v>Có khả năng</x:v>
      </x:c>
      <x:c r="K6" t="str">
        <x:v>Chưa xác minh</x:v>
      </x:c>
      <x:c r="L6" t="str">
        <x:v>Chưa xác minh</x:v>
      </x:c>
      <x:c r="M6" t="str">
        <x:v>Chưa xác minh</x:v>
      </x:c>
      <x:c r="N6"/>
      <x:c r="O6"/>
      <x:c r="P6" t="str">
        <x:v>Trung bình</x:v>
      </x:c>
      <x:c r="Q6" t="str">
        <x:v>Tiềm năng</x:v>
      </x:c>
      <x:c r="R6" t="str">
        <x:v>Cao</x:v>
      </x:c>
      <x:c r="S6" t="str">
        <x:v>Quy trình và công thức là sản phẩm nghiệm thu</x:v>
      </x:c>
      <x:c r="T6" t="str">
        <x:v>Ưu tiên sàng lọc trước công bố/tiếp thị.</x:v>
      </x:c>
    </x:row>
    <x:row r="7">
      <x:c r="A7" t="str">
        <x:v>IP2025-06-A</x:v>
      </x:c>
      <x:c r="B7" t="str">
        <x:v>P2025-06</x:v>
      </x:c>
      <x:c r="C7" t="str">
        <x:v>O2025-06-02</x:v>
      </x:c>
      <x:c r="D7" t="str">
        <x:v>Công thức bào chế cồn thuốc xoa bóp hỗ trợ giảm đau nhức xương khớp</x:v>
      </x:c>
      <x:c r="E7" t="str">
        <x:v>Công nghệ</x:v>
      </x:c>
      <x:c r="F7" t="str">
        <x:v>Giải pháp hữu ích tiềm năng</x:v>
      </x:c>
      <x:c r="G7" t="str">
        <x:v>Có</x:v>
      </x:c>
      <x:c r="H7" t="str">
        <x:v>Có theo quy chế/hợp đồng - cần hồ sơ cụ thể</x:v>
      </x:c>
      <x:c r="I7" t="str">
        <x:v>Có khả năng</x:v>
      </x:c>
      <x:c r="J7" t="str">
        <x:v>Có khả năng</x:v>
      </x:c>
      <x:c r="K7" t="str">
        <x:v>Chưa xác minh</x:v>
      </x:c>
      <x:c r="L7" t="str">
        <x:v>Có dấu hiệu</x:v>
      </x:c>
      <x:c r="M7" t="str">
        <x:v>Có dấu hiệu</x:v>
      </x:c>
      <x:c r="N7"/>
      <x:c r="O7"/>
      <x:c r="P7" t="str">
        <x:v>Cần kiểm tra bài báo/timing</x:v>
      </x:c>
      <x:c r="Q7" t="str">
        <x:v>Dự kiến đăng ký</x:v>
      </x:c>
      <x:c r="R7" t="str">
        <x:v>Cao</x:v>
      </x:c>
      <x:c r="S7" t="str">
        <x:v>Hồ sơ ghi 'công thức mới, dự kiến đăng ký bằng độc quyền GPHI'</x:v>
      </x:c>
      <x:c r="T7" t="str">
        <x:v>Cần xác minh đã nộp đơn hay mới dự kiến.</x:v>
      </x:c>
    </x:row>
    <x:row r="8">
      <x:c r="A8" t="str">
        <x:v>IP2025-07-A</x:v>
      </x:c>
      <x:c r="B8" t="str">
        <x:v>P2025-07</x:v>
      </x:c>
      <x:c r="C8" t="str">
        <x:v>O2025-07-03</x:v>
      </x:c>
      <x:c r="D8" t="str">
        <x:v>Quy trình bào chế viên ngậm hỗ trợ giảm ho từ Gừng và Húng chanh</x:v>
      </x:c>
      <x:c r="E8" t="str">
        <x:v>Công nghệ</x:v>
      </x:c>
      <x:c r="F8" t="str">
        <x:v>Giải pháp hữu ích tiềm năng</x:v>
      </x:c>
      <x:c r="G8" t="str">
        <x:v>Có</x:v>
      </x:c>
      <x:c r="H8" t="str">
        <x:v>Có theo quy chế/hợp đồng - cần hồ sơ cụ thể</x:v>
      </x:c>
      <x:c r="I8" t="str">
        <x:v>Có khả năng</x:v>
      </x:c>
      <x:c r="J8" t="str">
        <x:v>Có khả năng</x:v>
      </x:c>
      <x:c r="K8" t="str">
        <x:v>Chưa xác minh</x:v>
      </x:c>
      <x:c r="L8" t="str">
        <x:v>Có dấu hiệu</x:v>
      </x:c>
      <x:c r="M8" t="str">
        <x:v>Có dấu hiệu</x:v>
      </x:c>
      <x:c r="N8"/>
      <x:c r="O8"/>
      <x:c r="P8" t="str">
        <x:v>Cần kiểm tra bài báo/timing</x:v>
      </x:c>
      <x:c r="Q8" t="str">
        <x:v>Dự kiến đăng ký</x:v>
      </x:c>
      <x:c r="R8" t="str">
        <x:v>Cao</x:v>
      </x:c>
      <x:c r="S8" t="str">
        <x:v>Hồ sơ ghi 'quy trình mới, dự kiến đăng ký bằng độc quyền GPHI'</x:v>
      </x:c>
      <x:c r="T8" t="str">
        <x:v>Cần xác minh đã nộp đơn hay mới dự kiến.</x:v>
      </x:c>
    </x:row>
  </x:sheetData>
  <x:conditionalFormatting sqref="R2:R1000">
    <x:cfRule type="expression" dxfId="0" priority="1">
      <x:formula>R2="Cao"</x:formula>
    </x:cfRule>
  </x:conditionalFormatting>
  <x:dataValidations count="1">
    <x:dataValidation type="list" sqref="N2:O1000">
      <x:formula1>"0,1,2,3"</x:formula1>
    </x:dataValidation>
  </x:dataValidations>
  <x:pageMargins left="0.7" right="0.7" top="0.75" bottom="0.75" header="0.3" footer="0.3"/>
  <x:tableParts count="1">
    <x:tablePart xmlns:r="http://schemas.openxmlformats.org/officeDocument/2006/relationships" r:id="R09923032442c4c93"/>
  </x:tableParts>
</x:worksheet>
</file>

<file path=xl/worksheets/sheet5.xml><?xml version="1.0" encoding="utf-8"?>
<x:worksheet xmlns:x="http://schemas.openxmlformats.org/spreadsheetml/2006/main">
  <x:sheetFormatPr defaultRowHeight="15"/>
  <x:cols>
    <x:col min="1" max="1" width="18" hidden="0" customWidth="1"/>
    <x:col min="2" max="2" width="16" hidden="0" customWidth="1"/>
    <x:col min="3" max="3" width="30" hidden="0" customWidth="1"/>
    <x:col min="4" max="4" width="15" hidden="0" customWidth="1"/>
    <x:col min="5" max="5" width="15" hidden="0" customWidth="1"/>
    <x:col min="6" max="6" width="15" hidden="0" customWidth="1"/>
    <x:col min="7" max="7" width="15" hidden="0" customWidth="1"/>
    <x:col min="8" max="8" width="18" hidden="0" customWidth="1"/>
    <x:col min="9" max="9" width="22" hidden="0" customWidth="1"/>
    <x:col min="10" max="10" width="28" hidden="0" customWidth="1"/>
    <x:col min="11" max="11" width="20" hidden="0" customWidth="1"/>
    <x:col min="12" max="12" width="15" hidden="0" customWidth="1"/>
    <x:col min="13" max="13" width="20" hidden="0" customWidth="1"/>
    <x:col min="14" max="14" width="18" hidden="0" customWidth="1"/>
    <x:col min="15" max="15" width="16" hidden="0" customWidth="1"/>
    <x:col min="16" max="16" width="46" hidden="0" customWidth="1"/>
    <x:col min="17" max="17" width="48" hidden="0" customWidth="1"/>
  </x:cols>
  <x:sheetData>
    <x:row r="1">
      <x:c r="A1" s="14" t="str">
        <x:v>Protection_ID</x:v>
      </x:c>
      <x:c r="B1" s="14" t="str">
        <x:v>IP_ID</x:v>
      </x:c>
      <x:c r="C1" s="14" t="str">
        <x:v>Loại quyền/hồ sơ</x:v>
      </x:c>
      <x:c r="D1" s="14" t="str">
        <x:v>Ngày phát sinh kết quả</x:v>
      </x:c>
      <x:c r="E1" s="14" t="str">
        <x:v>Ngày khai báo IP</x:v>
      </x:c>
      <x:c r="F1" s="14" t="str">
        <x:v>Ngày sàng lọc</x:v>
      </x:c>
      <x:c r="G1" s="14" t="str">
        <x:v>Ngày nộp đơn</x:v>
      </x:c>
      <x:c r="H1" s="14" t="str">
        <x:v>Số đơn</x:v>
      </x:c>
      <x:c r="I1" s="14" t="str">
        <x:v>Cơ quan nhận đơn</x:v>
      </x:c>
      <x:c r="J1" s="14" t="str">
        <x:v>Chủ đơn</x:v>
      </x:c>
      <x:c r="K1" s="14" t="str">
        <x:v>Tình trạng</x:v>
      </x:c>
      <x:c r="L1" s="14" t="str">
        <x:v>Ngày cấp</x:v>
      </x:c>
      <x:c r="M1" s="14" t="str">
        <x:v>Số văn bằng</x:v>
      </x:c>
      <x:c r="N1" s="14" t="str">
        <x:v>Chi phí bảo hộ_VND</x:v>
      </x:c>
      <x:c r="O1" s="14" t="str">
        <x:v>Time_to_IP_days</x:v>
      </x:c>
      <x:c r="P1" s="14" t="str">
        <x:v>Nguồn bằng chứng</x:v>
      </x:c>
      <x:c r="Q1" s="14" t="str">
        <x:v>Ghi chú</x:v>
      </x:c>
    </x:row>
    <x:row r="2">
      <x:c r="A2" t="str">
        <x:v>PR2025-06-A</x:v>
      </x:c>
      <x:c r="B2" t="str">
        <x:v>IP2025-06-A</x:v>
      </x:c>
      <x:c r="C2" t="str">
        <x:v>Giải pháp hữu ích (dự kiến)</x:v>
      </x:c>
      <x:c r="D2" s="22"/>
      <x:c r="E2" s="22"/>
      <x:c r="F2" s="22"/>
      <x:c r="G2" s="22"/>
      <x:c r="H2" t="str"/>
      <x:c r="I2" t="str"/>
      <x:c r="J2" t="str">
        <x:v>Trường/đồng sở hữu - chưa xác minh</x:v>
      </x:c>
      <x:c r="K2" t="str">
        <x:v>Dự kiến đăng ký</x:v>
      </x:c>
      <x:c r="L2" s="22"/>
      <x:c r="M2" t="str"/>
      <x:c r="N2" s="24"/>
      <x:c r="O2" t="str">
        <x:f>IF(OR(D2="",G2=""),"",G2-D2)</x:f>
      </x:c>
      <x:c r="P2" t="str">
        <x:v>Tổng hợp đề tài KHCN cấp cơ sở của GV 2021-2025.pdf</x:v>
      </x:c>
      <x:c r="Q2" t="str">
        <x:v>Chưa có bằng chứng trong bộ hồ sơ hiện trích xuất về việc đã nộp đơn.</x:v>
      </x:c>
    </x:row>
    <x:row r="3">
      <x:c r="A3" t="str">
        <x:v>PR2025-07-A</x:v>
      </x:c>
      <x:c r="B3" t="str">
        <x:v>IP2025-07-A</x:v>
      </x:c>
      <x:c r="C3" t="str">
        <x:v>Giải pháp hữu ích (dự kiến)</x:v>
      </x:c>
      <x:c r="D3" s="22"/>
      <x:c r="E3" s="22"/>
      <x:c r="F3" s="22"/>
      <x:c r="G3" s="22"/>
      <x:c r="H3" t="str"/>
      <x:c r="I3" t="str"/>
      <x:c r="J3" t="str">
        <x:v>Trường/đồng sở hữu - chưa xác minh</x:v>
      </x:c>
      <x:c r="K3" t="str">
        <x:v>Dự kiến đăng ký</x:v>
      </x:c>
      <x:c r="L3" s="22"/>
      <x:c r="M3" t="str"/>
      <x:c r="N3" s="24"/>
      <x:c r="O3" t="str">
        <x:f>IF(OR(D3="",G3=""),"",G3-D3)</x:f>
      </x:c>
      <x:c r="P3" t="str">
        <x:v>Tổng hợp đề tài KHCN cấp cơ sở của GV 2021-2025.pdf</x:v>
      </x:c>
      <x:c r="Q3" t="str">
        <x:v>Chưa có bằng chứng trong bộ hồ sơ hiện trích xuất về việc đã nộp đơn.</x:v>
      </x:c>
    </x:row>
    <x:row r="4">
      <x:c r="D4" s="22"/>
      <x:c r="E4" s="22"/>
      <x:c r="F4" s="22"/>
      <x:c r="G4" s="22"/>
      <x:c r="L4" s="22"/>
      <x:c r="N4" s="24"/>
      <x:c r="O4" t="str">
        <x:f>IF(OR(D4="",G4=""),"",G4-D4)</x:f>
      </x:c>
    </x:row>
    <x:row r="5">
      <x:c r="D5" s="22"/>
      <x:c r="E5" s="22"/>
      <x:c r="F5" s="22"/>
      <x:c r="G5" s="22"/>
      <x:c r="L5" s="22"/>
      <x:c r="N5" s="24"/>
      <x:c r="O5" t="str">
        <x:f>IF(OR(D5="",G5=""),"",G5-D5)</x:f>
      </x:c>
    </x:row>
    <x:row r="6">
      <x:c r="D6" s="22"/>
      <x:c r="E6" s="22"/>
      <x:c r="F6" s="22"/>
      <x:c r="G6" s="22"/>
      <x:c r="L6" s="22"/>
      <x:c r="N6" s="24"/>
      <x:c r="O6" t="str">
        <x:f>IF(OR(D6="",G6=""),"",G6-D6)</x:f>
      </x:c>
    </x:row>
    <x:row r="7">
      <x:c r="D7" s="22"/>
      <x:c r="E7" s="22"/>
      <x:c r="F7" s="22"/>
      <x:c r="G7" s="22"/>
      <x:c r="L7" s="22"/>
      <x:c r="N7" s="24"/>
      <x:c r="O7" t="str">
        <x:f>IF(OR(D7="",G7=""),"",G7-D7)</x:f>
      </x:c>
    </x:row>
    <x:row r="8">
      <x:c r="D8" s="22"/>
      <x:c r="E8" s="22"/>
      <x:c r="F8" s="22"/>
      <x:c r="G8" s="22"/>
      <x:c r="L8" s="22"/>
      <x:c r="N8" s="24"/>
      <x:c r="O8" t="str">
        <x:f>IF(OR(D8="",G8=""),"",G8-D8)</x:f>
      </x:c>
    </x:row>
    <x:row r="9">
      <x:c r="D9" s="22"/>
      <x:c r="E9" s="22"/>
      <x:c r="F9" s="22"/>
      <x:c r="G9" s="22"/>
      <x:c r="L9" s="22"/>
      <x:c r="N9" s="24"/>
      <x:c r="O9" t="str">
        <x:f>IF(OR(D9="",G9=""),"",G9-D9)</x:f>
      </x:c>
    </x:row>
    <x:row r="10">
      <x:c r="D10" s="22"/>
      <x:c r="E10" s="22"/>
      <x:c r="F10" s="22"/>
      <x:c r="G10" s="22"/>
      <x:c r="L10" s="22"/>
      <x:c r="N10" s="24"/>
      <x:c r="O10" t="str">
        <x:f>IF(OR(D10="",G10=""),"",G10-D10)</x:f>
      </x:c>
    </x:row>
    <x:row r="11">
      <x:c r="D11" s="22"/>
      <x:c r="E11" s="22"/>
      <x:c r="F11" s="22"/>
      <x:c r="G11" s="22"/>
      <x:c r="L11" s="22"/>
      <x:c r="N11" s="24"/>
      <x:c r="O11" t="str">
        <x:f>IF(OR(D11="",G11=""),"",G11-D11)</x:f>
      </x:c>
    </x:row>
    <x:row r="12">
      <x:c r="D12" s="22"/>
      <x:c r="E12" s="22"/>
      <x:c r="F12" s="22"/>
      <x:c r="G12" s="22"/>
      <x:c r="L12" s="22"/>
      <x:c r="N12" s="24"/>
      <x:c r="O12" t="str">
        <x:f>IF(OR(D12="",G12=""),"",G12-D12)</x:f>
      </x:c>
    </x:row>
    <x:row r="13">
      <x:c r="D13" s="22"/>
      <x:c r="E13" s="22"/>
      <x:c r="F13" s="22"/>
      <x:c r="G13" s="22"/>
      <x:c r="L13" s="22"/>
      <x:c r="N13" s="24"/>
      <x:c r="O13" t="str">
        <x:f>IF(OR(D13="",G13=""),"",G13-D13)</x:f>
      </x:c>
    </x:row>
    <x:row r="14">
      <x:c r="D14" s="22"/>
      <x:c r="E14" s="22"/>
      <x:c r="F14" s="22"/>
      <x:c r="G14" s="22"/>
      <x:c r="L14" s="22"/>
      <x:c r="N14" s="24"/>
      <x:c r="O14" t="str">
        <x:f>IF(OR(D14="",G14=""),"",G14-D14)</x:f>
      </x:c>
    </x:row>
    <x:row r="15">
      <x:c r="D15" s="22"/>
      <x:c r="E15" s="22"/>
      <x:c r="F15" s="22"/>
      <x:c r="G15" s="22"/>
      <x:c r="L15" s="22"/>
      <x:c r="N15" s="24"/>
      <x:c r="O15" t="str">
        <x:f>IF(OR(D15="",G15=""),"",G15-D15)</x:f>
      </x:c>
    </x:row>
    <x:row r="16">
      <x:c r="D16" s="22"/>
      <x:c r="E16" s="22"/>
      <x:c r="F16" s="22"/>
      <x:c r="G16" s="22"/>
      <x:c r="L16" s="22"/>
      <x:c r="N16" s="24"/>
      <x:c r="O16" t="str">
        <x:f>IF(OR(D16="",G16=""),"",G16-D16)</x:f>
      </x:c>
    </x:row>
    <x:row r="17">
      <x:c r="D17" s="22"/>
      <x:c r="E17" s="22"/>
      <x:c r="F17" s="22"/>
      <x:c r="G17" s="22"/>
      <x:c r="L17" s="22"/>
      <x:c r="N17" s="24"/>
      <x:c r="O17" t="str">
        <x:f>IF(OR(D17="",G17=""),"",G17-D17)</x:f>
      </x:c>
    </x:row>
    <x:row r="18">
      <x:c r="D18" s="22"/>
      <x:c r="E18" s="22"/>
      <x:c r="F18" s="22"/>
      <x:c r="G18" s="22"/>
      <x:c r="L18" s="22"/>
      <x:c r="N18" s="24"/>
      <x:c r="O18" t="str">
        <x:f>IF(OR(D18="",G18=""),"",G18-D18)</x:f>
      </x:c>
    </x:row>
    <x:row r="19">
      <x:c r="D19" s="22"/>
      <x:c r="E19" s="22"/>
      <x:c r="F19" s="22"/>
      <x:c r="G19" s="22"/>
      <x:c r="L19" s="22"/>
      <x:c r="N19" s="24"/>
      <x:c r="O19" t="str">
        <x:f>IF(OR(D19="",G19=""),"",G19-D19)</x:f>
      </x:c>
    </x:row>
    <x:row r="20">
      <x:c r="D20" s="22"/>
      <x:c r="E20" s="22"/>
      <x:c r="F20" s="22"/>
      <x:c r="G20" s="22"/>
      <x:c r="L20" s="22"/>
      <x:c r="N20" s="24"/>
      <x:c r="O20" t="str">
        <x:f>IF(OR(D20="",G20=""),"",G20-D20)</x:f>
      </x:c>
    </x:row>
    <x:row r="21">
      <x:c r="D21" s="22"/>
      <x:c r="E21" s="22"/>
      <x:c r="F21" s="22"/>
      <x:c r="G21" s="22"/>
      <x:c r="L21" s="22"/>
      <x:c r="N21" s="24"/>
      <x:c r="O21" t="str">
        <x:f>IF(OR(D21="",G21=""),"",G21-D21)</x:f>
      </x:c>
    </x:row>
    <x:row r="22">
      <x:c r="D22" s="22"/>
      <x:c r="E22" s="22"/>
      <x:c r="F22" s="22"/>
      <x:c r="G22" s="22"/>
      <x:c r="L22" s="22"/>
      <x:c r="N22" s="24"/>
      <x:c r="O22" t="str">
        <x:f>IF(OR(D22="",G22=""),"",G22-D22)</x:f>
      </x:c>
    </x:row>
    <x:row r="23">
      <x:c r="D23" s="22"/>
      <x:c r="E23" s="22"/>
      <x:c r="F23" s="22"/>
      <x:c r="G23" s="22"/>
      <x:c r="L23" s="22"/>
      <x:c r="N23" s="24"/>
      <x:c r="O23" t="str">
        <x:f>IF(OR(D23="",G23=""),"",G23-D23)</x:f>
      </x:c>
    </x:row>
    <x:row r="24">
      <x:c r="D24" s="22"/>
      <x:c r="E24" s="22"/>
      <x:c r="F24" s="22"/>
      <x:c r="G24" s="22"/>
      <x:c r="L24" s="22"/>
      <x:c r="N24" s="24"/>
      <x:c r="O24" t="str">
        <x:f>IF(OR(D24="",G24=""),"",G24-D24)</x:f>
      </x:c>
    </x:row>
    <x:row r="25">
      <x:c r="D25" s="22"/>
      <x:c r="E25" s="22"/>
      <x:c r="F25" s="22"/>
      <x:c r="G25" s="22"/>
      <x:c r="L25" s="22"/>
      <x:c r="N25" s="24"/>
      <x:c r="O25" t="str">
        <x:f>IF(OR(D25="",G25=""),"",G25-D25)</x:f>
      </x:c>
    </x:row>
    <x:row r="26">
      <x:c r="D26" s="22"/>
      <x:c r="E26" s="22"/>
      <x:c r="F26" s="22"/>
      <x:c r="G26" s="22"/>
      <x:c r="L26" s="22"/>
      <x:c r="N26" s="24"/>
      <x:c r="O26" t="str">
        <x:f>IF(OR(D26="",G26=""),"",G26-D26)</x:f>
      </x:c>
    </x:row>
    <x:row r="27">
      <x:c r="D27" s="22"/>
      <x:c r="E27" s="22"/>
      <x:c r="F27" s="22"/>
      <x:c r="G27" s="22"/>
      <x:c r="L27" s="22"/>
      <x:c r="N27" s="24"/>
      <x:c r="O27" t="str">
        <x:f>IF(OR(D27="",G27=""),"",G27-D27)</x:f>
      </x:c>
    </x:row>
    <x:row r="28">
      <x:c r="D28" s="22"/>
      <x:c r="E28" s="22"/>
      <x:c r="F28" s="22"/>
      <x:c r="G28" s="22"/>
      <x:c r="L28" s="22"/>
      <x:c r="N28" s="24"/>
      <x:c r="O28" t="str">
        <x:f>IF(OR(D28="",G28=""),"",G28-D28)</x:f>
      </x:c>
    </x:row>
    <x:row r="29">
      <x:c r="D29" s="22"/>
      <x:c r="E29" s="22"/>
      <x:c r="F29" s="22"/>
      <x:c r="G29" s="22"/>
      <x:c r="L29" s="22"/>
      <x:c r="N29" s="24"/>
      <x:c r="O29" t="str">
        <x:f>IF(OR(D29="",G29=""),"",G29-D29)</x:f>
      </x:c>
    </x:row>
    <x:row r="30">
      <x:c r="D30" s="22"/>
      <x:c r="E30" s="22"/>
      <x:c r="F30" s="22"/>
      <x:c r="G30" s="22"/>
      <x:c r="L30" s="22"/>
      <x:c r="N30" s="24"/>
      <x:c r="O30" t="str">
        <x:f>IF(OR(D30="",G30=""),"",G30-D30)</x:f>
      </x:c>
    </x:row>
    <x:row r="31">
      <x:c r="D31" s="22"/>
      <x:c r="E31" s="22"/>
      <x:c r="F31" s="22"/>
      <x:c r="G31" s="22"/>
      <x:c r="L31" s="22"/>
      <x:c r="N31" s="24"/>
      <x:c r="O31" t="str">
        <x:f>IF(OR(D31="",G31=""),"",G31-D31)</x:f>
      </x:c>
    </x:row>
    <x:row r="32">
      <x:c r="D32" s="22"/>
      <x:c r="E32" s="22"/>
      <x:c r="F32" s="22"/>
      <x:c r="G32" s="22"/>
      <x:c r="L32" s="22"/>
      <x:c r="N32" s="24"/>
      <x:c r="O32" t="str">
        <x:f>IF(OR(D32="",G32=""),"",G32-D32)</x:f>
      </x:c>
    </x:row>
    <x:row r="33">
      <x:c r="D33" s="22"/>
      <x:c r="E33" s="22"/>
      <x:c r="F33" s="22"/>
      <x:c r="G33" s="22"/>
      <x:c r="L33" s="22"/>
      <x:c r="N33" s="24"/>
      <x:c r="O33" t="str">
        <x:f>IF(OR(D33="",G33=""),"",G33-D33)</x:f>
      </x:c>
    </x:row>
    <x:row r="34">
      <x:c r="D34" s="22"/>
      <x:c r="E34" s="22"/>
      <x:c r="F34" s="22"/>
      <x:c r="G34" s="22"/>
      <x:c r="L34" s="22"/>
      <x:c r="N34" s="24"/>
      <x:c r="O34" t="str">
        <x:f>IF(OR(D34="",G34=""),"",G34-D34)</x:f>
      </x:c>
    </x:row>
    <x:row r="35">
      <x:c r="D35" s="22"/>
      <x:c r="E35" s="22"/>
      <x:c r="F35" s="22"/>
      <x:c r="G35" s="22"/>
      <x:c r="L35" s="22"/>
      <x:c r="N35" s="24"/>
      <x:c r="O35" t="str">
        <x:f>IF(OR(D35="",G35=""),"",G35-D35)</x:f>
      </x:c>
    </x:row>
    <x:row r="36">
      <x:c r="D36" s="22"/>
      <x:c r="E36" s="22"/>
      <x:c r="F36" s="22"/>
      <x:c r="G36" s="22"/>
      <x:c r="L36" s="22"/>
      <x:c r="N36" s="24"/>
      <x:c r="O36" t="str">
        <x:f>IF(OR(D36="",G36=""),"",G36-D36)</x:f>
      </x:c>
    </x:row>
    <x:row r="37">
      <x:c r="D37" s="22"/>
      <x:c r="E37" s="22"/>
      <x:c r="F37" s="22"/>
      <x:c r="G37" s="22"/>
      <x:c r="L37" s="22"/>
      <x:c r="N37" s="24"/>
      <x:c r="O37" t="str">
        <x:f>IF(OR(D37="",G37=""),"",G37-D37)</x:f>
      </x:c>
    </x:row>
    <x:row r="38">
      <x:c r="D38" s="22"/>
      <x:c r="E38" s="22"/>
      <x:c r="F38" s="22"/>
      <x:c r="G38" s="22"/>
      <x:c r="L38" s="22"/>
      <x:c r="N38" s="24"/>
      <x:c r="O38" t="str">
        <x:f>IF(OR(D38="",G38=""),"",G38-D38)</x:f>
      </x:c>
    </x:row>
    <x:row r="39">
      <x:c r="D39" s="22"/>
      <x:c r="E39" s="22"/>
      <x:c r="F39" s="22"/>
      <x:c r="G39" s="22"/>
      <x:c r="L39" s="22"/>
      <x:c r="N39" s="24"/>
      <x:c r="O39" t="str">
        <x:f>IF(OR(D39="",G39=""),"",G39-D39)</x:f>
      </x:c>
    </x:row>
    <x:row r="40">
      <x:c r="D40" s="22"/>
      <x:c r="E40" s="22"/>
      <x:c r="F40" s="22"/>
      <x:c r="G40" s="22"/>
      <x:c r="L40" s="22"/>
      <x:c r="N40" s="24"/>
      <x:c r="O40" t="str">
        <x:f>IF(OR(D40="",G40=""),"",G40-D40)</x:f>
      </x:c>
    </x:row>
    <x:row r="41">
      <x:c r="D41" s="22"/>
      <x:c r="E41" s="22"/>
      <x:c r="F41" s="22"/>
      <x:c r="G41" s="22"/>
      <x:c r="L41" s="22"/>
      <x:c r="N41" s="24"/>
      <x:c r="O41" t="str">
        <x:f>IF(OR(D41="",G41=""),"",G41-D41)</x:f>
      </x:c>
    </x:row>
    <x:row r="42">
      <x:c r="D42" s="22"/>
      <x:c r="E42" s="22"/>
      <x:c r="F42" s="22"/>
      <x:c r="G42" s="22"/>
      <x:c r="L42" s="22"/>
      <x:c r="N42" s="24"/>
      <x:c r="O42" t="str">
        <x:f>IF(OR(D42="",G42=""),"",G42-D42)</x:f>
      </x:c>
    </x:row>
    <x:row r="43">
      <x:c r="D43" s="22"/>
      <x:c r="E43" s="22"/>
      <x:c r="F43" s="22"/>
      <x:c r="G43" s="22"/>
      <x:c r="L43" s="22"/>
      <x:c r="N43" s="24"/>
      <x:c r="O43" t="str">
        <x:f>IF(OR(D43="",G43=""),"",G43-D43)</x:f>
      </x:c>
    </x:row>
    <x:row r="44">
      <x:c r="D44" s="22"/>
      <x:c r="E44" s="22"/>
      <x:c r="F44" s="22"/>
      <x:c r="G44" s="22"/>
      <x:c r="L44" s="22"/>
      <x:c r="N44" s="24"/>
      <x:c r="O44" t="str">
        <x:f>IF(OR(D44="",G44=""),"",G44-D44)</x:f>
      </x:c>
    </x:row>
    <x:row r="45">
      <x:c r="D45" s="22"/>
      <x:c r="E45" s="22"/>
      <x:c r="F45" s="22"/>
      <x:c r="G45" s="22"/>
      <x:c r="L45" s="22"/>
      <x:c r="N45" s="24"/>
      <x:c r="O45" t="str">
        <x:f>IF(OR(D45="",G45=""),"",G45-D45)</x:f>
      </x:c>
    </x:row>
    <x:row r="46">
      <x:c r="D46" s="22"/>
      <x:c r="E46" s="22"/>
      <x:c r="F46" s="22"/>
      <x:c r="G46" s="22"/>
      <x:c r="L46" s="22"/>
      <x:c r="N46" s="24"/>
      <x:c r="O46" t="str">
        <x:f>IF(OR(D46="",G46=""),"",G46-D46)</x:f>
      </x:c>
    </x:row>
    <x:row r="47">
      <x:c r="D47" s="22"/>
      <x:c r="E47" s="22"/>
      <x:c r="F47" s="22"/>
      <x:c r="G47" s="22"/>
      <x:c r="L47" s="22"/>
      <x:c r="N47" s="24"/>
      <x:c r="O47" t="str">
        <x:f>IF(OR(D47="",G47=""),"",G47-D47)</x:f>
      </x:c>
    </x:row>
    <x:row r="48">
      <x:c r="D48" s="22"/>
      <x:c r="E48" s="22"/>
      <x:c r="F48" s="22"/>
      <x:c r="G48" s="22"/>
      <x:c r="L48" s="22"/>
      <x:c r="N48" s="24"/>
      <x:c r="O48" t="str">
        <x:f>IF(OR(D48="",G48=""),"",G48-D48)</x:f>
      </x:c>
    </x:row>
    <x:row r="49">
      <x:c r="D49" s="22"/>
      <x:c r="E49" s="22"/>
      <x:c r="F49" s="22"/>
      <x:c r="G49" s="22"/>
      <x:c r="L49" s="22"/>
      <x:c r="N49" s="24"/>
      <x:c r="O49" t="str">
        <x:f>IF(OR(D49="",G49=""),"",G49-D49)</x:f>
      </x:c>
    </x:row>
    <x:row r="50">
      <x:c r="D50" s="22"/>
      <x:c r="E50" s="22"/>
      <x:c r="F50" s="22"/>
      <x:c r="G50" s="22"/>
      <x:c r="L50" s="22"/>
      <x:c r="N50" s="24"/>
      <x:c r="O50" t="str">
        <x:f>IF(OR(D50="",G50=""),"",G50-D50)</x:f>
      </x:c>
    </x:row>
    <x:row r="51">
      <x:c r="D51" s="22"/>
      <x:c r="E51" s="22"/>
      <x:c r="F51" s="22"/>
      <x:c r="G51" s="22"/>
      <x:c r="L51" s="22"/>
      <x:c r="N51" s="24"/>
      <x:c r="O51" t="str">
        <x:f>IF(OR(D51="",G51=""),"",G51-D51)</x:f>
      </x:c>
    </x:row>
    <x:row r="52">
      <x:c r="D52" s="22"/>
      <x:c r="E52" s="22"/>
      <x:c r="F52" s="22"/>
      <x:c r="G52" s="22"/>
      <x:c r="L52" s="22"/>
      <x:c r="N52" s="24"/>
      <x:c r="O52" t="str">
        <x:f>IF(OR(D52="",G52=""),"",G52-D52)</x:f>
      </x:c>
    </x:row>
    <x:row r="53">
      <x:c r="D53" s="22"/>
      <x:c r="E53" s="22"/>
      <x:c r="F53" s="22"/>
      <x:c r="G53" s="22"/>
      <x:c r="L53" s="22"/>
      <x:c r="N53" s="24"/>
      <x:c r="O53" t="str">
        <x:f>IF(OR(D53="",G53=""),"",G53-D53)</x:f>
      </x:c>
    </x:row>
    <x:row r="54">
      <x:c r="D54" s="22"/>
      <x:c r="E54" s="22"/>
      <x:c r="F54" s="22"/>
      <x:c r="G54" s="22"/>
      <x:c r="L54" s="22"/>
      <x:c r="N54" s="24"/>
      <x:c r="O54" t="str">
        <x:f>IF(OR(D54="",G54=""),"",G54-D54)</x:f>
      </x:c>
    </x:row>
    <x:row r="55">
      <x:c r="D55" s="22"/>
      <x:c r="E55" s="22"/>
      <x:c r="F55" s="22"/>
      <x:c r="G55" s="22"/>
      <x:c r="L55" s="22"/>
      <x:c r="N55" s="24"/>
      <x:c r="O55" t="str">
        <x:f>IF(OR(D55="",G55=""),"",G55-D55)</x:f>
      </x:c>
    </x:row>
    <x:row r="56">
      <x:c r="D56" s="22"/>
      <x:c r="E56" s="22"/>
      <x:c r="F56" s="22"/>
      <x:c r="G56" s="22"/>
      <x:c r="L56" s="22"/>
      <x:c r="N56" s="24"/>
      <x:c r="O56" t="str">
        <x:f>IF(OR(D56="",G56=""),"",G56-D56)</x:f>
      </x:c>
    </x:row>
    <x:row r="57">
      <x:c r="D57" s="22"/>
      <x:c r="E57" s="22"/>
      <x:c r="F57" s="22"/>
      <x:c r="G57" s="22"/>
      <x:c r="L57" s="22"/>
      <x:c r="N57" s="24"/>
      <x:c r="O57" t="str">
        <x:f>IF(OR(D57="",G57=""),"",G57-D57)</x:f>
      </x:c>
    </x:row>
    <x:row r="58">
      <x:c r="D58" s="22"/>
      <x:c r="E58" s="22"/>
      <x:c r="F58" s="22"/>
      <x:c r="G58" s="22"/>
      <x:c r="L58" s="22"/>
      <x:c r="N58" s="24"/>
      <x:c r="O58" t="str">
        <x:f>IF(OR(D58="",G58=""),"",G58-D58)</x:f>
      </x:c>
    </x:row>
    <x:row r="59">
      <x:c r="D59" s="22"/>
      <x:c r="E59" s="22"/>
      <x:c r="F59" s="22"/>
      <x:c r="G59" s="22"/>
      <x:c r="L59" s="22"/>
      <x:c r="N59" s="24"/>
      <x:c r="O59" t="str">
        <x:f>IF(OR(D59="",G59=""),"",G59-D59)</x:f>
      </x:c>
    </x:row>
    <x:row r="60">
      <x:c r="D60" s="22"/>
      <x:c r="E60" s="22"/>
      <x:c r="F60" s="22"/>
      <x:c r="G60" s="22"/>
      <x:c r="L60" s="22"/>
      <x:c r="N60" s="24"/>
      <x:c r="O60" t="str">
        <x:f>IF(OR(D60="",G60=""),"",G60-D60)</x:f>
      </x:c>
    </x:row>
    <x:row r="61">
      <x:c r="D61" s="22"/>
      <x:c r="E61" s="22"/>
      <x:c r="F61" s="22"/>
      <x:c r="G61" s="22"/>
      <x:c r="L61" s="22"/>
      <x:c r="N61" s="24"/>
      <x:c r="O61" t="str">
        <x:f>IF(OR(D61="",G61=""),"",G61-D61)</x:f>
      </x:c>
    </x:row>
    <x:row r="62">
      <x:c r="D62" s="22"/>
      <x:c r="E62" s="22"/>
      <x:c r="F62" s="22"/>
      <x:c r="G62" s="22"/>
      <x:c r="L62" s="22"/>
      <x:c r="N62" s="24"/>
      <x:c r="O62" t="str">
        <x:f>IF(OR(D62="",G62=""),"",G62-D62)</x:f>
      </x:c>
    </x:row>
    <x:row r="63">
      <x:c r="D63" s="22"/>
      <x:c r="E63" s="22"/>
      <x:c r="F63" s="22"/>
      <x:c r="G63" s="22"/>
      <x:c r="L63" s="22"/>
      <x:c r="N63" s="24"/>
      <x:c r="O63" t="str">
        <x:f>IF(OR(D63="",G63=""),"",G63-D63)</x:f>
      </x:c>
    </x:row>
    <x:row r="64">
      <x:c r="D64" s="22"/>
      <x:c r="E64" s="22"/>
      <x:c r="F64" s="22"/>
      <x:c r="G64" s="22"/>
      <x:c r="L64" s="22"/>
      <x:c r="N64" s="24"/>
      <x:c r="O64" t="str">
        <x:f>IF(OR(D64="",G64=""),"",G64-D64)</x:f>
      </x:c>
    </x:row>
    <x:row r="65">
      <x:c r="D65" s="22"/>
      <x:c r="E65" s="22"/>
      <x:c r="F65" s="22"/>
      <x:c r="G65" s="22"/>
      <x:c r="L65" s="22"/>
      <x:c r="N65" s="24"/>
      <x:c r="O65" t="str">
        <x:f>IF(OR(D65="",G65=""),"",G65-D65)</x:f>
      </x:c>
    </x:row>
    <x:row r="66">
      <x:c r="D66" s="22"/>
      <x:c r="E66" s="22"/>
      <x:c r="F66" s="22"/>
      <x:c r="G66" s="22"/>
      <x:c r="L66" s="22"/>
      <x:c r="N66" s="24"/>
      <x:c r="O66" t="str">
        <x:f>IF(OR(D66="",G66=""),"",G66-D66)</x:f>
      </x:c>
    </x:row>
    <x:row r="67">
      <x:c r="D67" s="22"/>
      <x:c r="E67" s="22"/>
      <x:c r="F67" s="22"/>
      <x:c r="G67" s="22"/>
      <x:c r="L67" s="22"/>
      <x:c r="N67" s="24"/>
      <x:c r="O67" t="str">
        <x:f>IF(OR(D67="",G67=""),"",G67-D67)</x:f>
      </x:c>
    </x:row>
    <x:row r="68">
      <x:c r="D68" s="22"/>
      <x:c r="E68" s="22"/>
      <x:c r="F68" s="22"/>
      <x:c r="G68" s="22"/>
      <x:c r="L68" s="22"/>
      <x:c r="N68" s="24"/>
      <x:c r="O68" t="str">
        <x:f>IF(OR(D68="",G68=""),"",G68-D68)</x:f>
      </x:c>
    </x:row>
    <x:row r="69">
      <x:c r="D69" s="22"/>
      <x:c r="E69" s="22"/>
      <x:c r="F69" s="22"/>
      <x:c r="G69" s="22"/>
      <x:c r="L69" s="22"/>
      <x:c r="N69" s="24"/>
      <x:c r="O69" t="str">
        <x:f>IF(OR(D69="",G69=""),"",G69-D69)</x:f>
      </x:c>
    </x:row>
    <x:row r="70">
      <x:c r="D70" s="22"/>
      <x:c r="E70" s="22"/>
      <x:c r="F70" s="22"/>
      <x:c r="G70" s="22"/>
      <x:c r="L70" s="22"/>
      <x:c r="N70" s="24"/>
      <x:c r="O70" t="str">
        <x:f>IF(OR(D70="",G70=""),"",G70-D70)</x:f>
      </x:c>
    </x:row>
    <x:row r="71">
      <x:c r="D71" s="22"/>
      <x:c r="E71" s="22"/>
      <x:c r="F71" s="22"/>
      <x:c r="G71" s="22"/>
      <x:c r="L71" s="22"/>
      <x:c r="N71" s="24"/>
      <x:c r="O71" t="str">
        <x:f>IF(OR(D71="",G71=""),"",G71-D71)</x:f>
      </x:c>
    </x:row>
    <x:row r="72">
      <x:c r="D72" s="22"/>
      <x:c r="E72" s="22"/>
      <x:c r="F72" s="22"/>
      <x:c r="G72" s="22"/>
      <x:c r="L72" s="22"/>
      <x:c r="N72" s="24"/>
      <x:c r="O72" t="str">
        <x:f>IF(OR(D72="",G72=""),"",G72-D72)</x:f>
      </x:c>
    </x:row>
    <x:row r="73">
      <x:c r="D73" s="22"/>
      <x:c r="E73" s="22"/>
      <x:c r="F73" s="22"/>
      <x:c r="G73" s="22"/>
      <x:c r="L73" s="22"/>
      <x:c r="N73" s="24"/>
      <x:c r="O73" t="str">
        <x:f>IF(OR(D73="",G73=""),"",G73-D73)</x:f>
      </x:c>
    </x:row>
    <x:row r="74">
      <x:c r="D74" s="22"/>
      <x:c r="E74" s="22"/>
      <x:c r="F74" s="22"/>
      <x:c r="G74" s="22"/>
      <x:c r="L74" s="22"/>
      <x:c r="N74" s="24"/>
      <x:c r="O74" t="str">
        <x:f>IF(OR(D74="",G74=""),"",G74-D74)</x:f>
      </x:c>
    </x:row>
    <x:row r="75">
      <x:c r="D75" s="22"/>
      <x:c r="E75" s="22"/>
      <x:c r="F75" s="22"/>
      <x:c r="G75" s="22"/>
      <x:c r="L75" s="22"/>
      <x:c r="N75" s="24"/>
      <x:c r="O75" t="str">
        <x:f>IF(OR(D75="",G75=""),"",G75-D75)</x:f>
      </x:c>
    </x:row>
    <x:row r="76">
      <x:c r="D76" s="22"/>
      <x:c r="E76" s="22"/>
      <x:c r="F76" s="22"/>
      <x:c r="G76" s="22"/>
      <x:c r="L76" s="22"/>
      <x:c r="N76" s="24"/>
      <x:c r="O76" t="str">
        <x:f>IF(OR(D76="",G76=""),"",G76-D76)</x:f>
      </x:c>
    </x:row>
    <x:row r="77">
      <x:c r="D77" s="22"/>
      <x:c r="E77" s="22"/>
      <x:c r="F77" s="22"/>
      <x:c r="G77" s="22"/>
      <x:c r="L77" s="22"/>
      <x:c r="N77" s="24"/>
      <x:c r="O77" t="str">
        <x:f>IF(OR(D77="",G77=""),"",G77-D77)</x:f>
      </x:c>
    </x:row>
    <x:row r="78">
      <x:c r="D78" s="22"/>
      <x:c r="E78" s="22"/>
      <x:c r="F78" s="22"/>
      <x:c r="G78" s="22"/>
      <x:c r="L78" s="22"/>
      <x:c r="N78" s="24"/>
      <x:c r="O78" t="str">
        <x:f>IF(OR(D78="",G78=""),"",G78-D78)</x:f>
      </x:c>
    </x:row>
    <x:row r="79">
      <x:c r="D79" s="22"/>
      <x:c r="E79" s="22"/>
      <x:c r="F79" s="22"/>
      <x:c r="G79" s="22"/>
      <x:c r="L79" s="22"/>
      <x:c r="N79" s="24"/>
      <x:c r="O79" t="str">
        <x:f>IF(OR(D79="",G79=""),"",G79-D79)</x:f>
      </x:c>
    </x:row>
    <x:row r="80">
      <x:c r="D80" s="22"/>
      <x:c r="E80" s="22"/>
      <x:c r="F80" s="22"/>
      <x:c r="G80" s="22"/>
      <x:c r="L80" s="22"/>
      <x:c r="N80" s="24"/>
      <x:c r="O80" t="str">
        <x:f>IF(OR(D80="",G80=""),"",G80-D80)</x:f>
      </x:c>
    </x:row>
    <x:row r="81">
      <x:c r="D81" s="22"/>
      <x:c r="E81" s="22"/>
      <x:c r="F81" s="22"/>
      <x:c r="G81" s="22"/>
      <x:c r="L81" s="22"/>
      <x:c r="N81" s="24"/>
      <x:c r="O81" t="str">
        <x:f>IF(OR(D81="",G81=""),"",G81-D81)</x:f>
      </x:c>
    </x:row>
    <x:row r="82">
      <x:c r="D82" s="22"/>
      <x:c r="E82" s="22"/>
      <x:c r="F82" s="22"/>
      <x:c r="G82" s="22"/>
      <x:c r="L82" s="22"/>
      <x:c r="N82" s="24"/>
      <x:c r="O82" t="str">
        <x:f>IF(OR(D82="",G82=""),"",G82-D82)</x:f>
      </x:c>
    </x:row>
    <x:row r="83">
      <x:c r="D83" s="22"/>
      <x:c r="E83" s="22"/>
      <x:c r="F83" s="22"/>
      <x:c r="G83" s="22"/>
      <x:c r="L83" s="22"/>
      <x:c r="N83" s="24"/>
      <x:c r="O83" t="str">
        <x:f>IF(OR(D83="",G83=""),"",G83-D83)</x:f>
      </x:c>
    </x:row>
    <x:row r="84">
      <x:c r="D84" s="22"/>
      <x:c r="E84" s="22"/>
      <x:c r="F84" s="22"/>
      <x:c r="G84" s="22"/>
      <x:c r="L84" s="22"/>
      <x:c r="N84" s="24"/>
      <x:c r="O84" t="str">
        <x:f>IF(OR(D84="",G84=""),"",G84-D84)</x:f>
      </x:c>
    </x:row>
    <x:row r="85">
      <x:c r="D85" s="22"/>
      <x:c r="E85" s="22"/>
      <x:c r="F85" s="22"/>
      <x:c r="G85" s="22"/>
      <x:c r="L85" s="22"/>
      <x:c r="N85" s="24"/>
      <x:c r="O85" t="str">
        <x:f>IF(OR(D85="",G85=""),"",G85-D85)</x:f>
      </x:c>
    </x:row>
    <x:row r="86">
      <x:c r="D86" s="22"/>
      <x:c r="E86" s="22"/>
      <x:c r="F86" s="22"/>
      <x:c r="G86" s="22"/>
      <x:c r="L86" s="22"/>
      <x:c r="N86" s="24"/>
      <x:c r="O86" t="str">
        <x:f>IF(OR(D86="",G86=""),"",G86-D86)</x:f>
      </x:c>
    </x:row>
    <x:row r="87">
      <x:c r="D87" s="22"/>
      <x:c r="E87" s="22"/>
      <x:c r="F87" s="22"/>
      <x:c r="G87" s="22"/>
      <x:c r="L87" s="22"/>
      <x:c r="N87" s="24"/>
      <x:c r="O87" t="str">
        <x:f>IF(OR(D87="",G87=""),"",G87-D87)</x:f>
      </x:c>
    </x:row>
    <x:row r="88">
      <x:c r="D88" s="22"/>
      <x:c r="E88" s="22"/>
      <x:c r="F88" s="22"/>
      <x:c r="G88" s="22"/>
      <x:c r="L88" s="22"/>
      <x:c r="N88" s="24"/>
      <x:c r="O88" t="str">
        <x:f>IF(OR(D88="",G88=""),"",G88-D88)</x:f>
      </x:c>
    </x:row>
    <x:row r="89">
      <x:c r="D89" s="22"/>
      <x:c r="E89" s="22"/>
      <x:c r="F89" s="22"/>
      <x:c r="G89" s="22"/>
      <x:c r="L89" s="22"/>
      <x:c r="N89" s="24"/>
      <x:c r="O89" t="str">
        <x:f>IF(OR(D89="",G89=""),"",G89-D89)</x:f>
      </x:c>
    </x:row>
    <x:row r="90">
      <x:c r="D90" s="22"/>
      <x:c r="E90" s="22"/>
      <x:c r="F90" s="22"/>
      <x:c r="G90" s="22"/>
      <x:c r="L90" s="22"/>
      <x:c r="N90" s="24"/>
      <x:c r="O90" t="str">
        <x:f>IF(OR(D90="",G90=""),"",G90-D90)</x:f>
      </x:c>
    </x:row>
    <x:row r="91">
      <x:c r="D91" s="22"/>
      <x:c r="E91" s="22"/>
      <x:c r="F91" s="22"/>
      <x:c r="G91" s="22"/>
      <x:c r="L91" s="22"/>
      <x:c r="N91" s="24"/>
      <x:c r="O91" t="str">
        <x:f>IF(OR(D91="",G91=""),"",G91-D91)</x:f>
      </x:c>
    </x:row>
    <x:row r="92">
      <x:c r="D92" s="22"/>
      <x:c r="E92" s="22"/>
      <x:c r="F92" s="22"/>
      <x:c r="G92" s="22"/>
      <x:c r="L92" s="22"/>
      <x:c r="N92" s="24"/>
      <x:c r="O92" t="str">
        <x:f>IF(OR(D92="",G92=""),"",G92-D92)</x:f>
      </x:c>
    </x:row>
    <x:row r="93">
      <x:c r="D93" s="22"/>
      <x:c r="E93" s="22"/>
      <x:c r="F93" s="22"/>
      <x:c r="G93" s="22"/>
      <x:c r="L93" s="22"/>
      <x:c r="N93" s="24"/>
      <x:c r="O93" t="str">
        <x:f>IF(OR(D93="",G93=""),"",G93-D93)</x:f>
      </x:c>
    </x:row>
    <x:row r="94">
      <x:c r="D94" s="22"/>
      <x:c r="E94" s="22"/>
      <x:c r="F94" s="22"/>
      <x:c r="G94" s="22"/>
      <x:c r="L94" s="22"/>
      <x:c r="N94" s="24"/>
      <x:c r="O94" t="str">
        <x:f>IF(OR(D94="",G94=""),"",G94-D94)</x:f>
      </x:c>
    </x:row>
    <x:row r="95">
      <x:c r="D95" s="22"/>
      <x:c r="E95" s="22"/>
      <x:c r="F95" s="22"/>
      <x:c r="G95" s="22"/>
      <x:c r="L95" s="22"/>
      <x:c r="N95" s="24"/>
      <x:c r="O95" t="str">
        <x:f>IF(OR(D95="",G95=""),"",G95-D95)</x:f>
      </x:c>
    </x:row>
    <x:row r="96">
      <x:c r="D96" s="22"/>
      <x:c r="E96" s="22"/>
      <x:c r="F96" s="22"/>
      <x:c r="G96" s="22"/>
      <x:c r="L96" s="22"/>
      <x:c r="N96" s="24"/>
      <x:c r="O96" t="str">
        <x:f>IF(OR(D96="",G96=""),"",G96-D96)</x:f>
      </x:c>
    </x:row>
    <x:row r="97">
      <x:c r="D97" s="22"/>
      <x:c r="E97" s="22"/>
      <x:c r="F97" s="22"/>
      <x:c r="G97" s="22"/>
      <x:c r="L97" s="22"/>
      <x:c r="N97" s="24"/>
      <x:c r="O97" t="str">
        <x:f>IF(OR(D97="",G97=""),"",G97-D97)</x:f>
      </x:c>
    </x:row>
    <x:row r="98">
      <x:c r="D98" s="22"/>
      <x:c r="E98" s="22"/>
      <x:c r="F98" s="22"/>
      <x:c r="G98" s="22"/>
      <x:c r="L98" s="22"/>
      <x:c r="N98" s="24"/>
      <x:c r="O98" t="str">
        <x:f>IF(OR(D98="",G98=""),"",G98-D98)</x:f>
      </x:c>
    </x:row>
    <x:row r="99">
      <x:c r="D99" s="22"/>
      <x:c r="E99" s="22"/>
      <x:c r="F99" s="22"/>
      <x:c r="G99" s="22"/>
      <x:c r="L99" s="22"/>
      <x:c r="N99" s="24"/>
      <x:c r="O99" t="str">
        <x:f>IF(OR(D99="",G99=""),"",G99-D99)</x:f>
      </x:c>
    </x:row>
    <x:row r="100">
      <x:c r="D100" s="22"/>
      <x:c r="E100" s="22"/>
      <x:c r="F100" s="22"/>
      <x:c r="G100" s="22"/>
      <x:c r="L100" s="22"/>
      <x:c r="N100" s="24"/>
      <x:c r="O100" t="str">
        <x:f>IF(OR(D100="",G100=""),"",G100-D100)</x:f>
      </x:c>
    </x:row>
    <x:row r="101">
      <x:c r="D101" s="22"/>
      <x:c r="E101" s="22"/>
      <x:c r="F101" s="22"/>
      <x:c r="G101" s="22"/>
      <x:c r="L101" s="22"/>
      <x:c r="N101" s="24"/>
      <x:c r="O101" t="str">
        <x:f>IF(OR(D101="",G101=""),"",G101-D101)</x:f>
      </x:c>
    </x:row>
    <x:row r="102">
      <x:c r="D102" s="22"/>
      <x:c r="E102" s="22"/>
      <x:c r="F102" s="22"/>
      <x:c r="G102" s="22"/>
      <x:c r="L102" s="22"/>
      <x:c r="N102" s="24"/>
      <x:c r="O102" t="str">
        <x:f>IF(OR(D102="",G102=""),"",G102-D102)</x:f>
      </x:c>
    </x:row>
    <x:row r="103">
      <x:c r="D103" s="22"/>
      <x:c r="E103" s="22"/>
      <x:c r="F103" s="22"/>
      <x:c r="G103" s="22"/>
      <x:c r="L103" s="22"/>
      <x:c r="N103" s="24"/>
      <x:c r="O103" t="str">
        <x:f>IF(OR(D103="",G103=""),"",G103-D103)</x:f>
      </x:c>
    </x:row>
    <x:row r="104">
      <x:c r="D104" s="22"/>
      <x:c r="E104" s="22"/>
      <x:c r="F104" s="22"/>
      <x:c r="G104" s="22"/>
      <x:c r="L104" s="22"/>
      <x:c r="N104" s="24"/>
      <x:c r="O104" t="str">
        <x:f>IF(OR(D104="",G104=""),"",G104-D104)</x:f>
      </x:c>
    </x:row>
    <x:row r="105">
      <x:c r="D105" s="22"/>
      <x:c r="E105" s="22"/>
      <x:c r="F105" s="22"/>
      <x:c r="G105" s="22"/>
      <x:c r="L105" s="22"/>
      <x:c r="N105" s="24"/>
      <x:c r="O105" t="str">
        <x:f>IF(OR(D105="",G105=""),"",G105-D105)</x:f>
      </x:c>
    </x:row>
    <x:row r="106">
      <x:c r="D106" s="22"/>
      <x:c r="E106" s="22"/>
      <x:c r="F106" s="22"/>
      <x:c r="G106" s="22"/>
      <x:c r="L106" s="22"/>
      <x:c r="N106" s="24"/>
      <x:c r="O106" t="str">
        <x:f>IF(OR(D106="",G106=""),"",G106-D106)</x:f>
      </x:c>
    </x:row>
    <x:row r="107">
      <x:c r="D107" s="22"/>
      <x:c r="E107" s="22"/>
      <x:c r="F107" s="22"/>
      <x:c r="G107" s="22"/>
      <x:c r="L107" s="22"/>
      <x:c r="N107" s="24"/>
      <x:c r="O107" t="str">
        <x:f>IF(OR(D107="",G107=""),"",G107-D107)</x:f>
      </x:c>
    </x:row>
    <x:row r="108">
      <x:c r="D108" s="22"/>
      <x:c r="E108" s="22"/>
      <x:c r="F108" s="22"/>
      <x:c r="G108" s="22"/>
      <x:c r="L108" s="22"/>
      <x:c r="N108" s="24"/>
      <x:c r="O108" t="str">
        <x:f>IF(OR(D108="",G108=""),"",G108-D108)</x:f>
      </x:c>
    </x:row>
    <x:row r="109">
      <x:c r="D109" s="22"/>
      <x:c r="E109" s="22"/>
      <x:c r="F109" s="22"/>
      <x:c r="G109" s="22"/>
      <x:c r="L109" s="22"/>
      <x:c r="N109" s="24"/>
      <x:c r="O109" t="str">
        <x:f>IF(OR(D109="",G109=""),"",G109-D109)</x:f>
      </x:c>
    </x:row>
    <x:row r="110">
      <x:c r="D110" s="22"/>
      <x:c r="E110" s="22"/>
      <x:c r="F110" s="22"/>
      <x:c r="G110" s="22"/>
      <x:c r="L110" s="22"/>
      <x:c r="N110" s="24"/>
      <x:c r="O110" t="str">
        <x:f>IF(OR(D110="",G110=""),"",G110-D110)</x:f>
      </x:c>
    </x:row>
    <x:row r="111">
      <x:c r="D111" s="22"/>
      <x:c r="E111" s="22"/>
      <x:c r="F111" s="22"/>
      <x:c r="G111" s="22"/>
      <x:c r="L111" s="22"/>
      <x:c r="N111" s="24"/>
      <x:c r="O111" t="str">
        <x:f>IF(OR(D111="",G111=""),"",G111-D111)</x:f>
      </x:c>
    </x:row>
    <x:row r="112">
      <x:c r="D112" s="22"/>
      <x:c r="E112" s="22"/>
      <x:c r="F112" s="22"/>
      <x:c r="G112" s="22"/>
      <x:c r="L112" s="22"/>
      <x:c r="N112" s="24"/>
      <x:c r="O112" t="str">
        <x:f>IF(OR(D112="",G112=""),"",G112-D112)</x:f>
      </x:c>
    </x:row>
    <x:row r="113">
      <x:c r="D113" s="22"/>
      <x:c r="E113" s="22"/>
      <x:c r="F113" s="22"/>
      <x:c r="G113" s="22"/>
      <x:c r="L113" s="22"/>
      <x:c r="N113" s="24"/>
      <x:c r="O113" t="str">
        <x:f>IF(OR(D113="",G113=""),"",G113-D113)</x:f>
      </x:c>
    </x:row>
    <x:row r="114">
      <x:c r="D114" s="22"/>
      <x:c r="E114" s="22"/>
      <x:c r="F114" s="22"/>
      <x:c r="G114" s="22"/>
      <x:c r="L114" s="22"/>
      <x:c r="N114" s="24"/>
      <x:c r="O114" t="str">
        <x:f>IF(OR(D114="",G114=""),"",G114-D114)</x:f>
      </x:c>
    </x:row>
    <x:row r="115">
      <x:c r="D115" s="22"/>
      <x:c r="E115" s="22"/>
      <x:c r="F115" s="22"/>
      <x:c r="G115" s="22"/>
      <x:c r="L115" s="22"/>
      <x:c r="N115" s="24"/>
      <x:c r="O115" t="str">
        <x:f>IF(OR(D115="",G115=""),"",G115-D115)</x:f>
      </x:c>
    </x:row>
    <x:row r="116">
      <x:c r="D116" s="22"/>
      <x:c r="E116" s="22"/>
      <x:c r="F116" s="22"/>
      <x:c r="G116" s="22"/>
      <x:c r="L116" s="22"/>
      <x:c r="N116" s="24"/>
      <x:c r="O116" t="str">
        <x:f>IF(OR(D116="",G116=""),"",G116-D116)</x:f>
      </x:c>
    </x:row>
    <x:row r="117">
      <x:c r="D117" s="22"/>
      <x:c r="E117" s="22"/>
      <x:c r="F117" s="22"/>
      <x:c r="G117" s="22"/>
      <x:c r="L117" s="22"/>
      <x:c r="N117" s="24"/>
      <x:c r="O117" t="str">
        <x:f>IF(OR(D117="",G117=""),"",G117-D117)</x:f>
      </x:c>
    </x:row>
    <x:row r="118">
      <x:c r="D118" s="22"/>
      <x:c r="E118" s="22"/>
      <x:c r="F118" s="22"/>
      <x:c r="G118" s="22"/>
      <x:c r="L118" s="22"/>
      <x:c r="N118" s="24"/>
      <x:c r="O118" t="str">
        <x:f>IF(OR(D118="",G118=""),"",G118-D118)</x:f>
      </x:c>
    </x:row>
    <x:row r="119">
      <x:c r="D119" s="22"/>
      <x:c r="E119" s="22"/>
      <x:c r="F119" s="22"/>
      <x:c r="G119" s="22"/>
      <x:c r="L119" s="22"/>
      <x:c r="N119" s="24"/>
      <x:c r="O119" t="str">
        <x:f>IF(OR(D119="",G119=""),"",G119-D119)</x:f>
      </x:c>
    </x:row>
    <x:row r="120">
      <x:c r="D120" s="22"/>
      <x:c r="E120" s="22"/>
      <x:c r="F120" s="22"/>
      <x:c r="G120" s="22"/>
      <x:c r="L120" s="22"/>
      <x:c r="N120" s="24"/>
      <x:c r="O120" t="str">
        <x:f>IF(OR(D120="",G120=""),"",G120-D120)</x:f>
      </x:c>
    </x:row>
    <x:row r="121">
      <x:c r="D121" s="22"/>
      <x:c r="E121" s="22"/>
      <x:c r="F121" s="22"/>
      <x:c r="G121" s="22"/>
      <x:c r="L121" s="22"/>
      <x:c r="N121" s="24"/>
      <x:c r="O121" t="str">
        <x:f>IF(OR(D121="",G121=""),"",G121-D121)</x:f>
      </x:c>
    </x:row>
    <x:row r="122">
      <x:c r="D122" s="22"/>
      <x:c r="E122" s="22"/>
      <x:c r="F122" s="22"/>
      <x:c r="G122" s="22"/>
      <x:c r="L122" s="22"/>
      <x:c r="N122" s="24"/>
      <x:c r="O122" t="str">
        <x:f>IF(OR(D122="",G122=""),"",G122-D122)</x:f>
      </x:c>
    </x:row>
    <x:row r="123">
      <x:c r="D123" s="22"/>
      <x:c r="E123" s="22"/>
      <x:c r="F123" s="22"/>
      <x:c r="G123" s="22"/>
      <x:c r="L123" s="22"/>
      <x:c r="N123" s="24"/>
      <x:c r="O123" t="str">
        <x:f>IF(OR(D123="",G123=""),"",G123-D123)</x:f>
      </x:c>
    </x:row>
    <x:row r="124">
      <x:c r="D124" s="22"/>
      <x:c r="E124" s="22"/>
      <x:c r="F124" s="22"/>
      <x:c r="G124" s="22"/>
      <x:c r="L124" s="22"/>
      <x:c r="N124" s="24"/>
      <x:c r="O124" t="str">
        <x:f>IF(OR(D124="",G124=""),"",G124-D124)</x:f>
      </x:c>
    </x:row>
    <x:row r="125">
      <x:c r="D125" s="22"/>
      <x:c r="E125" s="22"/>
      <x:c r="F125" s="22"/>
      <x:c r="G125" s="22"/>
      <x:c r="L125" s="22"/>
      <x:c r="N125" s="24"/>
      <x:c r="O125" t="str">
        <x:f>IF(OR(D125="",G125=""),"",G125-D125)</x:f>
      </x:c>
    </x:row>
    <x:row r="126">
      <x:c r="D126" s="22"/>
      <x:c r="E126" s="22"/>
      <x:c r="F126" s="22"/>
      <x:c r="G126" s="22"/>
      <x:c r="L126" s="22"/>
      <x:c r="N126" s="24"/>
      <x:c r="O126" t="str">
        <x:f>IF(OR(D126="",G126=""),"",G126-D126)</x:f>
      </x:c>
    </x:row>
    <x:row r="127">
      <x:c r="D127" s="22"/>
      <x:c r="E127" s="22"/>
      <x:c r="F127" s="22"/>
      <x:c r="G127" s="22"/>
      <x:c r="L127" s="22"/>
      <x:c r="N127" s="24"/>
      <x:c r="O127" t="str">
        <x:f>IF(OR(D127="",G127=""),"",G127-D127)</x:f>
      </x:c>
    </x:row>
    <x:row r="128">
      <x:c r="D128" s="22"/>
      <x:c r="E128" s="22"/>
      <x:c r="F128" s="22"/>
      <x:c r="G128" s="22"/>
      <x:c r="L128" s="22"/>
      <x:c r="N128" s="24"/>
      <x:c r="O128" t="str">
        <x:f>IF(OR(D128="",G128=""),"",G128-D128)</x:f>
      </x:c>
    </x:row>
    <x:row r="129">
      <x:c r="D129" s="22"/>
      <x:c r="E129" s="22"/>
      <x:c r="F129" s="22"/>
      <x:c r="G129" s="22"/>
      <x:c r="L129" s="22"/>
      <x:c r="N129" s="24"/>
      <x:c r="O129" t="str">
        <x:f>IF(OR(D129="",G129=""),"",G129-D129)</x:f>
      </x:c>
    </x:row>
    <x:row r="130">
      <x:c r="D130" s="22"/>
      <x:c r="E130" s="22"/>
      <x:c r="F130" s="22"/>
      <x:c r="G130" s="22"/>
      <x:c r="L130" s="22"/>
      <x:c r="N130" s="24"/>
      <x:c r="O130" t="str">
        <x:f>IF(OR(D130="",G130=""),"",G130-D130)</x:f>
      </x:c>
    </x:row>
    <x:row r="131">
      <x:c r="D131" s="22"/>
      <x:c r="E131" s="22"/>
      <x:c r="F131" s="22"/>
      <x:c r="G131" s="22"/>
      <x:c r="L131" s="22"/>
      <x:c r="N131" s="24"/>
      <x:c r="O131" t="str">
        <x:f>IF(OR(D131="",G131=""),"",G131-D131)</x:f>
      </x:c>
    </x:row>
    <x:row r="132">
      <x:c r="D132" s="22"/>
      <x:c r="E132" s="22"/>
      <x:c r="F132" s="22"/>
      <x:c r="G132" s="22"/>
      <x:c r="L132" s="22"/>
      <x:c r="N132" s="24"/>
      <x:c r="O132" t="str">
        <x:f>IF(OR(D132="",G132=""),"",G132-D132)</x:f>
      </x:c>
    </x:row>
    <x:row r="133">
      <x:c r="D133" s="22"/>
      <x:c r="E133" s="22"/>
      <x:c r="F133" s="22"/>
      <x:c r="G133" s="22"/>
      <x:c r="L133" s="22"/>
      <x:c r="N133" s="24"/>
      <x:c r="O133" t="str">
        <x:f>IF(OR(D133="",G133=""),"",G133-D133)</x:f>
      </x:c>
    </x:row>
    <x:row r="134">
      <x:c r="D134" s="22"/>
      <x:c r="E134" s="22"/>
      <x:c r="F134" s="22"/>
      <x:c r="G134" s="22"/>
      <x:c r="L134" s="22"/>
      <x:c r="N134" s="24"/>
      <x:c r="O134" t="str">
        <x:f>IF(OR(D134="",G134=""),"",G134-D134)</x:f>
      </x:c>
    </x:row>
    <x:row r="135">
      <x:c r="D135" s="22"/>
      <x:c r="E135" s="22"/>
      <x:c r="F135" s="22"/>
      <x:c r="G135" s="22"/>
      <x:c r="L135" s="22"/>
      <x:c r="N135" s="24"/>
      <x:c r="O135" t="str">
        <x:f>IF(OR(D135="",G135=""),"",G135-D135)</x:f>
      </x:c>
    </x:row>
    <x:row r="136">
      <x:c r="D136" s="22"/>
      <x:c r="E136" s="22"/>
      <x:c r="F136" s="22"/>
      <x:c r="G136" s="22"/>
      <x:c r="L136" s="22"/>
      <x:c r="N136" s="24"/>
      <x:c r="O136" t="str">
        <x:f>IF(OR(D136="",G136=""),"",G136-D136)</x:f>
      </x:c>
    </x:row>
    <x:row r="137">
      <x:c r="D137" s="22"/>
      <x:c r="E137" s="22"/>
      <x:c r="F137" s="22"/>
      <x:c r="G137" s="22"/>
      <x:c r="L137" s="22"/>
      <x:c r="N137" s="24"/>
      <x:c r="O137" t="str">
        <x:f>IF(OR(D137="",G137=""),"",G137-D137)</x:f>
      </x:c>
    </x:row>
    <x:row r="138">
      <x:c r="D138" s="22"/>
      <x:c r="E138" s="22"/>
      <x:c r="F138" s="22"/>
      <x:c r="G138" s="22"/>
      <x:c r="L138" s="22"/>
      <x:c r="N138" s="24"/>
      <x:c r="O138" t="str">
        <x:f>IF(OR(D138="",G138=""),"",G138-D138)</x:f>
      </x:c>
    </x:row>
    <x:row r="139">
      <x:c r="D139" s="22"/>
      <x:c r="E139" s="22"/>
      <x:c r="F139" s="22"/>
      <x:c r="G139" s="22"/>
      <x:c r="L139" s="22"/>
      <x:c r="N139" s="24"/>
      <x:c r="O139" t="str">
        <x:f>IF(OR(D139="",G139=""),"",G139-D139)</x:f>
      </x:c>
    </x:row>
    <x:row r="140">
      <x:c r="D140" s="22"/>
      <x:c r="E140" s="22"/>
      <x:c r="F140" s="22"/>
      <x:c r="G140" s="22"/>
      <x:c r="L140" s="22"/>
      <x:c r="N140" s="24"/>
      <x:c r="O140" t="str">
        <x:f>IF(OR(D140="",G140=""),"",G140-D140)</x:f>
      </x:c>
    </x:row>
    <x:row r="141">
      <x:c r="D141" s="22"/>
      <x:c r="E141" s="22"/>
      <x:c r="F141" s="22"/>
      <x:c r="G141" s="22"/>
      <x:c r="L141" s="22"/>
      <x:c r="N141" s="24"/>
      <x:c r="O141" t="str">
        <x:f>IF(OR(D141="",G141=""),"",G141-D141)</x:f>
      </x:c>
    </x:row>
    <x:row r="142">
      <x:c r="D142" s="22"/>
      <x:c r="E142" s="22"/>
      <x:c r="F142" s="22"/>
      <x:c r="G142" s="22"/>
      <x:c r="L142" s="22"/>
      <x:c r="N142" s="24"/>
      <x:c r="O142" t="str">
        <x:f>IF(OR(D142="",G142=""),"",G142-D142)</x:f>
      </x:c>
    </x:row>
    <x:row r="143">
      <x:c r="D143" s="22"/>
      <x:c r="E143" s="22"/>
      <x:c r="F143" s="22"/>
      <x:c r="G143" s="22"/>
      <x:c r="L143" s="22"/>
      <x:c r="N143" s="24"/>
      <x:c r="O143" t="str">
        <x:f>IF(OR(D143="",G143=""),"",G143-D143)</x:f>
      </x:c>
    </x:row>
    <x:row r="144">
      <x:c r="D144" s="22"/>
      <x:c r="E144" s="22"/>
      <x:c r="F144" s="22"/>
      <x:c r="G144" s="22"/>
      <x:c r="L144" s="22"/>
      <x:c r="N144" s="24"/>
      <x:c r="O144" t="str">
        <x:f>IF(OR(D144="",G144=""),"",G144-D144)</x:f>
      </x:c>
    </x:row>
    <x:row r="145">
      <x:c r="D145" s="22"/>
      <x:c r="E145" s="22"/>
      <x:c r="F145" s="22"/>
      <x:c r="G145" s="22"/>
      <x:c r="L145" s="22"/>
      <x:c r="N145" s="24"/>
      <x:c r="O145" t="str">
        <x:f>IF(OR(D145="",G145=""),"",G145-D145)</x:f>
      </x:c>
    </x:row>
    <x:row r="146">
      <x:c r="D146" s="22"/>
      <x:c r="E146" s="22"/>
      <x:c r="F146" s="22"/>
      <x:c r="G146" s="22"/>
      <x:c r="L146" s="22"/>
      <x:c r="N146" s="24"/>
      <x:c r="O146" t="str">
        <x:f>IF(OR(D146="",G146=""),"",G146-D146)</x:f>
      </x:c>
    </x:row>
    <x:row r="147">
      <x:c r="D147" s="22"/>
      <x:c r="E147" s="22"/>
      <x:c r="F147" s="22"/>
      <x:c r="G147" s="22"/>
      <x:c r="L147" s="22"/>
      <x:c r="N147" s="24"/>
      <x:c r="O147" t="str">
        <x:f>IF(OR(D147="",G147=""),"",G147-D147)</x:f>
      </x:c>
    </x:row>
    <x:row r="148">
      <x:c r="D148" s="22"/>
      <x:c r="E148" s="22"/>
      <x:c r="F148" s="22"/>
      <x:c r="G148" s="22"/>
      <x:c r="L148" s="22"/>
      <x:c r="N148" s="24"/>
      <x:c r="O148" t="str">
        <x:f>IF(OR(D148="",G148=""),"",G148-D148)</x:f>
      </x:c>
    </x:row>
    <x:row r="149">
      <x:c r="D149" s="22"/>
      <x:c r="E149" s="22"/>
      <x:c r="F149" s="22"/>
      <x:c r="G149" s="22"/>
      <x:c r="L149" s="22"/>
      <x:c r="N149" s="24"/>
      <x:c r="O149" t="str">
        <x:f>IF(OR(D149="",G149=""),"",G149-D149)</x:f>
      </x:c>
    </x:row>
    <x:row r="150">
      <x:c r="D150" s="22"/>
      <x:c r="E150" s="22"/>
      <x:c r="F150" s="22"/>
      <x:c r="G150" s="22"/>
      <x:c r="L150" s="22"/>
      <x:c r="N150" s="24"/>
      <x:c r="O150" t="str">
        <x:f>IF(OR(D150="",G150=""),"",G150-D150)</x:f>
      </x:c>
    </x:row>
    <x:row r="151">
      <x:c r="D151" s="22"/>
      <x:c r="E151" s="22"/>
      <x:c r="F151" s="22"/>
      <x:c r="G151" s="22"/>
      <x:c r="L151" s="22"/>
      <x:c r="N151" s="24"/>
      <x:c r="O151" t="str">
        <x:f>IF(OR(D151="",G151=""),"",G151-D151)</x:f>
      </x:c>
    </x:row>
    <x:row r="152">
      <x:c r="D152" s="22"/>
      <x:c r="E152" s="22"/>
      <x:c r="F152" s="22"/>
      <x:c r="G152" s="22"/>
      <x:c r="L152" s="22"/>
      <x:c r="N152" s="24"/>
      <x:c r="O152" t="str">
        <x:f>IF(OR(D152="",G152=""),"",G152-D152)</x:f>
      </x:c>
    </x:row>
    <x:row r="153">
      <x:c r="D153" s="22"/>
      <x:c r="E153" s="22"/>
      <x:c r="F153" s="22"/>
      <x:c r="G153" s="22"/>
      <x:c r="L153" s="22"/>
      <x:c r="N153" s="24"/>
      <x:c r="O153" t="str">
        <x:f>IF(OR(D153="",G153=""),"",G153-D153)</x:f>
      </x:c>
    </x:row>
    <x:row r="154">
      <x:c r="D154" s="22"/>
      <x:c r="E154" s="22"/>
      <x:c r="F154" s="22"/>
      <x:c r="G154" s="22"/>
      <x:c r="L154" s="22"/>
      <x:c r="N154" s="24"/>
      <x:c r="O154" t="str">
        <x:f>IF(OR(D154="",G154=""),"",G154-D154)</x:f>
      </x:c>
    </x:row>
    <x:row r="155">
      <x:c r="D155" s="22"/>
      <x:c r="E155" s="22"/>
      <x:c r="F155" s="22"/>
      <x:c r="G155" s="22"/>
      <x:c r="L155" s="22"/>
      <x:c r="N155" s="24"/>
      <x:c r="O155" t="str">
        <x:f>IF(OR(D155="",G155=""),"",G155-D155)</x:f>
      </x:c>
    </x:row>
    <x:row r="156">
      <x:c r="D156" s="22"/>
      <x:c r="E156" s="22"/>
      <x:c r="F156" s="22"/>
      <x:c r="G156" s="22"/>
      <x:c r="L156" s="22"/>
      <x:c r="N156" s="24"/>
      <x:c r="O156" t="str">
        <x:f>IF(OR(D156="",G156=""),"",G156-D156)</x:f>
      </x:c>
    </x:row>
    <x:row r="157">
      <x:c r="D157" s="22"/>
      <x:c r="E157" s="22"/>
      <x:c r="F157" s="22"/>
      <x:c r="G157" s="22"/>
      <x:c r="L157" s="22"/>
      <x:c r="N157" s="24"/>
      <x:c r="O157" t="str">
        <x:f>IF(OR(D157="",G157=""),"",G157-D157)</x:f>
      </x:c>
    </x:row>
    <x:row r="158">
      <x:c r="D158" s="22"/>
      <x:c r="E158" s="22"/>
      <x:c r="F158" s="22"/>
      <x:c r="G158" s="22"/>
      <x:c r="L158" s="22"/>
      <x:c r="N158" s="24"/>
      <x:c r="O158" t="str">
        <x:f>IF(OR(D158="",G158=""),"",G158-D158)</x:f>
      </x:c>
    </x:row>
    <x:row r="159">
      <x:c r="D159" s="22"/>
      <x:c r="E159" s="22"/>
      <x:c r="F159" s="22"/>
      <x:c r="G159" s="22"/>
      <x:c r="L159" s="22"/>
      <x:c r="N159" s="24"/>
      <x:c r="O159" t="str">
        <x:f>IF(OR(D159="",G159=""),"",G159-D159)</x:f>
      </x:c>
    </x:row>
    <x:row r="160">
      <x:c r="D160" s="22"/>
      <x:c r="E160" s="22"/>
      <x:c r="F160" s="22"/>
      <x:c r="G160" s="22"/>
      <x:c r="L160" s="22"/>
      <x:c r="N160" s="24"/>
      <x:c r="O160" t="str">
        <x:f>IF(OR(D160="",G160=""),"",G160-D160)</x:f>
      </x:c>
    </x:row>
    <x:row r="161">
      <x:c r="D161" s="22"/>
      <x:c r="E161" s="22"/>
      <x:c r="F161" s="22"/>
      <x:c r="G161" s="22"/>
      <x:c r="L161" s="22"/>
      <x:c r="N161" s="24"/>
      <x:c r="O161" t="str">
        <x:f>IF(OR(D161="",G161=""),"",G161-D161)</x:f>
      </x:c>
    </x:row>
    <x:row r="162">
      <x:c r="D162" s="22"/>
      <x:c r="E162" s="22"/>
      <x:c r="F162" s="22"/>
      <x:c r="G162" s="22"/>
      <x:c r="L162" s="22"/>
      <x:c r="N162" s="24"/>
      <x:c r="O162" t="str">
        <x:f>IF(OR(D162="",G162=""),"",G162-D162)</x:f>
      </x:c>
    </x:row>
    <x:row r="163">
      <x:c r="D163" s="22"/>
      <x:c r="E163" s="22"/>
      <x:c r="F163" s="22"/>
      <x:c r="G163" s="22"/>
      <x:c r="L163" s="22"/>
      <x:c r="N163" s="24"/>
      <x:c r="O163" t="str">
        <x:f>IF(OR(D163="",G163=""),"",G163-D163)</x:f>
      </x:c>
    </x:row>
    <x:row r="164">
      <x:c r="D164" s="22"/>
      <x:c r="E164" s="22"/>
      <x:c r="F164" s="22"/>
      <x:c r="G164" s="22"/>
      <x:c r="L164" s="22"/>
      <x:c r="N164" s="24"/>
      <x:c r="O164" t="str">
        <x:f>IF(OR(D164="",G164=""),"",G164-D164)</x:f>
      </x:c>
    </x:row>
    <x:row r="165">
      <x:c r="D165" s="22"/>
      <x:c r="E165" s="22"/>
      <x:c r="F165" s="22"/>
      <x:c r="G165" s="22"/>
      <x:c r="L165" s="22"/>
      <x:c r="N165" s="24"/>
      <x:c r="O165" t="str">
        <x:f>IF(OR(D165="",G165=""),"",G165-D165)</x:f>
      </x:c>
    </x:row>
    <x:row r="166">
      <x:c r="D166" s="22"/>
      <x:c r="E166" s="22"/>
      <x:c r="F166" s="22"/>
      <x:c r="G166" s="22"/>
      <x:c r="L166" s="22"/>
      <x:c r="N166" s="24"/>
      <x:c r="O166" t="str">
        <x:f>IF(OR(D166="",G166=""),"",G166-D166)</x:f>
      </x:c>
    </x:row>
    <x:row r="167">
      <x:c r="D167" s="22"/>
      <x:c r="E167" s="22"/>
      <x:c r="F167" s="22"/>
      <x:c r="G167" s="22"/>
      <x:c r="L167" s="22"/>
      <x:c r="N167" s="24"/>
      <x:c r="O167" t="str">
        <x:f>IF(OR(D167="",G167=""),"",G167-D167)</x:f>
      </x:c>
    </x:row>
    <x:row r="168">
      <x:c r="D168" s="22"/>
      <x:c r="E168" s="22"/>
      <x:c r="F168" s="22"/>
      <x:c r="G168" s="22"/>
      <x:c r="L168" s="22"/>
      <x:c r="N168" s="24"/>
      <x:c r="O168" t="str">
        <x:f>IF(OR(D168="",G168=""),"",G168-D168)</x:f>
      </x:c>
    </x:row>
    <x:row r="169">
      <x:c r="D169" s="22"/>
      <x:c r="E169" s="22"/>
      <x:c r="F169" s="22"/>
      <x:c r="G169" s="22"/>
      <x:c r="L169" s="22"/>
      <x:c r="N169" s="24"/>
      <x:c r="O169" t="str">
        <x:f>IF(OR(D169="",G169=""),"",G169-D169)</x:f>
      </x:c>
    </x:row>
    <x:row r="170">
      <x:c r="D170" s="22"/>
      <x:c r="E170" s="22"/>
      <x:c r="F170" s="22"/>
      <x:c r="G170" s="22"/>
      <x:c r="L170" s="22"/>
      <x:c r="N170" s="24"/>
      <x:c r="O170" t="str">
        <x:f>IF(OR(D170="",G170=""),"",G170-D170)</x:f>
      </x:c>
    </x:row>
    <x:row r="171">
      <x:c r="D171" s="22"/>
      <x:c r="E171" s="22"/>
      <x:c r="F171" s="22"/>
      <x:c r="G171" s="22"/>
      <x:c r="L171" s="22"/>
      <x:c r="N171" s="24"/>
      <x:c r="O171" t="str">
        <x:f>IF(OR(D171="",G171=""),"",G171-D171)</x:f>
      </x:c>
    </x:row>
    <x:row r="172">
      <x:c r="D172" s="22"/>
      <x:c r="E172" s="22"/>
      <x:c r="F172" s="22"/>
      <x:c r="G172" s="22"/>
      <x:c r="L172" s="22"/>
      <x:c r="N172" s="24"/>
      <x:c r="O172" t="str">
        <x:f>IF(OR(D172="",G172=""),"",G172-D172)</x:f>
      </x:c>
    </x:row>
    <x:row r="173">
      <x:c r="D173" s="22"/>
      <x:c r="E173" s="22"/>
      <x:c r="F173" s="22"/>
      <x:c r="G173" s="22"/>
      <x:c r="L173" s="22"/>
      <x:c r="N173" s="24"/>
      <x:c r="O173" t="str">
        <x:f>IF(OR(D173="",G173=""),"",G173-D173)</x:f>
      </x:c>
    </x:row>
    <x:row r="174">
      <x:c r="D174" s="22"/>
      <x:c r="E174" s="22"/>
      <x:c r="F174" s="22"/>
      <x:c r="G174" s="22"/>
      <x:c r="L174" s="22"/>
      <x:c r="N174" s="24"/>
      <x:c r="O174" t="str">
        <x:f>IF(OR(D174="",G174=""),"",G174-D174)</x:f>
      </x:c>
    </x:row>
    <x:row r="175">
      <x:c r="D175" s="22"/>
      <x:c r="E175" s="22"/>
      <x:c r="F175" s="22"/>
      <x:c r="G175" s="22"/>
      <x:c r="L175" s="22"/>
      <x:c r="N175" s="24"/>
      <x:c r="O175" t="str">
        <x:f>IF(OR(D175="",G175=""),"",G175-D175)</x:f>
      </x:c>
    </x:row>
    <x:row r="176">
      <x:c r="D176" s="22"/>
      <x:c r="E176" s="22"/>
      <x:c r="F176" s="22"/>
      <x:c r="G176" s="22"/>
      <x:c r="L176" s="22"/>
      <x:c r="N176" s="24"/>
      <x:c r="O176" t="str">
        <x:f>IF(OR(D176="",G176=""),"",G176-D176)</x:f>
      </x:c>
    </x:row>
    <x:row r="177">
      <x:c r="D177" s="22"/>
      <x:c r="E177" s="22"/>
      <x:c r="F177" s="22"/>
      <x:c r="G177" s="22"/>
      <x:c r="L177" s="22"/>
      <x:c r="N177" s="24"/>
      <x:c r="O177" t="str">
        <x:f>IF(OR(D177="",G177=""),"",G177-D177)</x:f>
      </x:c>
    </x:row>
    <x:row r="178">
      <x:c r="D178" s="22"/>
      <x:c r="E178" s="22"/>
      <x:c r="F178" s="22"/>
      <x:c r="G178" s="22"/>
      <x:c r="L178" s="22"/>
      <x:c r="N178" s="24"/>
      <x:c r="O178" t="str">
        <x:f>IF(OR(D178="",G178=""),"",G178-D178)</x:f>
      </x:c>
    </x:row>
    <x:row r="179">
      <x:c r="D179" s="22"/>
      <x:c r="E179" s="22"/>
      <x:c r="F179" s="22"/>
      <x:c r="G179" s="22"/>
      <x:c r="L179" s="22"/>
      <x:c r="N179" s="24"/>
      <x:c r="O179" t="str">
        <x:f>IF(OR(D179="",G179=""),"",G179-D179)</x:f>
      </x:c>
    </x:row>
    <x:row r="180">
      <x:c r="D180" s="22"/>
      <x:c r="E180" s="22"/>
      <x:c r="F180" s="22"/>
      <x:c r="G180" s="22"/>
      <x:c r="L180" s="22"/>
      <x:c r="N180" s="24"/>
      <x:c r="O180" t="str">
        <x:f>IF(OR(D180="",G180=""),"",G180-D180)</x:f>
      </x:c>
    </x:row>
    <x:row r="181">
      <x:c r="D181" s="22"/>
      <x:c r="E181" s="22"/>
      <x:c r="F181" s="22"/>
      <x:c r="G181" s="22"/>
      <x:c r="L181" s="22"/>
      <x:c r="N181" s="24"/>
      <x:c r="O181" t="str">
        <x:f>IF(OR(D181="",G181=""),"",G181-D181)</x:f>
      </x:c>
    </x:row>
    <x:row r="182">
      <x:c r="D182" s="22"/>
      <x:c r="E182" s="22"/>
      <x:c r="F182" s="22"/>
      <x:c r="G182" s="22"/>
      <x:c r="L182" s="22"/>
      <x:c r="N182" s="24"/>
      <x:c r="O182" t="str">
        <x:f>IF(OR(D182="",G182=""),"",G182-D182)</x:f>
      </x:c>
    </x:row>
    <x:row r="183">
      <x:c r="D183" s="22"/>
      <x:c r="E183" s="22"/>
      <x:c r="F183" s="22"/>
      <x:c r="G183" s="22"/>
      <x:c r="L183" s="22"/>
      <x:c r="N183" s="24"/>
      <x:c r="O183" t="str">
        <x:f>IF(OR(D183="",G183=""),"",G183-D183)</x:f>
      </x:c>
    </x:row>
    <x:row r="184">
      <x:c r="D184" s="22"/>
      <x:c r="E184" s="22"/>
      <x:c r="F184" s="22"/>
      <x:c r="G184" s="22"/>
      <x:c r="L184" s="22"/>
      <x:c r="N184" s="24"/>
      <x:c r="O184" t="str">
        <x:f>IF(OR(D184="",G184=""),"",G184-D184)</x:f>
      </x:c>
    </x:row>
    <x:row r="185">
      <x:c r="D185" s="22"/>
      <x:c r="E185" s="22"/>
      <x:c r="F185" s="22"/>
      <x:c r="G185" s="22"/>
      <x:c r="L185" s="22"/>
      <x:c r="N185" s="24"/>
      <x:c r="O185" t="str">
        <x:f>IF(OR(D185="",G185=""),"",G185-D185)</x:f>
      </x:c>
    </x:row>
    <x:row r="186">
      <x:c r="D186" s="22"/>
      <x:c r="E186" s="22"/>
      <x:c r="F186" s="22"/>
      <x:c r="G186" s="22"/>
      <x:c r="L186" s="22"/>
      <x:c r="N186" s="24"/>
      <x:c r="O186" t="str">
        <x:f>IF(OR(D186="",G186=""),"",G186-D186)</x:f>
      </x:c>
    </x:row>
    <x:row r="187">
      <x:c r="D187" s="22"/>
      <x:c r="E187" s="22"/>
      <x:c r="F187" s="22"/>
      <x:c r="G187" s="22"/>
      <x:c r="L187" s="22"/>
      <x:c r="N187" s="24"/>
      <x:c r="O187" t="str">
        <x:f>IF(OR(D187="",G187=""),"",G187-D187)</x:f>
      </x:c>
    </x:row>
    <x:row r="188">
      <x:c r="D188" s="22"/>
      <x:c r="E188" s="22"/>
      <x:c r="F188" s="22"/>
      <x:c r="G188" s="22"/>
      <x:c r="L188" s="22"/>
      <x:c r="N188" s="24"/>
      <x:c r="O188" t="str">
        <x:f>IF(OR(D188="",G188=""),"",G188-D188)</x:f>
      </x:c>
    </x:row>
    <x:row r="189">
      <x:c r="D189" s="22"/>
      <x:c r="E189" s="22"/>
      <x:c r="F189" s="22"/>
      <x:c r="G189" s="22"/>
      <x:c r="L189" s="22"/>
      <x:c r="N189" s="24"/>
      <x:c r="O189" t="str">
        <x:f>IF(OR(D189="",G189=""),"",G189-D189)</x:f>
      </x:c>
    </x:row>
    <x:row r="190">
      <x:c r="D190" s="22"/>
      <x:c r="E190" s="22"/>
      <x:c r="F190" s="22"/>
      <x:c r="G190" s="22"/>
      <x:c r="L190" s="22"/>
      <x:c r="N190" s="24"/>
      <x:c r="O190" t="str">
        <x:f>IF(OR(D190="",G190=""),"",G190-D190)</x:f>
      </x:c>
    </x:row>
    <x:row r="191">
      <x:c r="D191" s="22"/>
      <x:c r="E191" s="22"/>
      <x:c r="F191" s="22"/>
      <x:c r="G191" s="22"/>
      <x:c r="L191" s="22"/>
      <x:c r="N191" s="24"/>
      <x:c r="O191" t="str">
        <x:f>IF(OR(D191="",G191=""),"",G191-D191)</x:f>
      </x:c>
    </x:row>
    <x:row r="192">
      <x:c r="D192" s="22"/>
      <x:c r="E192" s="22"/>
      <x:c r="F192" s="22"/>
      <x:c r="G192" s="22"/>
      <x:c r="L192" s="22"/>
      <x:c r="N192" s="24"/>
      <x:c r="O192" t="str">
        <x:f>IF(OR(D192="",G192=""),"",G192-D192)</x:f>
      </x:c>
    </x:row>
    <x:row r="193">
      <x:c r="D193" s="22"/>
      <x:c r="E193" s="22"/>
      <x:c r="F193" s="22"/>
      <x:c r="G193" s="22"/>
      <x:c r="L193" s="22"/>
      <x:c r="N193" s="24"/>
      <x:c r="O193" t="str">
        <x:f>IF(OR(D193="",G193=""),"",G193-D193)</x:f>
      </x:c>
    </x:row>
    <x:row r="194">
      <x:c r="D194" s="22"/>
      <x:c r="E194" s="22"/>
      <x:c r="F194" s="22"/>
      <x:c r="G194" s="22"/>
      <x:c r="L194" s="22"/>
      <x:c r="N194" s="24"/>
      <x:c r="O194" t="str">
        <x:f>IF(OR(D194="",G194=""),"",G194-D194)</x:f>
      </x:c>
    </x:row>
    <x:row r="195">
      <x:c r="D195" s="22"/>
      <x:c r="E195" s="22"/>
      <x:c r="F195" s="22"/>
      <x:c r="G195" s="22"/>
      <x:c r="L195" s="22"/>
      <x:c r="N195" s="24"/>
      <x:c r="O195" t="str">
        <x:f>IF(OR(D195="",G195=""),"",G195-D195)</x:f>
      </x:c>
    </x:row>
    <x:row r="196">
      <x:c r="D196" s="22"/>
      <x:c r="E196" s="22"/>
      <x:c r="F196" s="22"/>
      <x:c r="G196" s="22"/>
      <x:c r="L196" s="22"/>
      <x:c r="N196" s="24"/>
      <x:c r="O196" t="str">
        <x:f>IF(OR(D196="",G196=""),"",G196-D196)</x:f>
      </x:c>
    </x:row>
    <x:row r="197">
      <x:c r="D197" s="22"/>
      <x:c r="E197" s="22"/>
      <x:c r="F197" s="22"/>
      <x:c r="G197" s="22"/>
      <x:c r="L197" s="22"/>
      <x:c r="N197" s="24"/>
      <x:c r="O197" t="str">
        <x:f>IF(OR(D197="",G197=""),"",G197-D197)</x:f>
      </x:c>
    </x:row>
    <x:row r="198">
      <x:c r="D198" s="22"/>
      <x:c r="E198" s="22"/>
      <x:c r="F198" s="22"/>
      <x:c r="G198" s="22"/>
      <x:c r="L198" s="22"/>
      <x:c r="N198" s="24"/>
      <x:c r="O198" t="str">
        <x:f>IF(OR(D198="",G198=""),"",G198-D198)</x:f>
      </x:c>
    </x:row>
    <x:row r="199">
      <x:c r="D199" s="22"/>
      <x:c r="E199" s="22"/>
      <x:c r="F199" s="22"/>
      <x:c r="G199" s="22"/>
      <x:c r="L199" s="22"/>
      <x:c r="N199" s="24"/>
      <x:c r="O199" t="str">
        <x:f>IF(OR(D199="",G199=""),"",G199-D199)</x:f>
      </x:c>
    </x:row>
    <x:row r="200">
      <x:c r="D200" s="22"/>
      <x:c r="E200" s="22"/>
      <x:c r="F200" s="22"/>
      <x:c r="G200" s="22"/>
      <x:c r="L200" s="22"/>
      <x:c r="N200" s="24"/>
      <x:c r="O200" t="str">
        <x:f>IF(OR(D200="",G200=""),"",G200-D200)</x:f>
      </x:c>
    </x:row>
    <x:row r="201">
      <x:c r="D201" s="22"/>
      <x:c r="E201" s="22"/>
      <x:c r="F201" s="22"/>
      <x:c r="G201" s="22"/>
      <x:c r="L201" s="22"/>
      <x:c r="N201" s="24"/>
      <x:c r="O201" t="str">
        <x:f>IF(OR(D201="",G201=""),"",G201-D201)</x:f>
      </x:c>
    </x:row>
    <x:row r="202">
      <x:c r="D202" s="22"/>
      <x:c r="E202" s="22"/>
      <x:c r="F202" s="22"/>
      <x:c r="G202" s="22"/>
      <x:c r="L202" s="22"/>
      <x:c r="N202" s="24"/>
      <x:c r="O202" t="str">
        <x:f>IF(OR(D202="",G202=""),"",G202-D202)</x:f>
      </x:c>
    </x:row>
    <x:row r="203">
      <x:c r="D203" s="22"/>
      <x:c r="E203" s="22"/>
      <x:c r="F203" s="22"/>
      <x:c r="G203" s="22"/>
      <x:c r="L203" s="22"/>
      <x:c r="N203" s="24"/>
      <x:c r="O203" t="str">
        <x:f>IF(OR(D203="",G203=""),"",G203-D203)</x:f>
      </x:c>
    </x:row>
    <x:row r="204">
      <x:c r="D204" s="22"/>
      <x:c r="E204" s="22"/>
      <x:c r="F204" s="22"/>
      <x:c r="G204" s="22"/>
      <x:c r="L204" s="22"/>
      <x:c r="N204" s="24"/>
      <x:c r="O204" t="str">
        <x:f>IF(OR(D204="",G204=""),"",G204-D204)</x:f>
      </x:c>
    </x:row>
    <x:row r="205">
      <x:c r="D205" s="22"/>
      <x:c r="E205" s="22"/>
      <x:c r="F205" s="22"/>
      <x:c r="G205" s="22"/>
      <x:c r="L205" s="22"/>
      <x:c r="N205" s="24"/>
      <x:c r="O205" t="str">
        <x:f>IF(OR(D205="",G205=""),"",G205-D205)</x:f>
      </x:c>
    </x:row>
    <x:row r="206">
      <x:c r="D206" s="22"/>
      <x:c r="E206" s="22"/>
      <x:c r="F206" s="22"/>
      <x:c r="G206" s="22"/>
      <x:c r="L206" s="22"/>
      <x:c r="N206" s="24"/>
      <x:c r="O206" t="str">
        <x:f>IF(OR(D206="",G206=""),"",G206-D206)</x:f>
      </x:c>
    </x:row>
    <x:row r="207">
      <x:c r="D207" s="22"/>
      <x:c r="E207" s="22"/>
      <x:c r="F207" s="22"/>
      <x:c r="G207" s="22"/>
      <x:c r="L207" s="22"/>
      <x:c r="N207" s="24"/>
      <x:c r="O207" t="str">
        <x:f>IF(OR(D207="",G207=""),"",G207-D207)</x:f>
      </x:c>
    </x:row>
    <x:row r="208">
      <x:c r="D208" s="22"/>
      <x:c r="E208" s="22"/>
      <x:c r="F208" s="22"/>
      <x:c r="G208" s="22"/>
      <x:c r="L208" s="22"/>
      <x:c r="N208" s="24"/>
      <x:c r="O208" t="str">
        <x:f>IF(OR(D208="",G208=""),"",G208-D208)</x:f>
      </x:c>
    </x:row>
    <x:row r="209">
      <x:c r="D209" s="22"/>
      <x:c r="E209" s="22"/>
      <x:c r="F209" s="22"/>
      <x:c r="G209" s="22"/>
      <x:c r="L209" s="22"/>
      <x:c r="N209" s="24"/>
      <x:c r="O209" t="str">
        <x:f>IF(OR(D209="",G209=""),"",G209-D209)</x:f>
      </x:c>
    </x:row>
    <x:row r="210">
      <x:c r="D210" s="22"/>
      <x:c r="E210" s="22"/>
      <x:c r="F210" s="22"/>
      <x:c r="G210" s="22"/>
      <x:c r="L210" s="22"/>
      <x:c r="N210" s="24"/>
      <x:c r="O210" t="str">
        <x:f>IF(OR(D210="",G210=""),"",G210-D210)</x:f>
      </x:c>
    </x:row>
    <x:row r="211">
      <x:c r="D211" s="22"/>
      <x:c r="E211" s="22"/>
      <x:c r="F211" s="22"/>
      <x:c r="G211" s="22"/>
      <x:c r="L211" s="22"/>
      <x:c r="N211" s="24"/>
      <x:c r="O211" t="str">
        <x:f>IF(OR(D211="",G211=""),"",G211-D211)</x:f>
      </x:c>
    </x:row>
    <x:row r="212">
      <x:c r="D212" s="22"/>
      <x:c r="E212" s="22"/>
      <x:c r="F212" s="22"/>
      <x:c r="G212" s="22"/>
      <x:c r="L212" s="22"/>
      <x:c r="N212" s="24"/>
      <x:c r="O212" t="str">
        <x:f>IF(OR(D212="",G212=""),"",G212-D212)</x:f>
      </x:c>
    </x:row>
    <x:row r="213">
      <x:c r="D213" s="22"/>
      <x:c r="E213" s="22"/>
      <x:c r="F213" s="22"/>
      <x:c r="G213" s="22"/>
      <x:c r="L213" s="22"/>
      <x:c r="N213" s="24"/>
      <x:c r="O213" t="str">
        <x:f>IF(OR(D213="",G213=""),"",G213-D213)</x:f>
      </x:c>
    </x:row>
    <x:row r="214">
      <x:c r="D214" s="22"/>
      <x:c r="E214" s="22"/>
      <x:c r="F214" s="22"/>
      <x:c r="G214" s="22"/>
      <x:c r="L214" s="22"/>
      <x:c r="N214" s="24"/>
      <x:c r="O214" t="str">
        <x:f>IF(OR(D214="",G214=""),"",G214-D214)</x:f>
      </x:c>
    </x:row>
    <x:row r="215">
      <x:c r="D215" s="22"/>
      <x:c r="E215" s="22"/>
      <x:c r="F215" s="22"/>
      <x:c r="G215" s="22"/>
      <x:c r="L215" s="22"/>
      <x:c r="N215" s="24"/>
      <x:c r="O215" t="str">
        <x:f>IF(OR(D215="",G215=""),"",G215-D215)</x:f>
      </x:c>
    </x:row>
    <x:row r="216">
      <x:c r="D216" s="22"/>
      <x:c r="E216" s="22"/>
      <x:c r="F216" s="22"/>
      <x:c r="G216" s="22"/>
      <x:c r="L216" s="22"/>
      <x:c r="N216" s="24"/>
      <x:c r="O216" t="str">
        <x:f>IF(OR(D216="",G216=""),"",G216-D216)</x:f>
      </x:c>
    </x:row>
    <x:row r="217">
      <x:c r="D217" s="22"/>
      <x:c r="E217" s="22"/>
      <x:c r="F217" s="22"/>
      <x:c r="G217" s="22"/>
      <x:c r="L217" s="22"/>
      <x:c r="N217" s="24"/>
      <x:c r="O217" t="str">
        <x:f>IF(OR(D217="",G217=""),"",G217-D217)</x:f>
      </x:c>
    </x:row>
    <x:row r="218">
      <x:c r="D218" s="22"/>
      <x:c r="E218" s="22"/>
      <x:c r="F218" s="22"/>
      <x:c r="G218" s="22"/>
      <x:c r="L218" s="22"/>
      <x:c r="N218" s="24"/>
      <x:c r="O218" t="str">
        <x:f>IF(OR(D218="",G218=""),"",G218-D218)</x:f>
      </x:c>
    </x:row>
    <x:row r="219">
      <x:c r="D219" s="22"/>
      <x:c r="E219" s="22"/>
      <x:c r="F219" s="22"/>
      <x:c r="G219" s="22"/>
      <x:c r="L219" s="22"/>
      <x:c r="N219" s="24"/>
      <x:c r="O219" t="str">
        <x:f>IF(OR(D219="",G219=""),"",G219-D219)</x:f>
      </x:c>
    </x:row>
    <x:row r="220">
      <x:c r="D220" s="22"/>
      <x:c r="E220" s="22"/>
      <x:c r="F220" s="22"/>
      <x:c r="G220" s="22"/>
      <x:c r="L220" s="22"/>
      <x:c r="N220" s="24"/>
      <x:c r="O220" t="str">
        <x:f>IF(OR(D220="",G220=""),"",G220-D220)</x:f>
      </x:c>
    </x:row>
    <x:row r="221">
      <x:c r="D221" s="22"/>
      <x:c r="E221" s="22"/>
      <x:c r="F221" s="22"/>
      <x:c r="G221" s="22"/>
      <x:c r="L221" s="22"/>
      <x:c r="N221" s="24"/>
      <x:c r="O221" t="str">
        <x:f>IF(OR(D221="",G221=""),"",G221-D221)</x:f>
      </x:c>
    </x:row>
    <x:row r="222">
      <x:c r="D222" s="22"/>
      <x:c r="E222" s="22"/>
      <x:c r="F222" s="22"/>
      <x:c r="G222" s="22"/>
      <x:c r="L222" s="22"/>
      <x:c r="N222" s="24"/>
      <x:c r="O222" t="str">
        <x:f>IF(OR(D222="",G222=""),"",G222-D222)</x:f>
      </x:c>
    </x:row>
    <x:row r="223">
      <x:c r="D223" s="22"/>
      <x:c r="E223" s="22"/>
      <x:c r="F223" s="22"/>
      <x:c r="G223" s="22"/>
      <x:c r="L223" s="22"/>
      <x:c r="N223" s="24"/>
      <x:c r="O223" t="str">
        <x:f>IF(OR(D223="",G223=""),"",G223-D223)</x:f>
      </x:c>
    </x:row>
    <x:row r="224">
      <x:c r="D224" s="22"/>
      <x:c r="E224" s="22"/>
      <x:c r="F224" s="22"/>
      <x:c r="G224" s="22"/>
      <x:c r="L224" s="22"/>
      <x:c r="N224" s="24"/>
      <x:c r="O224" t="str">
        <x:f>IF(OR(D224="",G224=""),"",G224-D224)</x:f>
      </x:c>
    </x:row>
    <x:row r="225">
      <x:c r="D225" s="22"/>
      <x:c r="E225" s="22"/>
      <x:c r="F225" s="22"/>
      <x:c r="G225" s="22"/>
      <x:c r="L225" s="22"/>
      <x:c r="N225" s="24"/>
      <x:c r="O225" t="str">
        <x:f>IF(OR(D225="",G225=""),"",G225-D225)</x:f>
      </x:c>
    </x:row>
    <x:row r="226">
      <x:c r="D226" s="22"/>
      <x:c r="E226" s="22"/>
      <x:c r="F226" s="22"/>
      <x:c r="G226" s="22"/>
      <x:c r="L226" s="22"/>
      <x:c r="N226" s="24"/>
      <x:c r="O226" t="str">
        <x:f>IF(OR(D226="",G226=""),"",G226-D226)</x:f>
      </x:c>
    </x:row>
    <x:row r="227">
      <x:c r="D227" s="22"/>
      <x:c r="E227" s="22"/>
      <x:c r="F227" s="22"/>
      <x:c r="G227" s="22"/>
      <x:c r="L227" s="22"/>
      <x:c r="N227" s="24"/>
      <x:c r="O227" t="str">
        <x:f>IF(OR(D227="",G227=""),"",G227-D227)</x:f>
      </x:c>
    </x:row>
    <x:row r="228">
      <x:c r="D228" s="22"/>
      <x:c r="E228" s="22"/>
      <x:c r="F228" s="22"/>
      <x:c r="G228" s="22"/>
      <x:c r="L228" s="22"/>
      <x:c r="N228" s="24"/>
      <x:c r="O228" t="str">
        <x:f>IF(OR(D228="",G228=""),"",G228-D228)</x:f>
      </x:c>
    </x:row>
    <x:row r="229">
      <x:c r="D229" s="22"/>
      <x:c r="E229" s="22"/>
      <x:c r="F229" s="22"/>
      <x:c r="G229" s="22"/>
      <x:c r="L229" s="22"/>
      <x:c r="N229" s="24"/>
      <x:c r="O229" t="str">
        <x:f>IF(OR(D229="",G229=""),"",G229-D229)</x:f>
      </x:c>
    </x:row>
    <x:row r="230">
      <x:c r="D230" s="22"/>
      <x:c r="E230" s="22"/>
      <x:c r="F230" s="22"/>
      <x:c r="G230" s="22"/>
      <x:c r="L230" s="22"/>
      <x:c r="N230" s="24"/>
      <x:c r="O230" t="str">
        <x:f>IF(OR(D230="",G230=""),"",G230-D230)</x:f>
      </x:c>
    </x:row>
    <x:row r="231">
      <x:c r="D231" s="22"/>
      <x:c r="E231" s="22"/>
      <x:c r="F231" s="22"/>
      <x:c r="G231" s="22"/>
      <x:c r="L231" s="22"/>
      <x:c r="N231" s="24"/>
      <x:c r="O231" t="str">
        <x:f>IF(OR(D231="",G231=""),"",G231-D231)</x:f>
      </x:c>
    </x:row>
    <x:row r="232">
      <x:c r="D232" s="22"/>
      <x:c r="E232" s="22"/>
      <x:c r="F232" s="22"/>
      <x:c r="G232" s="22"/>
      <x:c r="L232" s="22"/>
      <x:c r="N232" s="24"/>
      <x:c r="O232" t="str">
        <x:f>IF(OR(D232="",G232=""),"",G232-D232)</x:f>
      </x:c>
    </x:row>
    <x:row r="233">
      <x:c r="D233" s="22"/>
      <x:c r="E233" s="22"/>
      <x:c r="F233" s="22"/>
      <x:c r="G233" s="22"/>
      <x:c r="L233" s="22"/>
      <x:c r="N233" s="24"/>
      <x:c r="O233" t="str">
        <x:f>IF(OR(D233="",G233=""),"",G233-D233)</x:f>
      </x:c>
    </x:row>
    <x:row r="234">
      <x:c r="D234" s="22"/>
      <x:c r="E234" s="22"/>
      <x:c r="F234" s="22"/>
      <x:c r="G234" s="22"/>
      <x:c r="L234" s="22"/>
      <x:c r="N234" s="24"/>
      <x:c r="O234" t="str">
        <x:f>IF(OR(D234="",G234=""),"",G234-D234)</x:f>
      </x:c>
    </x:row>
    <x:row r="235">
      <x:c r="D235" s="22"/>
      <x:c r="E235" s="22"/>
      <x:c r="F235" s="22"/>
      <x:c r="G235" s="22"/>
      <x:c r="L235" s="22"/>
      <x:c r="N235" s="24"/>
      <x:c r="O235" t="str">
        <x:f>IF(OR(D235="",G235=""),"",G235-D235)</x:f>
      </x:c>
    </x:row>
    <x:row r="236">
      <x:c r="D236" s="22"/>
      <x:c r="E236" s="22"/>
      <x:c r="F236" s="22"/>
      <x:c r="G236" s="22"/>
      <x:c r="L236" s="22"/>
      <x:c r="N236" s="24"/>
      <x:c r="O236" t="str">
        <x:f>IF(OR(D236="",G236=""),"",G236-D236)</x:f>
      </x:c>
    </x:row>
    <x:row r="237">
      <x:c r="D237" s="22"/>
      <x:c r="E237" s="22"/>
      <x:c r="F237" s="22"/>
      <x:c r="G237" s="22"/>
      <x:c r="L237" s="22"/>
      <x:c r="N237" s="24"/>
      <x:c r="O237" t="str">
        <x:f>IF(OR(D237="",G237=""),"",G237-D237)</x:f>
      </x:c>
    </x:row>
    <x:row r="238">
      <x:c r="D238" s="22"/>
      <x:c r="E238" s="22"/>
      <x:c r="F238" s="22"/>
      <x:c r="G238" s="22"/>
      <x:c r="L238" s="22"/>
      <x:c r="N238" s="24"/>
      <x:c r="O238" t="str">
        <x:f>IF(OR(D238="",G238=""),"",G238-D238)</x:f>
      </x:c>
    </x:row>
    <x:row r="239">
      <x:c r="D239" s="22"/>
      <x:c r="E239" s="22"/>
      <x:c r="F239" s="22"/>
      <x:c r="G239" s="22"/>
      <x:c r="L239" s="22"/>
      <x:c r="N239" s="24"/>
      <x:c r="O239" t="str">
        <x:f>IF(OR(D239="",G239=""),"",G239-D239)</x:f>
      </x:c>
    </x:row>
    <x:row r="240">
      <x:c r="D240" s="22"/>
      <x:c r="E240" s="22"/>
      <x:c r="F240" s="22"/>
      <x:c r="G240" s="22"/>
      <x:c r="L240" s="22"/>
      <x:c r="N240" s="24"/>
      <x:c r="O240" t="str">
        <x:f>IF(OR(D240="",G240=""),"",G240-D240)</x:f>
      </x:c>
    </x:row>
    <x:row r="241">
      <x:c r="D241" s="22"/>
      <x:c r="E241" s="22"/>
      <x:c r="F241" s="22"/>
      <x:c r="G241" s="22"/>
      <x:c r="L241" s="22"/>
      <x:c r="N241" s="24"/>
      <x:c r="O241" t="str">
        <x:f>IF(OR(D241="",G241=""),"",G241-D241)</x:f>
      </x:c>
    </x:row>
    <x:row r="242">
      <x:c r="D242" s="22"/>
      <x:c r="E242" s="22"/>
      <x:c r="F242" s="22"/>
      <x:c r="G242" s="22"/>
      <x:c r="L242" s="22"/>
      <x:c r="N242" s="24"/>
      <x:c r="O242" t="str">
        <x:f>IF(OR(D242="",G242=""),"",G242-D242)</x:f>
      </x:c>
    </x:row>
    <x:row r="243">
      <x:c r="D243" s="22"/>
      <x:c r="E243" s="22"/>
      <x:c r="F243" s="22"/>
      <x:c r="G243" s="22"/>
      <x:c r="L243" s="22"/>
      <x:c r="N243" s="24"/>
      <x:c r="O243" t="str">
        <x:f>IF(OR(D243="",G243=""),"",G243-D243)</x:f>
      </x:c>
    </x:row>
    <x:row r="244">
      <x:c r="D244" s="22"/>
      <x:c r="E244" s="22"/>
      <x:c r="F244" s="22"/>
      <x:c r="G244" s="22"/>
      <x:c r="L244" s="22"/>
      <x:c r="N244" s="24"/>
      <x:c r="O244" t="str">
        <x:f>IF(OR(D244="",G244=""),"",G244-D244)</x:f>
      </x:c>
    </x:row>
    <x:row r="245">
      <x:c r="D245" s="22"/>
      <x:c r="E245" s="22"/>
      <x:c r="F245" s="22"/>
      <x:c r="G245" s="22"/>
      <x:c r="L245" s="22"/>
      <x:c r="N245" s="24"/>
      <x:c r="O245" t="str">
        <x:f>IF(OR(D245="",G245=""),"",G245-D245)</x:f>
      </x:c>
    </x:row>
    <x:row r="246">
      <x:c r="D246" s="22"/>
      <x:c r="E246" s="22"/>
      <x:c r="F246" s="22"/>
      <x:c r="G246" s="22"/>
      <x:c r="L246" s="22"/>
      <x:c r="N246" s="24"/>
      <x:c r="O246" t="str">
        <x:f>IF(OR(D246="",G246=""),"",G246-D246)</x:f>
      </x:c>
    </x:row>
    <x:row r="247">
      <x:c r="D247" s="22"/>
      <x:c r="E247" s="22"/>
      <x:c r="F247" s="22"/>
      <x:c r="G247" s="22"/>
      <x:c r="L247" s="22"/>
      <x:c r="N247" s="24"/>
      <x:c r="O247" t="str">
        <x:f>IF(OR(D247="",G247=""),"",G247-D247)</x:f>
      </x:c>
    </x:row>
    <x:row r="248">
      <x:c r="D248" s="22"/>
      <x:c r="E248" s="22"/>
      <x:c r="F248" s="22"/>
      <x:c r="G248" s="22"/>
      <x:c r="L248" s="22"/>
      <x:c r="N248" s="24"/>
      <x:c r="O248" t="str">
        <x:f>IF(OR(D248="",G248=""),"",G248-D248)</x:f>
      </x:c>
    </x:row>
    <x:row r="249">
      <x:c r="D249" s="22"/>
      <x:c r="E249" s="22"/>
      <x:c r="F249" s="22"/>
      <x:c r="G249" s="22"/>
      <x:c r="L249" s="22"/>
      <x:c r="N249" s="24"/>
      <x:c r="O249" t="str">
        <x:f>IF(OR(D249="",G249=""),"",G249-D249)</x:f>
      </x:c>
    </x:row>
    <x:row r="250">
      <x:c r="D250" s="22"/>
      <x:c r="E250" s="22"/>
      <x:c r="F250" s="22"/>
      <x:c r="G250" s="22"/>
      <x:c r="L250" s="22"/>
      <x:c r="N250" s="24"/>
      <x:c r="O250" t="str">
        <x:f>IF(OR(D250="",G250=""),"",G250-D250)</x:f>
      </x:c>
    </x:row>
    <x:row r="251">
      <x:c r="D251" s="22"/>
      <x:c r="E251" s="22"/>
      <x:c r="F251" s="22"/>
      <x:c r="G251" s="22"/>
      <x:c r="L251" s="22"/>
      <x:c r="N251" s="24"/>
      <x:c r="O251" t="str">
        <x:f>IF(OR(D251="",G251=""),"",G251-D251)</x:f>
      </x:c>
    </x:row>
    <x:row r="252">
      <x:c r="D252" s="22"/>
      <x:c r="E252" s="22"/>
      <x:c r="F252" s="22"/>
      <x:c r="G252" s="22"/>
      <x:c r="L252" s="22"/>
      <x:c r="N252" s="24"/>
      <x:c r="O252" t="str">
        <x:f>IF(OR(D252="",G252=""),"",G252-D252)</x:f>
      </x:c>
    </x:row>
    <x:row r="253">
      <x:c r="D253" s="22"/>
      <x:c r="E253" s="22"/>
      <x:c r="F253" s="22"/>
      <x:c r="G253" s="22"/>
      <x:c r="L253" s="22"/>
      <x:c r="N253" s="24"/>
      <x:c r="O253" t="str">
        <x:f>IF(OR(D253="",G253=""),"",G253-D253)</x:f>
      </x:c>
    </x:row>
    <x:row r="254">
      <x:c r="D254" s="22"/>
      <x:c r="E254" s="22"/>
      <x:c r="F254" s="22"/>
      <x:c r="G254" s="22"/>
      <x:c r="L254" s="22"/>
      <x:c r="N254" s="24"/>
      <x:c r="O254" t="str">
        <x:f>IF(OR(D254="",G254=""),"",G254-D254)</x:f>
      </x:c>
    </x:row>
    <x:row r="255">
      <x:c r="D255" s="22"/>
      <x:c r="E255" s="22"/>
      <x:c r="F255" s="22"/>
      <x:c r="G255" s="22"/>
      <x:c r="L255" s="22"/>
      <x:c r="N255" s="24"/>
      <x:c r="O255" t="str">
        <x:f>IF(OR(D255="",G255=""),"",G255-D255)</x:f>
      </x:c>
    </x:row>
    <x:row r="256">
      <x:c r="D256" s="22"/>
      <x:c r="E256" s="22"/>
      <x:c r="F256" s="22"/>
      <x:c r="G256" s="22"/>
      <x:c r="L256" s="22"/>
      <x:c r="N256" s="24"/>
      <x:c r="O256" t="str">
        <x:f>IF(OR(D256="",G256=""),"",G256-D256)</x:f>
      </x:c>
    </x:row>
    <x:row r="257">
      <x:c r="D257" s="22"/>
      <x:c r="E257" s="22"/>
      <x:c r="F257" s="22"/>
      <x:c r="G257" s="22"/>
      <x:c r="L257" s="22"/>
      <x:c r="N257" s="24"/>
      <x:c r="O257" t="str">
        <x:f>IF(OR(D257="",G257=""),"",G257-D257)</x:f>
      </x:c>
    </x:row>
    <x:row r="258">
      <x:c r="D258" s="22"/>
      <x:c r="E258" s="22"/>
      <x:c r="F258" s="22"/>
      <x:c r="G258" s="22"/>
      <x:c r="L258" s="22"/>
      <x:c r="N258" s="24"/>
      <x:c r="O258" t="str">
        <x:f>IF(OR(D258="",G258=""),"",G258-D258)</x:f>
      </x:c>
    </x:row>
    <x:row r="259">
      <x:c r="D259" s="22"/>
      <x:c r="E259" s="22"/>
      <x:c r="F259" s="22"/>
      <x:c r="G259" s="22"/>
      <x:c r="L259" s="22"/>
      <x:c r="N259" s="24"/>
      <x:c r="O259" t="str">
        <x:f>IF(OR(D259="",G259=""),"",G259-D259)</x:f>
      </x:c>
    </x:row>
    <x:row r="260">
      <x:c r="D260" s="22"/>
      <x:c r="E260" s="22"/>
      <x:c r="F260" s="22"/>
      <x:c r="G260" s="22"/>
      <x:c r="L260" s="22"/>
      <x:c r="N260" s="24"/>
      <x:c r="O260" t="str">
        <x:f>IF(OR(D260="",G260=""),"",G260-D260)</x:f>
      </x:c>
    </x:row>
    <x:row r="261">
      <x:c r="D261" s="22"/>
      <x:c r="E261" s="22"/>
      <x:c r="F261" s="22"/>
      <x:c r="G261" s="22"/>
      <x:c r="L261" s="22"/>
      <x:c r="N261" s="24"/>
      <x:c r="O261" t="str">
        <x:f>IF(OR(D261="",G261=""),"",G261-D261)</x:f>
      </x:c>
    </x:row>
    <x:row r="262">
      <x:c r="D262" s="22"/>
      <x:c r="E262" s="22"/>
      <x:c r="F262" s="22"/>
      <x:c r="G262" s="22"/>
      <x:c r="L262" s="22"/>
      <x:c r="N262" s="24"/>
      <x:c r="O262" t="str">
        <x:f>IF(OR(D262="",G262=""),"",G262-D262)</x:f>
      </x:c>
    </x:row>
    <x:row r="263">
      <x:c r="D263" s="22"/>
      <x:c r="E263" s="22"/>
      <x:c r="F263" s="22"/>
      <x:c r="G263" s="22"/>
      <x:c r="L263" s="22"/>
      <x:c r="N263" s="24"/>
      <x:c r="O263" t="str">
        <x:f>IF(OR(D263="",G263=""),"",G263-D263)</x:f>
      </x:c>
    </x:row>
    <x:row r="264">
      <x:c r="D264" s="22"/>
      <x:c r="E264" s="22"/>
      <x:c r="F264" s="22"/>
      <x:c r="G264" s="22"/>
      <x:c r="L264" s="22"/>
      <x:c r="N264" s="24"/>
      <x:c r="O264" t="str">
        <x:f>IF(OR(D264="",G264=""),"",G264-D264)</x:f>
      </x:c>
    </x:row>
    <x:row r="265">
      <x:c r="D265" s="22"/>
      <x:c r="E265" s="22"/>
      <x:c r="F265" s="22"/>
      <x:c r="G265" s="22"/>
      <x:c r="L265" s="22"/>
      <x:c r="N265" s="24"/>
      <x:c r="O265" t="str">
        <x:f>IF(OR(D265="",G265=""),"",G265-D265)</x:f>
      </x:c>
    </x:row>
    <x:row r="266">
      <x:c r="D266" s="22"/>
      <x:c r="E266" s="22"/>
      <x:c r="F266" s="22"/>
      <x:c r="G266" s="22"/>
      <x:c r="L266" s="22"/>
      <x:c r="N266" s="24"/>
      <x:c r="O266" t="str">
        <x:f>IF(OR(D266="",G266=""),"",G266-D266)</x:f>
      </x:c>
    </x:row>
    <x:row r="267">
      <x:c r="D267" s="22"/>
      <x:c r="E267" s="22"/>
      <x:c r="F267" s="22"/>
      <x:c r="G267" s="22"/>
      <x:c r="L267" s="22"/>
      <x:c r="N267" s="24"/>
      <x:c r="O267" t="str">
        <x:f>IF(OR(D267="",G267=""),"",G267-D267)</x:f>
      </x:c>
    </x:row>
    <x:row r="268">
      <x:c r="D268" s="22"/>
      <x:c r="E268" s="22"/>
      <x:c r="F268" s="22"/>
      <x:c r="G268" s="22"/>
      <x:c r="L268" s="22"/>
      <x:c r="N268" s="24"/>
      <x:c r="O268" t="str">
        <x:f>IF(OR(D268="",G268=""),"",G268-D268)</x:f>
      </x:c>
    </x:row>
    <x:row r="269">
      <x:c r="D269" s="22"/>
      <x:c r="E269" s="22"/>
      <x:c r="F269" s="22"/>
      <x:c r="G269" s="22"/>
      <x:c r="L269" s="22"/>
      <x:c r="N269" s="24"/>
      <x:c r="O269" t="str">
        <x:f>IF(OR(D269="",G269=""),"",G269-D269)</x:f>
      </x:c>
    </x:row>
    <x:row r="270">
      <x:c r="D270" s="22"/>
      <x:c r="E270" s="22"/>
      <x:c r="F270" s="22"/>
      <x:c r="G270" s="22"/>
      <x:c r="L270" s="22"/>
      <x:c r="N270" s="24"/>
      <x:c r="O270" t="str">
        <x:f>IF(OR(D270="",G270=""),"",G270-D270)</x:f>
      </x:c>
    </x:row>
    <x:row r="271">
      <x:c r="D271" s="22"/>
      <x:c r="E271" s="22"/>
      <x:c r="F271" s="22"/>
      <x:c r="G271" s="22"/>
      <x:c r="L271" s="22"/>
      <x:c r="N271" s="24"/>
      <x:c r="O271" t="str">
        <x:f>IF(OR(D271="",G271=""),"",G271-D271)</x:f>
      </x:c>
    </x:row>
    <x:row r="272">
      <x:c r="D272" s="22"/>
      <x:c r="E272" s="22"/>
      <x:c r="F272" s="22"/>
      <x:c r="G272" s="22"/>
      <x:c r="L272" s="22"/>
      <x:c r="N272" s="24"/>
      <x:c r="O272" t="str">
        <x:f>IF(OR(D272="",G272=""),"",G272-D272)</x:f>
      </x:c>
    </x:row>
    <x:row r="273">
      <x:c r="D273" s="22"/>
      <x:c r="E273" s="22"/>
      <x:c r="F273" s="22"/>
      <x:c r="G273" s="22"/>
      <x:c r="L273" s="22"/>
      <x:c r="N273" s="24"/>
      <x:c r="O273" t="str">
        <x:f>IF(OR(D273="",G273=""),"",G273-D273)</x:f>
      </x:c>
    </x:row>
    <x:row r="274">
      <x:c r="D274" s="22"/>
      <x:c r="E274" s="22"/>
      <x:c r="F274" s="22"/>
      <x:c r="G274" s="22"/>
      <x:c r="L274" s="22"/>
      <x:c r="N274" s="24"/>
      <x:c r="O274" t="str">
        <x:f>IF(OR(D274="",G274=""),"",G274-D274)</x:f>
      </x:c>
    </x:row>
    <x:row r="275">
      <x:c r="D275" s="22"/>
      <x:c r="E275" s="22"/>
      <x:c r="F275" s="22"/>
      <x:c r="G275" s="22"/>
      <x:c r="L275" s="22"/>
      <x:c r="N275" s="24"/>
      <x:c r="O275" t="str">
        <x:f>IF(OR(D275="",G275=""),"",G275-D275)</x:f>
      </x:c>
    </x:row>
    <x:row r="276">
      <x:c r="D276" s="22"/>
      <x:c r="E276" s="22"/>
      <x:c r="F276" s="22"/>
      <x:c r="G276" s="22"/>
      <x:c r="L276" s="22"/>
      <x:c r="N276" s="24"/>
      <x:c r="O276" t="str">
        <x:f>IF(OR(D276="",G276=""),"",G276-D276)</x:f>
      </x:c>
    </x:row>
    <x:row r="277">
      <x:c r="D277" s="22"/>
      <x:c r="E277" s="22"/>
      <x:c r="F277" s="22"/>
      <x:c r="G277" s="22"/>
      <x:c r="L277" s="22"/>
      <x:c r="N277" s="24"/>
      <x:c r="O277" t="str">
        <x:f>IF(OR(D277="",G277=""),"",G277-D277)</x:f>
      </x:c>
    </x:row>
    <x:row r="278">
      <x:c r="D278" s="22"/>
      <x:c r="E278" s="22"/>
      <x:c r="F278" s="22"/>
      <x:c r="G278" s="22"/>
      <x:c r="L278" s="22"/>
      <x:c r="N278" s="24"/>
      <x:c r="O278" t="str">
        <x:f>IF(OR(D278="",G278=""),"",G278-D278)</x:f>
      </x:c>
    </x:row>
    <x:row r="279">
      <x:c r="D279" s="22"/>
      <x:c r="E279" s="22"/>
      <x:c r="F279" s="22"/>
      <x:c r="G279" s="22"/>
      <x:c r="L279" s="22"/>
      <x:c r="N279" s="24"/>
      <x:c r="O279" t="str">
        <x:f>IF(OR(D279="",G279=""),"",G279-D279)</x:f>
      </x:c>
    </x:row>
    <x:row r="280">
      <x:c r="D280" s="22"/>
      <x:c r="E280" s="22"/>
      <x:c r="F280" s="22"/>
      <x:c r="G280" s="22"/>
      <x:c r="L280" s="22"/>
      <x:c r="N280" s="24"/>
      <x:c r="O280" t="str">
        <x:f>IF(OR(D280="",G280=""),"",G280-D280)</x:f>
      </x:c>
    </x:row>
    <x:row r="281">
      <x:c r="D281" s="22"/>
      <x:c r="E281" s="22"/>
      <x:c r="F281" s="22"/>
      <x:c r="G281" s="22"/>
      <x:c r="L281" s="22"/>
      <x:c r="N281" s="24"/>
      <x:c r="O281" t="str">
        <x:f>IF(OR(D281="",G281=""),"",G281-D281)</x:f>
      </x:c>
    </x:row>
    <x:row r="282">
      <x:c r="D282" s="22"/>
      <x:c r="E282" s="22"/>
      <x:c r="F282" s="22"/>
      <x:c r="G282" s="22"/>
      <x:c r="L282" s="22"/>
      <x:c r="N282" s="24"/>
      <x:c r="O282" t="str">
        <x:f>IF(OR(D282="",G282=""),"",G282-D282)</x:f>
      </x:c>
    </x:row>
    <x:row r="283">
      <x:c r="D283" s="22"/>
      <x:c r="E283" s="22"/>
      <x:c r="F283" s="22"/>
      <x:c r="G283" s="22"/>
      <x:c r="L283" s="22"/>
      <x:c r="N283" s="24"/>
      <x:c r="O283" t="str">
        <x:f>IF(OR(D283="",G283=""),"",G283-D283)</x:f>
      </x:c>
    </x:row>
    <x:row r="284">
      <x:c r="D284" s="22"/>
      <x:c r="E284" s="22"/>
      <x:c r="F284" s="22"/>
      <x:c r="G284" s="22"/>
      <x:c r="L284" s="22"/>
      <x:c r="N284" s="24"/>
      <x:c r="O284" t="str">
        <x:f>IF(OR(D284="",G284=""),"",G284-D284)</x:f>
      </x:c>
    </x:row>
    <x:row r="285">
      <x:c r="D285" s="22"/>
      <x:c r="E285" s="22"/>
      <x:c r="F285" s="22"/>
      <x:c r="G285" s="22"/>
      <x:c r="L285" s="22"/>
      <x:c r="N285" s="24"/>
      <x:c r="O285" t="str">
        <x:f>IF(OR(D285="",G285=""),"",G285-D285)</x:f>
      </x:c>
    </x:row>
    <x:row r="286">
      <x:c r="D286" s="22"/>
      <x:c r="E286" s="22"/>
      <x:c r="F286" s="22"/>
      <x:c r="G286" s="22"/>
      <x:c r="L286" s="22"/>
      <x:c r="N286" s="24"/>
      <x:c r="O286" t="str">
        <x:f>IF(OR(D286="",G286=""),"",G286-D286)</x:f>
      </x:c>
    </x:row>
    <x:row r="287">
      <x:c r="D287" s="22"/>
      <x:c r="E287" s="22"/>
      <x:c r="F287" s="22"/>
      <x:c r="G287" s="22"/>
      <x:c r="L287" s="22"/>
      <x:c r="N287" s="24"/>
      <x:c r="O287" t="str">
        <x:f>IF(OR(D287="",G287=""),"",G287-D287)</x:f>
      </x:c>
    </x:row>
    <x:row r="288">
      <x:c r="D288" s="22"/>
      <x:c r="E288" s="22"/>
      <x:c r="F288" s="22"/>
      <x:c r="G288" s="22"/>
      <x:c r="L288" s="22"/>
      <x:c r="N288" s="24"/>
      <x:c r="O288" t="str">
        <x:f>IF(OR(D288="",G288=""),"",G288-D288)</x:f>
      </x:c>
    </x:row>
    <x:row r="289">
      <x:c r="D289" s="22"/>
      <x:c r="E289" s="22"/>
      <x:c r="F289" s="22"/>
      <x:c r="G289" s="22"/>
      <x:c r="L289" s="22"/>
      <x:c r="N289" s="24"/>
      <x:c r="O289" t="str">
        <x:f>IF(OR(D289="",G289=""),"",G289-D289)</x:f>
      </x:c>
    </x:row>
    <x:row r="290">
      <x:c r="D290" s="22"/>
      <x:c r="E290" s="22"/>
      <x:c r="F290" s="22"/>
      <x:c r="G290" s="22"/>
      <x:c r="L290" s="22"/>
      <x:c r="N290" s="24"/>
      <x:c r="O290" t="str">
        <x:f>IF(OR(D290="",G290=""),"",G290-D290)</x:f>
      </x:c>
    </x:row>
    <x:row r="291">
      <x:c r="D291" s="22"/>
      <x:c r="E291" s="22"/>
      <x:c r="F291" s="22"/>
      <x:c r="G291" s="22"/>
      <x:c r="L291" s="22"/>
      <x:c r="N291" s="24"/>
      <x:c r="O291" t="str">
        <x:f>IF(OR(D291="",G291=""),"",G291-D291)</x:f>
      </x:c>
    </x:row>
    <x:row r="292">
      <x:c r="D292" s="22"/>
      <x:c r="E292" s="22"/>
      <x:c r="F292" s="22"/>
      <x:c r="G292" s="22"/>
      <x:c r="L292" s="22"/>
      <x:c r="N292" s="24"/>
      <x:c r="O292" t="str">
        <x:f>IF(OR(D292="",G292=""),"",G292-D292)</x:f>
      </x:c>
    </x:row>
    <x:row r="293">
      <x:c r="D293" s="22"/>
      <x:c r="E293" s="22"/>
      <x:c r="F293" s="22"/>
      <x:c r="G293" s="22"/>
      <x:c r="L293" s="22"/>
      <x:c r="N293" s="24"/>
      <x:c r="O293" t="str">
        <x:f>IF(OR(D293="",G293=""),"",G293-D293)</x:f>
      </x:c>
    </x:row>
    <x:row r="294">
      <x:c r="D294" s="22"/>
      <x:c r="E294" s="22"/>
      <x:c r="F294" s="22"/>
      <x:c r="G294" s="22"/>
      <x:c r="L294" s="22"/>
      <x:c r="N294" s="24"/>
      <x:c r="O294" t="str">
        <x:f>IF(OR(D294="",G294=""),"",G294-D294)</x:f>
      </x:c>
    </x:row>
    <x:row r="295">
      <x:c r="D295" s="22"/>
      <x:c r="E295" s="22"/>
      <x:c r="F295" s="22"/>
      <x:c r="G295" s="22"/>
      <x:c r="L295" s="22"/>
      <x:c r="N295" s="24"/>
      <x:c r="O295" t="str">
        <x:f>IF(OR(D295="",G295=""),"",G295-D295)</x:f>
      </x:c>
    </x:row>
    <x:row r="296">
      <x:c r="D296" s="22"/>
      <x:c r="E296" s="22"/>
      <x:c r="F296" s="22"/>
      <x:c r="G296" s="22"/>
      <x:c r="L296" s="22"/>
      <x:c r="N296" s="24"/>
      <x:c r="O296" t="str">
        <x:f>IF(OR(D296="",G296=""),"",G296-D296)</x:f>
      </x:c>
    </x:row>
    <x:row r="297">
      <x:c r="D297" s="22"/>
      <x:c r="E297" s="22"/>
      <x:c r="F297" s="22"/>
      <x:c r="G297" s="22"/>
      <x:c r="L297" s="22"/>
      <x:c r="N297" s="24"/>
      <x:c r="O297" t="str">
        <x:f>IF(OR(D297="",G297=""),"",G297-D297)</x:f>
      </x:c>
    </x:row>
    <x:row r="298">
      <x:c r="D298" s="22"/>
      <x:c r="E298" s="22"/>
      <x:c r="F298" s="22"/>
      <x:c r="G298" s="22"/>
      <x:c r="L298" s="22"/>
      <x:c r="N298" s="24"/>
      <x:c r="O298" t="str">
        <x:f>IF(OR(D298="",G298=""),"",G298-D298)</x:f>
      </x:c>
    </x:row>
    <x:row r="299">
      <x:c r="D299" s="22"/>
      <x:c r="E299" s="22"/>
      <x:c r="F299" s="22"/>
      <x:c r="G299" s="22"/>
      <x:c r="L299" s="22"/>
      <x:c r="N299" s="24"/>
      <x:c r="O299" t="str">
        <x:f>IF(OR(D299="",G299=""),"",G299-D299)</x:f>
      </x:c>
    </x:row>
    <x:row r="300">
      <x:c r="D300" s="22"/>
      <x:c r="E300" s="22"/>
      <x:c r="F300" s="22"/>
      <x:c r="G300" s="22"/>
      <x:c r="L300" s="22"/>
      <x:c r="N300" s="24"/>
      <x:c r="O300" t="str">
        <x:f>IF(OR(D300="",G300=""),"",G300-D300)</x:f>
      </x:c>
    </x:row>
    <x:row r="301">
      <x:c r="D301" s="22"/>
      <x:c r="E301" s="22"/>
      <x:c r="F301" s="22"/>
      <x:c r="G301" s="22"/>
      <x:c r="L301" s="22"/>
      <x:c r="N301" s="24"/>
      <x:c r="O301" t="str">
        <x:f>IF(OR(D301="",G301=""),"",G301-D301)</x:f>
      </x:c>
    </x:row>
    <x:row r="302">
      <x:c r="D302" s="22"/>
      <x:c r="E302" s="22"/>
      <x:c r="F302" s="22"/>
      <x:c r="G302" s="22"/>
      <x:c r="L302" s="22"/>
      <x:c r="N302" s="24"/>
      <x:c r="O302" t="str">
        <x:f>IF(OR(D302="",G302=""),"",G302-D302)</x:f>
      </x:c>
    </x:row>
    <x:row r="303">
      <x:c r="D303" s="22"/>
      <x:c r="E303" s="22"/>
      <x:c r="F303" s="22"/>
      <x:c r="G303" s="22"/>
      <x:c r="L303" s="22"/>
      <x:c r="N303" s="24"/>
      <x:c r="O303" t="str">
        <x:f>IF(OR(D303="",G303=""),"",G303-D303)</x:f>
      </x:c>
    </x:row>
    <x:row r="304">
      <x:c r="D304" s="22"/>
      <x:c r="E304" s="22"/>
      <x:c r="F304" s="22"/>
      <x:c r="G304" s="22"/>
      <x:c r="L304" s="22"/>
      <x:c r="N304" s="24"/>
      <x:c r="O304" t="str">
        <x:f>IF(OR(D304="",G304=""),"",G304-D304)</x:f>
      </x:c>
    </x:row>
    <x:row r="305">
      <x:c r="D305" s="22"/>
      <x:c r="E305" s="22"/>
      <x:c r="F305" s="22"/>
      <x:c r="G305" s="22"/>
      <x:c r="L305" s="22"/>
      <x:c r="N305" s="24"/>
      <x:c r="O305" t="str">
        <x:f>IF(OR(D305="",G305=""),"",G305-D305)</x:f>
      </x:c>
    </x:row>
    <x:row r="306">
      <x:c r="D306" s="22"/>
      <x:c r="E306" s="22"/>
      <x:c r="F306" s="22"/>
      <x:c r="G306" s="22"/>
      <x:c r="L306" s="22"/>
      <x:c r="N306" s="24"/>
      <x:c r="O306" t="str">
        <x:f>IF(OR(D306="",G306=""),"",G306-D306)</x:f>
      </x:c>
    </x:row>
    <x:row r="307">
      <x:c r="D307" s="22"/>
      <x:c r="E307" s="22"/>
      <x:c r="F307" s="22"/>
      <x:c r="G307" s="22"/>
      <x:c r="L307" s="22"/>
      <x:c r="N307" s="24"/>
      <x:c r="O307" t="str">
        <x:f>IF(OR(D307="",G307=""),"",G307-D307)</x:f>
      </x:c>
    </x:row>
    <x:row r="308">
      <x:c r="D308" s="22"/>
      <x:c r="E308" s="22"/>
      <x:c r="F308" s="22"/>
      <x:c r="G308" s="22"/>
      <x:c r="L308" s="22"/>
      <x:c r="N308" s="24"/>
      <x:c r="O308" t="str">
        <x:f>IF(OR(D308="",G308=""),"",G308-D308)</x:f>
      </x:c>
    </x:row>
    <x:row r="309">
      <x:c r="D309" s="22"/>
      <x:c r="E309" s="22"/>
      <x:c r="F309" s="22"/>
      <x:c r="G309" s="22"/>
      <x:c r="L309" s="22"/>
      <x:c r="N309" s="24"/>
      <x:c r="O309" t="str">
        <x:f>IF(OR(D309="",G309=""),"",G309-D309)</x:f>
      </x:c>
    </x:row>
    <x:row r="310">
      <x:c r="D310" s="22"/>
      <x:c r="E310" s="22"/>
      <x:c r="F310" s="22"/>
      <x:c r="G310" s="22"/>
      <x:c r="L310" s="22"/>
      <x:c r="N310" s="24"/>
      <x:c r="O310" t="str">
        <x:f>IF(OR(D310="",G310=""),"",G310-D310)</x:f>
      </x:c>
    </x:row>
    <x:row r="311">
      <x:c r="D311" s="22"/>
      <x:c r="E311" s="22"/>
      <x:c r="F311" s="22"/>
      <x:c r="G311" s="22"/>
      <x:c r="L311" s="22"/>
      <x:c r="N311" s="24"/>
      <x:c r="O311" t="str">
        <x:f>IF(OR(D311="",G311=""),"",G311-D311)</x:f>
      </x:c>
    </x:row>
    <x:row r="312">
      <x:c r="D312" s="22"/>
      <x:c r="E312" s="22"/>
      <x:c r="F312" s="22"/>
      <x:c r="G312" s="22"/>
      <x:c r="L312" s="22"/>
      <x:c r="N312" s="24"/>
      <x:c r="O312" t="str">
        <x:f>IF(OR(D312="",G312=""),"",G312-D312)</x:f>
      </x:c>
    </x:row>
    <x:row r="313">
      <x:c r="D313" s="22"/>
      <x:c r="E313" s="22"/>
      <x:c r="F313" s="22"/>
      <x:c r="G313" s="22"/>
      <x:c r="L313" s="22"/>
      <x:c r="N313" s="24"/>
      <x:c r="O313" t="str">
        <x:f>IF(OR(D313="",G313=""),"",G313-D313)</x:f>
      </x:c>
    </x:row>
    <x:row r="314">
      <x:c r="D314" s="22"/>
      <x:c r="E314" s="22"/>
      <x:c r="F314" s="22"/>
      <x:c r="G314" s="22"/>
      <x:c r="L314" s="22"/>
      <x:c r="N314" s="24"/>
      <x:c r="O314" t="str">
        <x:f>IF(OR(D314="",G314=""),"",G314-D314)</x:f>
      </x:c>
    </x:row>
    <x:row r="315">
      <x:c r="D315" s="22"/>
      <x:c r="E315" s="22"/>
      <x:c r="F315" s="22"/>
      <x:c r="G315" s="22"/>
      <x:c r="L315" s="22"/>
      <x:c r="N315" s="24"/>
      <x:c r="O315" t="str">
        <x:f>IF(OR(D315="",G315=""),"",G315-D315)</x:f>
      </x:c>
    </x:row>
    <x:row r="316">
      <x:c r="D316" s="22"/>
      <x:c r="E316" s="22"/>
      <x:c r="F316" s="22"/>
      <x:c r="G316" s="22"/>
      <x:c r="L316" s="22"/>
      <x:c r="N316" s="24"/>
      <x:c r="O316" t="str">
        <x:f>IF(OR(D316="",G316=""),"",G316-D316)</x:f>
      </x:c>
    </x:row>
    <x:row r="317">
      <x:c r="D317" s="22"/>
      <x:c r="E317" s="22"/>
      <x:c r="F317" s="22"/>
      <x:c r="G317" s="22"/>
      <x:c r="L317" s="22"/>
      <x:c r="N317" s="24"/>
      <x:c r="O317" t="str">
        <x:f>IF(OR(D317="",G317=""),"",G317-D317)</x:f>
      </x:c>
    </x:row>
    <x:row r="318">
      <x:c r="D318" s="22"/>
      <x:c r="E318" s="22"/>
      <x:c r="F318" s="22"/>
      <x:c r="G318" s="22"/>
      <x:c r="L318" s="22"/>
      <x:c r="N318" s="24"/>
      <x:c r="O318" t="str">
        <x:f>IF(OR(D318="",G318=""),"",G318-D318)</x:f>
      </x:c>
    </x:row>
    <x:row r="319">
      <x:c r="D319" s="22"/>
      <x:c r="E319" s="22"/>
      <x:c r="F319" s="22"/>
      <x:c r="G319" s="22"/>
      <x:c r="L319" s="22"/>
      <x:c r="N319" s="24"/>
      <x:c r="O319" t="str">
        <x:f>IF(OR(D319="",G319=""),"",G319-D319)</x:f>
      </x:c>
    </x:row>
    <x:row r="320">
      <x:c r="D320" s="22"/>
      <x:c r="E320" s="22"/>
      <x:c r="F320" s="22"/>
      <x:c r="G320" s="22"/>
      <x:c r="L320" s="22"/>
      <x:c r="N320" s="24"/>
      <x:c r="O320" t="str">
        <x:f>IF(OR(D320="",G320=""),"",G320-D320)</x:f>
      </x:c>
    </x:row>
    <x:row r="321">
      <x:c r="D321" s="22"/>
      <x:c r="E321" s="22"/>
      <x:c r="F321" s="22"/>
      <x:c r="G321" s="22"/>
      <x:c r="L321" s="22"/>
      <x:c r="N321" s="24"/>
      <x:c r="O321" t="str">
        <x:f>IF(OR(D321="",G321=""),"",G321-D321)</x:f>
      </x:c>
    </x:row>
    <x:row r="322">
      <x:c r="D322" s="22"/>
      <x:c r="E322" s="22"/>
      <x:c r="F322" s="22"/>
      <x:c r="G322" s="22"/>
      <x:c r="L322" s="22"/>
      <x:c r="N322" s="24"/>
      <x:c r="O322" t="str">
        <x:f>IF(OR(D322="",G322=""),"",G322-D322)</x:f>
      </x:c>
    </x:row>
    <x:row r="323">
      <x:c r="D323" s="22"/>
      <x:c r="E323" s="22"/>
      <x:c r="F323" s="22"/>
      <x:c r="G323" s="22"/>
      <x:c r="L323" s="22"/>
      <x:c r="N323" s="24"/>
      <x:c r="O323" t="str">
        <x:f>IF(OR(D323="",G323=""),"",G323-D323)</x:f>
      </x:c>
    </x:row>
    <x:row r="324">
      <x:c r="D324" s="22"/>
      <x:c r="E324" s="22"/>
      <x:c r="F324" s="22"/>
      <x:c r="G324" s="22"/>
      <x:c r="L324" s="22"/>
      <x:c r="N324" s="24"/>
      <x:c r="O324" t="str">
        <x:f>IF(OR(D324="",G324=""),"",G324-D324)</x:f>
      </x:c>
    </x:row>
    <x:row r="325">
      <x:c r="D325" s="22"/>
      <x:c r="E325" s="22"/>
      <x:c r="F325" s="22"/>
      <x:c r="G325" s="22"/>
      <x:c r="L325" s="22"/>
      <x:c r="N325" s="24"/>
      <x:c r="O325" t="str">
        <x:f>IF(OR(D325="",G325=""),"",G325-D325)</x:f>
      </x:c>
    </x:row>
    <x:row r="326">
      <x:c r="D326" s="22"/>
      <x:c r="E326" s="22"/>
      <x:c r="F326" s="22"/>
      <x:c r="G326" s="22"/>
      <x:c r="L326" s="22"/>
      <x:c r="N326" s="24"/>
      <x:c r="O326" t="str">
        <x:f>IF(OR(D326="",G326=""),"",G326-D326)</x:f>
      </x:c>
    </x:row>
    <x:row r="327">
      <x:c r="D327" s="22"/>
      <x:c r="E327" s="22"/>
      <x:c r="F327" s="22"/>
      <x:c r="G327" s="22"/>
      <x:c r="L327" s="22"/>
      <x:c r="N327" s="24"/>
      <x:c r="O327" t="str">
        <x:f>IF(OR(D327="",G327=""),"",G327-D327)</x:f>
      </x:c>
    </x:row>
    <x:row r="328">
      <x:c r="D328" s="22"/>
      <x:c r="E328" s="22"/>
      <x:c r="F328" s="22"/>
      <x:c r="G328" s="22"/>
      <x:c r="L328" s="22"/>
      <x:c r="N328" s="24"/>
      <x:c r="O328" t="str">
        <x:f>IF(OR(D328="",G328=""),"",G328-D328)</x:f>
      </x:c>
    </x:row>
    <x:row r="329">
      <x:c r="D329" s="22"/>
      <x:c r="E329" s="22"/>
      <x:c r="F329" s="22"/>
      <x:c r="G329" s="22"/>
      <x:c r="L329" s="22"/>
      <x:c r="N329" s="24"/>
      <x:c r="O329" t="str">
        <x:f>IF(OR(D329="",G329=""),"",G329-D329)</x:f>
      </x:c>
    </x:row>
    <x:row r="330">
      <x:c r="D330" s="22"/>
      <x:c r="E330" s="22"/>
      <x:c r="F330" s="22"/>
      <x:c r="G330" s="22"/>
      <x:c r="L330" s="22"/>
      <x:c r="N330" s="24"/>
      <x:c r="O330" t="str">
        <x:f>IF(OR(D330="",G330=""),"",G330-D330)</x:f>
      </x:c>
    </x:row>
    <x:row r="331">
      <x:c r="D331" s="22"/>
      <x:c r="E331" s="22"/>
      <x:c r="F331" s="22"/>
      <x:c r="G331" s="22"/>
      <x:c r="L331" s="22"/>
      <x:c r="N331" s="24"/>
      <x:c r="O331" t="str">
        <x:f>IF(OR(D331="",G331=""),"",G331-D331)</x:f>
      </x:c>
    </x:row>
    <x:row r="332">
      <x:c r="D332" s="22"/>
      <x:c r="E332" s="22"/>
      <x:c r="F332" s="22"/>
      <x:c r="G332" s="22"/>
      <x:c r="L332" s="22"/>
      <x:c r="N332" s="24"/>
      <x:c r="O332" t="str">
        <x:f>IF(OR(D332="",G332=""),"",G332-D332)</x:f>
      </x:c>
    </x:row>
    <x:row r="333">
      <x:c r="D333" s="22"/>
      <x:c r="E333" s="22"/>
      <x:c r="F333" s="22"/>
      <x:c r="G333" s="22"/>
      <x:c r="L333" s="22"/>
      <x:c r="N333" s="24"/>
      <x:c r="O333" t="str">
        <x:f>IF(OR(D333="",G333=""),"",G333-D333)</x:f>
      </x:c>
    </x:row>
    <x:row r="334">
      <x:c r="D334" s="22"/>
      <x:c r="E334" s="22"/>
      <x:c r="F334" s="22"/>
      <x:c r="G334" s="22"/>
      <x:c r="L334" s="22"/>
      <x:c r="N334" s="24"/>
      <x:c r="O334" t="str">
        <x:f>IF(OR(D334="",G334=""),"",G334-D334)</x:f>
      </x:c>
    </x:row>
    <x:row r="335">
      <x:c r="D335" s="22"/>
      <x:c r="E335" s="22"/>
      <x:c r="F335" s="22"/>
      <x:c r="G335" s="22"/>
      <x:c r="L335" s="22"/>
      <x:c r="N335" s="24"/>
      <x:c r="O335" t="str">
        <x:f>IF(OR(D335="",G335=""),"",G335-D335)</x:f>
      </x:c>
    </x:row>
    <x:row r="336">
      <x:c r="D336" s="22"/>
      <x:c r="E336" s="22"/>
      <x:c r="F336" s="22"/>
      <x:c r="G336" s="22"/>
      <x:c r="L336" s="22"/>
      <x:c r="N336" s="24"/>
      <x:c r="O336" t="str">
        <x:f>IF(OR(D336="",G336=""),"",G336-D336)</x:f>
      </x:c>
    </x:row>
    <x:row r="337">
      <x:c r="D337" s="22"/>
      <x:c r="E337" s="22"/>
      <x:c r="F337" s="22"/>
      <x:c r="G337" s="22"/>
      <x:c r="L337" s="22"/>
      <x:c r="N337" s="24"/>
      <x:c r="O337" t="str">
        <x:f>IF(OR(D337="",G337=""),"",G337-D337)</x:f>
      </x:c>
    </x:row>
    <x:row r="338">
      <x:c r="D338" s="22"/>
      <x:c r="E338" s="22"/>
      <x:c r="F338" s="22"/>
      <x:c r="G338" s="22"/>
      <x:c r="L338" s="22"/>
      <x:c r="N338" s="24"/>
      <x:c r="O338" t="str">
        <x:f>IF(OR(D338="",G338=""),"",G338-D338)</x:f>
      </x:c>
    </x:row>
    <x:row r="339">
      <x:c r="D339" s="22"/>
      <x:c r="E339" s="22"/>
      <x:c r="F339" s="22"/>
      <x:c r="G339" s="22"/>
      <x:c r="L339" s="22"/>
      <x:c r="N339" s="24"/>
      <x:c r="O339" t="str">
        <x:f>IF(OR(D339="",G339=""),"",G339-D339)</x:f>
      </x:c>
    </x:row>
    <x:row r="340">
      <x:c r="D340" s="22"/>
      <x:c r="E340" s="22"/>
      <x:c r="F340" s="22"/>
      <x:c r="G340" s="22"/>
      <x:c r="L340" s="22"/>
      <x:c r="N340" s="24"/>
      <x:c r="O340" t="str">
        <x:f>IF(OR(D340="",G340=""),"",G340-D340)</x:f>
      </x:c>
    </x:row>
    <x:row r="341">
      <x:c r="D341" s="22"/>
      <x:c r="E341" s="22"/>
      <x:c r="F341" s="22"/>
      <x:c r="G341" s="22"/>
      <x:c r="L341" s="22"/>
      <x:c r="N341" s="24"/>
      <x:c r="O341" t="str">
        <x:f>IF(OR(D341="",G341=""),"",G341-D341)</x:f>
      </x:c>
    </x:row>
    <x:row r="342">
      <x:c r="D342" s="22"/>
      <x:c r="E342" s="22"/>
      <x:c r="F342" s="22"/>
      <x:c r="G342" s="22"/>
      <x:c r="L342" s="22"/>
      <x:c r="N342" s="24"/>
      <x:c r="O342" t="str">
        <x:f>IF(OR(D342="",G342=""),"",G342-D342)</x:f>
      </x:c>
    </x:row>
    <x:row r="343">
      <x:c r="D343" s="22"/>
      <x:c r="E343" s="22"/>
      <x:c r="F343" s="22"/>
      <x:c r="G343" s="22"/>
      <x:c r="L343" s="22"/>
      <x:c r="N343" s="24"/>
      <x:c r="O343" t="str">
        <x:f>IF(OR(D343="",G343=""),"",G343-D343)</x:f>
      </x:c>
    </x:row>
    <x:row r="344">
      <x:c r="D344" s="22"/>
      <x:c r="E344" s="22"/>
      <x:c r="F344" s="22"/>
      <x:c r="G344" s="22"/>
      <x:c r="L344" s="22"/>
      <x:c r="N344" s="24"/>
      <x:c r="O344" t="str">
        <x:f>IF(OR(D344="",G344=""),"",G344-D344)</x:f>
      </x:c>
    </x:row>
    <x:row r="345">
      <x:c r="D345" s="22"/>
      <x:c r="E345" s="22"/>
      <x:c r="F345" s="22"/>
      <x:c r="G345" s="22"/>
      <x:c r="L345" s="22"/>
      <x:c r="N345" s="24"/>
      <x:c r="O345" t="str">
        <x:f>IF(OR(D345="",G345=""),"",G345-D345)</x:f>
      </x:c>
    </x:row>
    <x:row r="346">
      <x:c r="D346" s="22"/>
      <x:c r="E346" s="22"/>
      <x:c r="F346" s="22"/>
      <x:c r="G346" s="22"/>
      <x:c r="L346" s="22"/>
      <x:c r="N346" s="24"/>
      <x:c r="O346" t="str">
        <x:f>IF(OR(D346="",G346=""),"",G346-D346)</x:f>
      </x:c>
    </x:row>
    <x:row r="347">
      <x:c r="D347" s="22"/>
      <x:c r="E347" s="22"/>
      <x:c r="F347" s="22"/>
      <x:c r="G347" s="22"/>
      <x:c r="L347" s="22"/>
      <x:c r="N347" s="24"/>
      <x:c r="O347" t="str">
        <x:f>IF(OR(D347="",G347=""),"",G347-D347)</x:f>
      </x:c>
    </x:row>
    <x:row r="348">
      <x:c r="D348" s="22"/>
      <x:c r="E348" s="22"/>
      <x:c r="F348" s="22"/>
      <x:c r="G348" s="22"/>
      <x:c r="L348" s="22"/>
      <x:c r="N348" s="24"/>
      <x:c r="O348" t="str">
        <x:f>IF(OR(D348="",G348=""),"",G348-D348)</x:f>
      </x:c>
    </x:row>
    <x:row r="349">
      <x:c r="D349" s="22"/>
      <x:c r="E349" s="22"/>
      <x:c r="F349" s="22"/>
      <x:c r="G349" s="22"/>
      <x:c r="L349" s="22"/>
      <x:c r="N349" s="24"/>
      <x:c r="O349" t="str">
        <x:f>IF(OR(D349="",G349=""),"",G349-D349)</x:f>
      </x:c>
    </x:row>
    <x:row r="350">
      <x:c r="D350" s="22"/>
      <x:c r="E350" s="22"/>
      <x:c r="F350" s="22"/>
      <x:c r="G350" s="22"/>
      <x:c r="L350" s="22"/>
      <x:c r="N350" s="24"/>
      <x:c r="O350" t="str">
        <x:f>IF(OR(D350="",G350=""),"",G350-D350)</x:f>
      </x:c>
    </x:row>
    <x:row r="351">
      <x:c r="D351" s="22"/>
      <x:c r="E351" s="22"/>
      <x:c r="F351" s="22"/>
      <x:c r="G351" s="22"/>
      <x:c r="L351" s="22"/>
      <x:c r="N351" s="24"/>
      <x:c r="O351" t="str">
        <x:f>IF(OR(D351="",G351=""),"",G351-D351)</x:f>
      </x:c>
    </x:row>
    <x:row r="352">
      <x:c r="D352" s="22"/>
      <x:c r="E352" s="22"/>
      <x:c r="F352" s="22"/>
      <x:c r="G352" s="22"/>
      <x:c r="L352" s="22"/>
      <x:c r="N352" s="24"/>
      <x:c r="O352" t="str">
        <x:f>IF(OR(D352="",G352=""),"",G352-D352)</x:f>
      </x:c>
    </x:row>
    <x:row r="353">
      <x:c r="D353" s="22"/>
      <x:c r="E353" s="22"/>
      <x:c r="F353" s="22"/>
      <x:c r="G353" s="22"/>
      <x:c r="L353" s="22"/>
      <x:c r="N353" s="24"/>
      <x:c r="O353" t="str">
        <x:f>IF(OR(D353="",G353=""),"",G353-D353)</x:f>
      </x:c>
    </x:row>
    <x:row r="354">
      <x:c r="D354" s="22"/>
      <x:c r="E354" s="22"/>
      <x:c r="F354" s="22"/>
      <x:c r="G354" s="22"/>
      <x:c r="L354" s="22"/>
      <x:c r="N354" s="24"/>
      <x:c r="O354" t="str">
        <x:f>IF(OR(D354="",G354=""),"",G354-D354)</x:f>
      </x:c>
    </x:row>
    <x:row r="355">
      <x:c r="D355" s="22"/>
      <x:c r="E355" s="22"/>
      <x:c r="F355" s="22"/>
      <x:c r="G355" s="22"/>
      <x:c r="L355" s="22"/>
      <x:c r="N355" s="24"/>
      <x:c r="O355" t="str">
        <x:f>IF(OR(D355="",G355=""),"",G355-D355)</x:f>
      </x:c>
    </x:row>
    <x:row r="356">
      <x:c r="D356" s="22"/>
      <x:c r="E356" s="22"/>
      <x:c r="F356" s="22"/>
      <x:c r="G356" s="22"/>
      <x:c r="L356" s="22"/>
      <x:c r="N356" s="24"/>
      <x:c r="O356" t="str">
        <x:f>IF(OR(D356="",G356=""),"",G356-D356)</x:f>
      </x:c>
    </x:row>
    <x:row r="357">
      <x:c r="D357" s="22"/>
      <x:c r="E357" s="22"/>
      <x:c r="F357" s="22"/>
      <x:c r="G357" s="22"/>
      <x:c r="L357" s="22"/>
      <x:c r="N357" s="24"/>
      <x:c r="O357" t="str">
        <x:f>IF(OR(D357="",G357=""),"",G357-D357)</x:f>
      </x:c>
    </x:row>
    <x:row r="358">
      <x:c r="D358" s="22"/>
      <x:c r="E358" s="22"/>
      <x:c r="F358" s="22"/>
      <x:c r="G358" s="22"/>
      <x:c r="L358" s="22"/>
      <x:c r="N358" s="24"/>
      <x:c r="O358" t="str">
        <x:f>IF(OR(D358="",G358=""),"",G358-D358)</x:f>
      </x:c>
    </x:row>
    <x:row r="359">
      <x:c r="D359" s="22"/>
      <x:c r="E359" s="22"/>
      <x:c r="F359" s="22"/>
      <x:c r="G359" s="22"/>
      <x:c r="L359" s="22"/>
      <x:c r="N359" s="24"/>
      <x:c r="O359" t="str">
        <x:f>IF(OR(D359="",G359=""),"",G359-D359)</x:f>
      </x:c>
    </x:row>
    <x:row r="360">
      <x:c r="D360" s="22"/>
      <x:c r="E360" s="22"/>
      <x:c r="F360" s="22"/>
      <x:c r="G360" s="22"/>
      <x:c r="L360" s="22"/>
      <x:c r="N360" s="24"/>
      <x:c r="O360" t="str">
        <x:f>IF(OR(D360="",G360=""),"",G360-D360)</x:f>
      </x:c>
    </x:row>
    <x:row r="361">
      <x:c r="D361" s="22"/>
      <x:c r="E361" s="22"/>
      <x:c r="F361" s="22"/>
      <x:c r="G361" s="22"/>
      <x:c r="L361" s="22"/>
      <x:c r="N361" s="24"/>
      <x:c r="O361" t="str">
        <x:f>IF(OR(D361="",G361=""),"",G361-D361)</x:f>
      </x:c>
    </x:row>
    <x:row r="362">
      <x:c r="D362" s="22"/>
      <x:c r="E362" s="22"/>
      <x:c r="F362" s="22"/>
      <x:c r="G362" s="22"/>
      <x:c r="L362" s="22"/>
      <x:c r="N362" s="24"/>
      <x:c r="O362" t="str">
        <x:f>IF(OR(D362="",G362=""),"",G362-D362)</x:f>
      </x:c>
    </x:row>
    <x:row r="363">
      <x:c r="D363" s="22"/>
      <x:c r="E363" s="22"/>
      <x:c r="F363" s="22"/>
      <x:c r="G363" s="22"/>
      <x:c r="L363" s="22"/>
      <x:c r="N363" s="24"/>
      <x:c r="O363" t="str">
        <x:f>IF(OR(D363="",G363=""),"",G363-D363)</x:f>
      </x:c>
    </x:row>
    <x:row r="364">
      <x:c r="D364" s="22"/>
      <x:c r="E364" s="22"/>
      <x:c r="F364" s="22"/>
      <x:c r="G364" s="22"/>
      <x:c r="L364" s="22"/>
      <x:c r="N364" s="24"/>
      <x:c r="O364" t="str">
        <x:f>IF(OR(D364="",G364=""),"",G364-D364)</x:f>
      </x:c>
    </x:row>
    <x:row r="365">
      <x:c r="D365" s="22"/>
      <x:c r="E365" s="22"/>
      <x:c r="F365" s="22"/>
      <x:c r="G365" s="22"/>
      <x:c r="L365" s="22"/>
      <x:c r="N365" s="24"/>
      <x:c r="O365" t="str">
        <x:f>IF(OR(D365="",G365=""),"",G365-D365)</x:f>
      </x:c>
    </x:row>
    <x:row r="366">
      <x:c r="D366" s="22"/>
      <x:c r="E366" s="22"/>
      <x:c r="F366" s="22"/>
      <x:c r="G366" s="22"/>
      <x:c r="L366" s="22"/>
      <x:c r="N366" s="24"/>
      <x:c r="O366" t="str">
        <x:f>IF(OR(D366="",G366=""),"",G366-D366)</x:f>
      </x:c>
    </x:row>
    <x:row r="367">
      <x:c r="D367" s="22"/>
      <x:c r="E367" s="22"/>
      <x:c r="F367" s="22"/>
      <x:c r="G367" s="22"/>
      <x:c r="L367" s="22"/>
      <x:c r="N367" s="24"/>
      <x:c r="O367" t="str">
        <x:f>IF(OR(D367="",G367=""),"",G367-D367)</x:f>
      </x:c>
    </x:row>
    <x:row r="368">
      <x:c r="D368" s="22"/>
      <x:c r="E368" s="22"/>
      <x:c r="F368" s="22"/>
      <x:c r="G368" s="22"/>
      <x:c r="L368" s="22"/>
      <x:c r="N368" s="24"/>
      <x:c r="O368" t="str">
        <x:f>IF(OR(D368="",G368=""),"",G368-D368)</x:f>
      </x:c>
    </x:row>
    <x:row r="369">
      <x:c r="D369" s="22"/>
      <x:c r="E369" s="22"/>
      <x:c r="F369" s="22"/>
      <x:c r="G369" s="22"/>
      <x:c r="L369" s="22"/>
      <x:c r="N369" s="24"/>
      <x:c r="O369" t="str">
        <x:f>IF(OR(D369="",G369=""),"",G369-D369)</x:f>
      </x:c>
    </x:row>
    <x:row r="370">
      <x:c r="D370" s="22"/>
      <x:c r="E370" s="22"/>
      <x:c r="F370" s="22"/>
      <x:c r="G370" s="22"/>
      <x:c r="L370" s="22"/>
      <x:c r="N370" s="24"/>
      <x:c r="O370" t="str">
        <x:f>IF(OR(D370="",G370=""),"",G370-D370)</x:f>
      </x:c>
    </x:row>
    <x:row r="371">
      <x:c r="D371" s="22"/>
      <x:c r="E371" s="22"/>
      <x:c r="F371" s="22"/>
      <x:c r="G371" s="22"/>
      <x:c r="L371" s="22"/>
      <x:c r="N371" s="24"/>
      <x:c r="O371" t="str">
        <x:f>IF(OR(D371="",G371=""),"",G371-D371)</x:f>
      </x:c>
    </x:row>
    <x:row r="372">
      <x:c r="D372" s="22"/>
      <x:c r="E372" s="22"/>
      <x:c r="F372" s="22"/>
      <x:c r="G372" s="22"/>
      <x:c r="L372" s="22"/>
      <x:c r="N372" s="24"/>
      <x:c r="O372" t="str">
        <x:f>IF(OR(D372="",G372=""),"",G372-D372)</x:f>
      </x:c>
    </x:row>
    <x:row r="373">
      <x:c r="D373" s="22"/>
      <x:c r="E373" s="22"/>
      <x:c r="F373" s="22"/>
      <x:c r="G373" s="22"/>
      <x:c r="L373" s="22"/>
      <x:c r="N373" s="24"/>
      <x:c r="O373" t="str">
        <x:f>IF(OR(D373="",G373=""),"",G373-D373)</x:f>
      </x:c>
    </x:row>
    <x:row r="374">
      <x:c r="D374" s="22"/>
      <x:c r="E374" s="22"/>
      <x:c r="F374" s="22"/>
      <x:c r="G374" s="22"/>
      <x:c r="L374" s="22"/>
      <x:c r="N374" s="24"/>
      <x:c r="O374" t="str">
        <x:f>IF(OR(D374="",G374=""),"",G374-D374)</x:f>
      </x:c>
    </x:row>
    <x:row r="375">
      <x:c r="D375" s="22"/>
      <x:c r="E375" s="22"/>
      <x:c r="F375" s="22"/>
      <x:c r="G375" s="22"/>
      <x:c r="L375" s="22"/>
      <x:c r="N375" s="24"/>
      <x:c r="O375" t="str">
        <x:f>IF(OR(D375="",G375=""),"",G375-D375)</x:f>
      </x:c>
    </x:row>
    <x:row r="376">
      <x:c r="D376" s="22"/>
      <x:c r="E376" s="22"/>
      <x:c r="F376" s="22"/>
      <x:c r="G376" s="22"/>
      <x:c r="L376" s="22"/>
      <x:c r="N376" s="24"/>
      <x:c r="O376" t="str">
        <x:f>IF(OR(D376="",G376=""),"",G376-D376)</x:f>
      </x:c>
    </x:row>
    <x:row r="377">
      <x:c r="D377" s="22"/>
      <x:c r="E377" s="22"/>
      <x:c r="F377" s="22"/>
      <x:c r="G377" s="22"/>
      <x:c r="L377" s="22"/>
      <x:c r="N377" s="24"/>
      <x:c r="O377" t="str">
        <x:f>IF(OR(D377="",G377=""),"",G377-D377)</x:f>
      </x:c>
    </x:row>
    <x:row r="378">
      <x:c r="D378" s="22"/>
      <x:c r="E378" s="22"/>
      <x:c r="F378" s="22"/>
      <x:c r="G378" s="22"/>
      <x:c r="L378" s="22"/>
      <x:c r="N378" s="24"/>
      <x:c r="O378" t="str">
        <x:f>IF(OR(D378="",G378=""),"",G378-D378)</x:f>
      </x:c>
    </x:row>
    <x:row r="379">
      <x:c r="D379" s="22"/>
      <x:c r="E379" s="22"/>
      <x:c r="F379" s="22"/>
      <x:c r="G379" s="22"/>
      <x:c r="L379" s="22"/>
      <x:c r="N379" s="24"/>
      <x:c r="O379" t="str">
        <x:f>IF(OR(D379="",G379=""),"",G379-D379)</x:f>
      </x:c>
    </x:row>
    <x:row r="380">
      <x:c r="D380" s="22"/>
      <x:c r="E380" s="22"/>
      <x:c r="F380" s="22"/>
      <x:c r="G380" s="22"/>
      <x:c r="L380" s="22"/>
      <x:c r="N380" s="24"/>
      <x:c r="O380" t="str">
        <x:f>IF(OR(D380="",G380=""),"",G380-D380)</x:f>
      </x:c>
    </x:row>
    <x:row r="381">
      <x:c r="D381" s="22"/>
      <x:c r="E381" s="22"/>
      <x:c r="F381" s="22"/>
      <x:c r="G381" s="22"/>
      <x:c r="L381" s="22"/>
      <x:c r="N381" s="24"/>
      <x:c r="O381" t="str">
        <x:f>IF(OR(D381="",G381=""),"",G381-D381)</x:f>
      </x:c>
    </x:row>
    <x:row r="382">
      <x:c r="D382" s="22"/>
      <x:c r="E382" s="22"/>
      <x:c r="F382" s="22"/>
      <x:c r="G382" s="22"/>
      <x:c r="L382" s="22"/>
      <x:c r="N382" s="24"/>
      <x:c r="O382" t="str">
        <x:f>IF(OR(D382="",G382=""),"",G382-D382)</x:f>
      </x:c>
    </x:row>
    <x:row r="383">
      <x:c r="D383" s="22"/>
      <x:c r="E383" s="22"/>
      <x:c r="F383" s="22"/>
      <x:c r="G383" s="22"/>
      <x:c r="L383" s="22"/>
      <x:c r="N383" s="24"/>
      <x:c r="O383" t="str">
        <x:f>IF(OR(D383="",G383=""),"",G383-D383)</x:f>
      </x:c>
    </x:row>
    <x:row r="384">
      <x:c r="D384" s="22"/>
      <x:c r="E384" s="22"/>
      <x:c r="F384" s="22"/>
      <x:c r="G384" s="22"/>
      <x:c r="L384" s="22"/>
      <x:c r="N384" s="24"/>
      <x:c r="O384" t="str">
        <x:f>IF(OR(D384="",G384=""),"",G384-D384)</x:f>
      </x:c>
    </x:row>
    <x:row r="385">
      <x:c r="D385" s="22"/>
      <x:c r="E385" s="22"/>
      <x:c r="F385" s="22"/>
      <x:c r="G385" s="22"/>
      <x:c r="L385" s="22"/>
      <x:c r="N385" s="24"/>
      <x:c r="O385" t="str">
        <x:f>IF(OR(D385="",G385=""),"",G385-D385)</x:f>
      </x:c>
    </x:row>
    <x:row r="386">
      <x:c r="D386" s="22"/>
      <x:c r="E386" s="22"/>
      <x:c r="F386" s="22"/>
      <x:c r="G386" s="22"/>
      <x:c r="L386" s="22"/>
      <x:c r="N386" s="24"/>
      <x:c r="O386" t="str">
        <x:f>IF(OR(D386="",G386=""),"",G386-D386)</x:f>
      </x:c>
    </x:row>
    <x:row r="387">
      <x:c r="D387" s="22"/>
      <x:c r="E387" s="22"/>
      <x:c r="F387" s="22"/>
      <x:c r="G387" s="22"/>
      <x:c r="L387" s="22"/>
      <x:c r="N387" s="24"/>
      <x:c r="O387" t="str">
        <x:f>IF(OR(D387="",G387=""),"",G387-D387)</x:f>
      </x:c>
    </x:row>
    <x:row r="388">
      <x:c r="D388" s="22"/>
      <x:c r="E388" s="22"/>
      <x:c r="F388" s="22"/>
      <x:c r="G388" s="22"/>
      <x:c r="L388" s="22"/>
      <x:c r="N388" s="24"/>
      <x:c r="O388" t="str">
        <x:f>IF(OR(D388="",G388=""),"",G388-D388)</x:f>
      </x:c>
    </x:row>
    <x:row r="389">
      <x:c r="D389" s="22"/>
      <x:c r="E389" s="22"/>
      <x:c r="F389" s="22"/>
      <x:c r="G389" s="22"/>
      <x:c r="L389" s="22"/>
      <x:c r="N389" s="24"/>
      <x:c r="O389" t="str">
        <x:f>IF(OR(D389="",G389=""),"",G389-D389)</x:f>
      </x:c>
    </x:row>
    <x:row r="390">
      <x:c r="D390" s="22"/>
      <x:c r="E390" s="22"/>
      <x:c r="F390" s="22"/>
      <x:c r="G390" s="22"/>
      <x:c r="L390" s="22"/>
      <x:c r="N390" s="24"/>
      <x:c r="O390" t="str">
        <x:f>IF(OR(D390="",G390=""),"",G390-D390)</x:f>
      </x:c>
    </x:row>
    <x:row r="391">
      <x:c r="D391" s="22"/>
      <x:c r="E391" s="22"/>
      <x:c r="F391" s="22"/>
      <x:c r="G391" s="22"/>
      <x:c r="L391" s="22"/>
      <x:c r="N391" s="24"/>
      <x:c r="O391" t="str">
        <x:f>IF(OR(D391="",G391=""),"",G391-D391)</x:f>
      </x:c>
    </x:row>
    <x:row r="392">
      <x:c r="D392" s="22"/>
      <x:c r="E392" s="22"/>
      <x:c r="F392" s="22"/>
      <x:c r="G392" s="22"/>
      <x:c r="L392" s="22"/>
      <x:c r="N392" s="24"/>
      <x:c r="O392" t="str">
        <x:f>IF(OR(D392="",G392=""),"",G392-D392)</x:f>
      </x:c>
    </x:row>
    <x:row r="393">
      <x:c r="D393" s="22"/>
      <x:c r="E393" s="22"/>
      <x:c r="F393" s="22"/>
      <x:c r="G393" s="22"/>
      <x:c r="L393" s="22"/>
      <x:c r="N393" s="24"/>
      <x:c r="O393" t="str">
        <x:f>IF(OR(D393="",G393=""),"",G393-D393)</x:f>
      </x:c>
    </x:row>
    <x:row r="394">
      <x:c r="D394" s="22"/>
      <x:c r="E394" s="22"/>
      <x:c r="F394" s="22"/>
      <x:c r="G394" s="22"/>
      <x:c r="L394" s="22"/>
      <x:c r="N394" s="24"/>
      <x:c r="O394" t="str">
        <x:f>IF(OR(D394="",G394=""),"",G394-D394)</x:f>
      </x:c>
    </x:row>
    <x:row r="395">
      <x:c r="D395" s="22"/>
      <x:c r="E395" s="22"/>
      <x:c r="F395" s="22"/>
      <x:c r="G395" s="22"/>
      <x:c r="L395" s="22"/>
      <x:c r="N395" s="24"/>
      <x:c r="O395" t="str">
        <x:f>IF(OR(D395="",G395=""),"",G395-D395)</x:f>
      </x:c>
    </x:row>
    <x:row r="396">
      <x:c r="D396" s="22"/>
      <x:c r="E396" s="22"/>
      <x:c r="F396" s="22"/>
      <x:c r="G396" s="22"/>
      <x:c r="L396" s="22"/>
      <x:c r="N396" s="24"/>
      <x:c r="O396" t="str">
        <x:f>IF(OR(D396="",G396=""),"",G396-D396)</x:f>
      </x:c>
    </x:row>
    <x:row r="397">
      <x:c r="D397" s="22"/>
      <x:c r="E397" s="22"/>
      <x:c r="F397" s="22"/>
      <x:c r="G397" s="22"/>
      <x:c r="L397" s="22"/>
      <x:c r="N397" s="24"/>
      <x:c r="O397" t="str">
        <x:f>IF(OR(D397="",G397=""),"",G397-D397)</x:f>
      </x:c>
    </x:row>
    <x:row r="398">
      <x:c r="D398" s="22"/>
      <x:c r="E398" s="22"/>
      <x:c r="F398" s="22"/>
      <x:c r="G398" s="22"/>
      <x:c r="L398" s="22"/>
      <x:c r="N398" s="24"/>
      <x:c r="O398" t="str">
        <x:f>IF(OR(D398="",G398=""),"",G398-D398)</x:f>
      </x:c>
    </x:row>
    <x:row r="399">
      <x:c r="D399" s="22"/>
      <x:c r="E399" s="22"/>
      <x:c r="F399" s="22"/>
      <x:c r="G399" s="22"/>
      <x:c r="L399" s="22"/>
      <x:c r="N399" s="24"/>
      <x:c r="O399" t="str">
        <x:f>IF(OR(D399="",G399=""),"",G399-D399)</x:f>
      </x:c>
    </x:row>
    <x:row r="400">
      <x:c r="D400" s="22"/>
      <x:c r="E400" s="22"/>
      <x:c r="F400" s="22"/>
      <x:c r="G400" s="22"/>
      <x:c r="L400" s="22"/>
      <x:c r="N400" s="24"/>
      <x:c r="O400" t="str">
        <x:f>IF(OR(D400="",G400=""),"",G400-D400)</x:f>
      </x:c>
    </x:row>
    <x:row r="401">
      <x:c r="D401" s="22"/>
      <x:c r="E401" s="22"/>
      <x:c r="F401" s="22"/>
      <x:c r="G401" s="22"/>
      <x:c r="L401" s="22"/>
      <x:c r="N401" s="24"/>
      <x:c r="O401" t="str">
        <x:f>IF(OR(D401="",G401=""),"",G401-D401)</x:f>
      </x:c>
    </x:row>
    <x:row r="402">
      <x:c r="D402" s="22"/>
      <x:c r="E402" s="22"/>
      <x:c r="F402" s="22"/>
      <x:c r="G402" s="22"/>
      <x:c r="L402" s="22"/>
      <x:c r="N402" s="24"/>
      <x:c r="O402" t="str">
        <x:f>IF(OR(D402="",G402=""),"",G402-D402)</x:f>
      </x:c>
    </x:row>
    <x:row r="403">
      <x:c r="D403" s="22"/>
      <x:c r="E403" s="22"/>
      <x:c r="F403" s="22"/>
      <x:c r="G403" s="22"/>
      <x:c r="L403" s="22"/>
      <x:c r="N403" s="24"/>
      <x:c r="O403" t="str">
        <x:f>IF(OR(D403="",G403=""),"",G403-D403)</x:f>
      </x:c>
    </x:row>
    <x:row r="404">
      <x:c r="D404" s="22"/>
      <x:c r="E404" s="22"/>
      <x:c r="F404" s="22"/>
      <x:c r="G404" s="22"/>
      <x:c r="L404" s="22"/>
      <x:c r="N404" s="24"/>
      <x:c r="O404" t="str">
        <x:f>IF(OR(D404="",G404=""),"",G404-D404)</x:f>
      </x:c>
    </x:row>
    <x:row r="405">
      <x:c r="D405" s="22"/>
      <x:c r="E405" s="22"/>
      <x:c r="F405" s="22"/>
      <x:c r="G405" s="22"/>
      <x:c r="L405" s="22"/>
      <x:c r="N405" s="24"/>
      <x:c r="O405" t="str">
        <x:f>IF(OR(D405="",G405=""),"",G405-D405)</x:f>
      </x:c>
    </x:row>
    <x:row r="406">
      <x:c r="D406" s="22"/>
      <x:c r="E406" s="22"/>
      <x:c r="F406" s="22"/>
      <x:c r="G406" s="22"/>
      <x:c r="L406" s="22"/>
      <x:c r="N406" s="24"/>
      <x:c r="O406" t="str">
        <x:f>IF(OR(D406="",G406=""),"",G406-D406)</x:f>
      </x:c>
    </x:row>
    <x:row r="407">
      <x:c r="D407" s="22"/>
      <x:c r="E407" s="22"/>
      <x:c r="F407" s="22"/>
      <x:c r="G407" s="22"/>
      <x:c r="L407" s="22"/>
      <x:c r="N407" s="24"/>
      <x:c r="O407" t="str">
        <x:f>IF(OR(D407="",G407=""),"",G407-D407)</x:f>
      </x:c>
    </x:row>
    <x:row r="408">
      <x:c r="D408" s="22"/>
      <x:c r="E408" s="22"/>
      <x:c r="F408" s="22"/>
      <x:c r="G408" s="22"/>
      <x:c r="L408" s="22"/>
      <x:c r="N408" s="24"/>
      <x:c r="O408" t="str">
        <x:f>IF(OR(D408="",G408=""),"",G408-D408)</x:f>
      </x:c>
    </x:row>
    <x:row r="409">
      <x:c r="D409" s="22"/>
      <x:c r="E409" s="22"/>
      <x:c r="F409" s="22"/>
      <x:c r="G409" s="22"/>
      <x:c r="L409" s="22"/>
      <x:c r="N409" s="24"/>
      <x:c r="O409" t="str">
        <x:f>IF(OR(D409="",G409=""),"",G409-D409)</x:f>
      </x:c>
    </x:row>
    <x:row r="410">
      <x:c r="D410" s="22"/>
      <x:c r="E410" s="22"/>
      <x:c r="F410" s="22"/>
      <x:c r="G410" s="22"/>
      <x:c r="L410" s="22"/>
      <x:c r="N410" s="24"/>
      <x:c r="O410" t="str">
        <x:f>IF(OR(D410="",G410=""),"",G410-D410)</x:f>
      </x:c>
    </x:row>
    <x:row r="411">
      <x:c r="D411" s="22"/>
      <x:c r="E411" s="22"/>
      <x:c r="F411" s="22"/>
      <x:c r="G411" s="22"/>
      <x:c r="L411" s="22"/>
      <x:c r="N411" s="24"/>
      <x:c r="O411" t="str">
        <x:f>IF(OR(D411="",G411=""),"",G411-D411)</x:f>
      </x:c>
    </x:row>
    <x:row r="412">
      <x:c r="D412" s="22"/>
      <x:c r="E412" s="22"/>
      <x:c r="F412" s="22"/>
      <x:c r="G412" s="22"/>
      <x:c r="L412" s="22"/>
      <x:c r="N412" s="24"/>
      <x:c r="O412" t="str">
        <x:f>IF(OR(D412="",G412=""),"",G412-D412)</x:f>
      </x:c>
    </x:row>
    <x:row r="413">
      <x:c r="D413" s="22"/>
      <x:c r="E413" s="22"/>
      <x:c r="F413" s="22"/>
      <x:c r="G413" s="22"/>
      <x:c r="L413" s="22"/>
      <x:c r="N413" s="24"/>
      <x:c r="O413" t="str">
        <x:f>IF(OR(D413="",G413=""),"",G413-D413)</x:f>
      </x:c>
    </x:row>
    <x:row r="414">
      <x:c r="D414" s="22"/>
      <x:c r="E414" s="22"/>
      <x:c r="F414" s="22"/>
      <x:c r="G414" s="22"/>
      <x:c r="L414" s="22"/>
      <x:c r="N414" s="24"/>
      <x:c r="O414" t="str">
        <x:f>IF(OR(D414="",G414=""),"",G414-D414)</x:f>
      </x:c>
    </x:row>
    <x:row r="415">
      <x:c r="D415" s="22"/>
      <x:c r="E415" s="22"/>
      <x:c r="F415" s="22"/>
      <x:c r="G415" s="22"/>
      <x:c r="L415" s="22"/>
      <x:c r="N415" s="24"/>
      <x:c r="O415" t="str">
        <x:f>IF(OR(D415="",G415=""),"",G415-D415)</x:f>
      </x:c>
    </x:row>
    <x:row r="416">
      <x:c r="D416" s="22"/>
      <x:c r="E416" s="22"/>
      <x:c r="F416" s="22"/>
      <x:c r="G416" s="22"/>
      <x:c r="L416" s="22"/>
      <x:c r="N416" s="24"/>
      <x:c r="O416" t="str">
        <x:f>IF(OR(D416="",G416=""),"",G416-D416)</x:f>
      </x:c>
    </x:row>
    <x:row r="417">
      <x:c r="D417" s="22"/>
      <x:c r="E417" s="22"/>
      <x:c r="F417" s="22"/>
      <x:c r="G417" s="22"/>
      <x:c r="L417" s="22"/>
      <x:c r="N417" s="24"/>
      <x:c r="O417" t="str">
        <x:f>IF(OR(D417="",G417=""),"",G417-D417)</x:f>
      </x:c>
    </x:row>
    <x:row r="418">
      <x:c r="D418" s="22"/>
      <x:c r="E418" s="22"/>
      <x:c r="F418" s="22"/>
      <x:c r="G418" s="22"/>
      <x:c r="L418" s="22"/>
      <x:c r="N418" s="24"/>
      <x:c r="O418" t="str">
        <x:f>IF(OR(D418="",G418=""),"",G418-D418)</x:f>
      </x:c>
    </x:row>
    <x:row r="419">
      <x:c r="D419" s="22"/>
      <x:c r="E419" s="22"/>
      <x:c r="F419" s="22"/>
      <x:c r="G419" s="22"/>
      <x:c r="L419" s="22"/>
      <x:c r="N419" s="24"/>
      <x:c r="O419" t="str">
        <x:f>IF(OR(D419="",G419=""),"",G419-D419)</x:f>
      </x:c>
    </x:row>
    <x:row r="420">
      <x:c r="D420" s="22"/>
      <x:c r="E420" s="22"/>
      <x:c r="F420" s="22"/>
      <x:c r="G420" s="22"/>
      <x:c r="L420" s="22"/>
      <x:c r="N420" s="24"/>
      <x:c r="O420" t="str">
        <x:f>IF(OR(D420="",G420=""),"",G420-D420)</x:f>
      </x:c>
    </x:row>
    <x:row r="421">
      <x:c r="D421" s="22"/>
      <x:c r="E421" s="22"/>
      <x:c r="F421" s="22"/>
      <x:c r="G421" s="22"/>
      <x:c r="L421" s="22"/>
      <x:c r="N421" s="24"/>
      <x:c r="O421" t="str">
        <x:f>IF(OR(D421="",G421=""),"",G421-D421)</x:f>
      </x:c>
    </x:row>
    <x:row r="422">
      <x:c r="D422" s="22"/>
      <x:c r="E422" s="22"/>
      <x:c r="F422" s="22"/>
      <x:c r="G422" s="22"/>
      <x:c r="L422" s="22"/>
      <x:c r="N422" s="24"/>
      <x:c r="O422" t="str">
        <x:f>IF(OR(D422="",G422=""),"",G422-D422)</x:f>
      </x:c>
    </x:row>
    <x:row r="423">
      <x:c r="D423" s="22"/>
      <x:c r="E423" s="22"/>
      <x:c r="F423" s="22"/>
      <x:c r="G423" s="22"/>
      <x:c r="L423" s="22"/>
      <x:c r="N423" s="24"/>
      <x:c r="O423" t="str">
        <x:f>IF(OR(D423="",G423=""),"",G423-D423)</x:f>
      </x:c>
    </x:row>
    <x:row r="424">
      <x:c r="D424" s="22"/>
      <x:c r="E424" s="22"/>
      <x:c r="F424" s="22"/>
      <x:c r="G424" s="22"/>
      <x:c r="L424" s="22"/>
      <x:c r="N424" s="24"/>
      <x:c r="O424" t="str">
        <x:f>IF(OR(D424="",G424=""),"",G424-D424)</x:f>
      </x:c>
    </x:row>
    <x:row r="425">
      <x:c r="D425" s="22"/>
      <x:c r="E425" s="22"/>
      <x:c r="F425" s="22"/>
      <x:c r="G425" s="22"/>
      <x:c r="L425" s="22"/>
      <x:c r="N425" s="24"/>
      <x:c r="O425" t="str">
        <x:f>IF(OR(D425="",G425=""),"",G425-D425)</x:f>
      </x:c>
    </x:row>
    <x:row r="426">
      <x:c r="D426" s="22"/>
      <x:c r="E426" s="22"/>
      <x:c r="F426" s="22"/>
      <x:c r="G426" s="22"/>
      <x:c r="L426" s="22"/>
      <x:c r="N426" s="24"/>
      <x:c r="O426" t="str">
        <x:f>IF(OR(D426="",G426=""),"",G426-D426)</x:f>
      </x:c>
    </x:row>
    <x:row r="427">
      <x:c r="D427" s="22"/>
      <x:c r="E427" s="22"/>
      <x:c r="F427" s="22"/>
      <x:c r="G427" s="22"/>
      <x:c r="L427" s="22"/>
      <x:c r="N427" s="24"/>
      <x:c r="O427" t="str">
        <x:f>IF(OR(D427="",G427=""),"",G427-D427)</x:f>
      </x:c>
    </x:row>
    <x:row r="428">
      <x:c r="D428" s="22"/>
      <x:c r="E428" s="22"/>
      <x:c r="F428" s="22"/>
      <x:c r="G428" s="22"/>
      <x:c r="L428" s="22"/>
      <x:c r="N428" s="24"/>
      <x:c r="O428" t="str">
        <x:f>IF(OR(D428="",G428=""),"",G428-D428)</x:f>
      </x:c>
    </x:row>
    <x:row r="429">
      <x:c r="D429" s="22"/>
      <x:c r="E429" s="22"/>
      <x:c r="F429" s="22"/>
      <x:c r="G429" s="22"/>
      <x:c r="L429" s="22"/>
      <x:c r="N429" s="24"/>
      <x:c r="O429" t="str">
        <x:f>IF(OR(D429="",G429=""),"",G429-D429)</x:f>
      </x:c>
    </x:row>
    <x:row r="430">
      <x:c r="D430" s="22"/>
      <x:c r="E430" s="22"/>
      <x:c r="F430" s="22"/>
      <x:c r="G430" s="22"/>
      <x:c r="L430" s="22"/>
      <x:c r="N430" s="24"/>
      <x:c r="O430" t="str">
        <x:f>IF(OR(D430="",G430=""),"",G430-D430)</x:f>
      </x:c>
    </x:row>
    <x:row r="431">
      <x:c r="D431" s="22"/>
      <x:c r="E431" s="22"/>
      <x:c r="F431" s="22"/>
      <x:c r="G431" s="22"/>
      <x:c r="L431" s="22"/>
      <x:c r="N431" s="24"/>
      <x:c r="O431" t="str">
        <x:f>IF(OR(D431="",G431=""),"",G431-D431)</x:f>
      </x:c>
    </x:row>
    <x:row r="432">
      <x:c r="D432" s="22"/>
      <x:c r="E432" s="22"/>
      <x:c r="F432" s="22"/>
      <x:c r="G432" s="22"/>
      <x:c r="L432" s="22"/>
      <x:c r="N432" s="24"/>
      <x:c r="O432" t="str">
        <x:f>IF(OR(D432="",G432=""),"",G432-D432)</x:f>
      </x:c>
    </x:row>
    <x:row r="433">
      <x:c r="D433" s="22"/>
      <x:c r="E433" s="22"/>
      <x:c r="F433" s="22"/>
      <x:c r="G433" s="22"/>
      <x:c r="L433" s="22"/>
      <x:c r="N433" s="24"/>
      <x:c r="O433" t="str">
        <x:f>IF(OR(D433="",G433=""),"",G433-D433)</x:f>
      </x:c>
    </x:row>
    <x:row r="434">
      <x:c r="D434" s="22"/>
      <x:c r="E434" s="22"/>
      <x:c r="F434" s="22"/>
      <x:c r="G434" s="22"/>
      <x:c r="L434" s="22"/>
      <x:c r="N434" s="24"/>
      <x:c r="O434" t="str">
        <x:f>IF(OR(D434="",G434=""),"",G434-D434)</x:f>
      </x:c>
    </x:row>
    <x:row r="435">
      <x:c r="D435" s="22"/>
      <x:c r="E435" s="22"/>
      <x:c r="F435" s="22"/>
      <x:c r="G435" s="22"/>
      <x:c r="L435" s="22"/>
      <x:c r="N435" s="24"/>
      <x:c r="O435" t="str">
        <x:f>IF(OR(D435="",G435=""),"",G435-D435)</x:f>
      </x:c>
    </x:row>
    <x:row r="436">
      <x:c r="D436" s="22"/>
      <x:c r="E436" s="22"/>
      <x:c r="F436" s="22"/>
      <x:c r="G436" s="22"/>
      <x:c r="L436" s="22"/>
      <x:c r="N436" s="24"/>
      <x:c r="O436" t="str">
        <x:f>IF(OR(D436="",G436=""),"",G436-D436)</x:f>
      </x:c>
    </x:row>
    <x:row r="437">
      <x:c r="D437" s="22"/>
      <x:c r="E437" s="22"/>
      <x:c r="F437" s="22"/>
      <x:c r="G437" s="22"/>
      <x:c r="L437" s="22"/>
      <x:c r="N437" s="24"/>
      <x:c r="O437" t="str">
        <x:f>IF(OR(D437="",G437=""),"",G437-D437)</x:f>
      </x:c>
    </x:row>
    <x:row r="438">
      <x:c r="D438" s="22"/>
      <x:c r="E438" s="22"/>
      <x:c r="F438" s="22"/>
      <x:c r="G438" s="22"/>
      <x:c r="L438" s="22"/>
      <x:c r="N438" s="24"/>
      <x:c r="O438" t="str">
        <x:f>IF(OR(D438="",G438=""),"",G438-D438)</x:f>
      </x:c>
    </x:row>
    <x:row r="439">
      <x:c r="D439" s="22"/>
      <x:c r="E439" s="22"/>
      <x:c r="F439" s="22"/>
      <x:c r="G439" s="22"/>
      <x:c r="L439" s="22"/>
      <x:c r="N439" s="24"/>
      <x:c r="O439" t="str">
        <x:f>IF(OR(D439="",G439=""),"",G439-D439)</x:f>
      </x:c>
    </x:row>
    <x:row r="440">
      <x:c r="D440" s="22"/>
      <x:c r="E440" s="22"/>
      <x:c r="F440" s="22"/>
      <x:c r="G440" s="22"/>
      <x:c r="L440" s="22"/>
      <x:c r="N440" s="24"/>
      <x:c r="O440" t="str">
        <x:f>IF(OR(D440="",G440=""),"",G440-D440)</x:f>
      </x:c>
    </x:row>
    <x:row r="441">
      <x:c r="D441" s="22"/>
      <x:c r="E441" s="22"/>
      <x:c r="F441" s="22"/>
      <x:c r="G441" s="22"/>
      <x:c r="L441" s="22"/>
      <x:c r="N441" s="24"/>
      <x:c r="O441" t="str">
        <x:f>IF(OR(D441="",G441=""),"",G441-D441)</x:f>
      </x:c>
    </x:row>
    <x:row r="442">
      <x:c r="D442" s="22"/>
      <x:c r="E442" s="22"/>
      <x:c r="F442" s="22"/>
      <x:c r="G442" s="22"/>
      <x:c r="L442" s="22"/>
      <x:c r="N442" s="24"/>
      <x:c r="O442" t="str">
        <x:f>IF(OR(D442="",G442=""),"",G442-D442)</x:f>
      </x:c>
    </x:row>
    <x:row r="443">
      <x:c r="D443" s="22"/>
      <x:c r="E443" s="22"/>
      <x:c r="F443" s="22"/>
      <x:c r="G443" s="22"/>
      <x:c r="L443" s="22"/>
      <x:c r="N443" s="24"/>
      <x:c r="O443" t="str">
        <x:f>IF(OR(D443="",G443=""),"",G443-D443)</x:f>
      </x:c>
    </x:row>
    <x:row r="444">
      <x:c r="D444" s="22"/>
      <x:c r="E444" s="22"/>
      <x:c r="F444" s="22"/>
      <x:c r="G444" s="22"/>
      <x:c r="L444" s="22"/>
      <x:c r="N444" s="24"/>
      <x:c r="O444" t="str">
        <x:f>IF(OR(D444="",G444=""),"",G444-D444)</x:f>
      </x:c>
    </x:row>
    <x:row r="445">
      <x:c r="D445" s="22"/>
      <x:c r="E445" s="22"/>
      <x:c r="F445" s="22"/>
      <x:c r="G445" s="22"/>
      <x:c r="L445" s="22"/>
      <x:c r="N445" s="24"/>
      <x:c r="O445" t="str">
        <x:f>IF(OR(D445="",G445=""),"",G445-D445)</x:f>
      </x:c>
    </x:row>
    <x:row r="446">
      <x:c r="D446" s="22"/>
      <x:c r="E446" s="22"/>
      <x:c r="F446" s="22"/>
      <x:c r="G446" s="22"/>
      <x:c r="L446" s="22"/>
      <x:c r="N446" s="24"/>
      <x:c r="O446" t="str">
        <x:f>IF(OR(D446="",G446=""),"",G446-D446)</x:f>
      </x:c>
    </x:row>
    <x:row r="447">
      <x:c r="D447" s="22"/>
      <x:c r="E447" s="22"/>
      <x:c r="F447" s="22"/>
      <x:c r="G447" s="22"/>
      <x:c r="L447" s="22"/>
      <x:c r="N447" s="24"/>
      <x:c r="O447" t="str">
        <x:f>IF(OR(D447="",G447=""),"",G447-D447)</x:f>
      </x:c>
    </x:row>
    <x:row r="448">
      <x:c r="D448" s="22"/>
      <x:c r="E448" s="22"/>
      <x:c r="F448" s="22"/>
      <x:c r="G448" s="22"/>
      <x:c r="L448" s="22"/>
      <x:c r="N448" s="24"/>
      <x:c r="O448" t="str">
        <x:f>IF(OR(D448="",G448=""),"",G448-D448)</x:f>
      </x:c>
    </x:row>
    <x:row r="449">
      <x:c r="D449" s="22"/>
      <x:c r="E449" s="22"/>
      <x:c r="F449" s="22"/>
      <x:c r="G449" s="22"/>
      <x:c r="L449" s="22"/>
      <x:c r="N449" s="24"/>
      <x:c r="O449" t="str">
        <x:f>IF(OR(D449="",G449=""),"",G449-D449)</x:f>
      </x:c>
    </x:row>
    <x:row r="450">
      <x:c r="D450" s="22"/>
      <x:c r="E450" s="22"/>
      <x:c r="F450" s="22"/>
      <x:c r="G450" s="22"/>
      <x:c r="L450" s="22"/>
      <x:c r="N450" s="24"/>
      <x:c r="O450" t="str">
        <x:f>IF(OR(D450="",G450=""),"",G450-D450)</x:f>
      </x:c>
    </x:row>
    <x:row r="451">
      <x:c r="D451" s="22"/>
      <x:c r="E451" s="22"/>
      <x:c r="F451" s="22"/>
      <x:c r="G451" s="22"/>
      <x:c r="L451" s="22"/>
      <x:c r="N451" s="24"/>
      <x:c r="O451" t="str">
        <x:f>IF(OR(D451="",G451=""),"",G451-D451)</x:f>
      </x:c>
    </x:row>
    <x:row r="452">
      <x:c r="D452" s="22"/>
      <x:c r="E452" s="22"/>
      <x:c r="F452" s="22"/>
      <x:c r="G452" s="22"/>
      <x:c r="L452" s="22"/>
      <x:c r="N452" s="24"/>
      <x:c r="O452" t="str">
        <x:f>IF(OR(D452="",G452=""),"",G452-D452)</x:f>
      </x:c>
    </x:row>
    <x:row r="453">
      <x:c r="D453" s="22"/>
      <x:c r="E453" s="22"/>
      <x:c r="F453" s="22"/>
      <x:c r="G453" s="22"/>
      <x:c r="L453" s="22"/>
      <x:c r="N453" s="24"/>
      <x:c r="O453" t="str">
        <x:f>IF(OR(D453="",G453=""),"",G453-D453)</x:f>
      </x:c>
    </x:row>
    <x:row r="454">
      <x:c r="D454" s="22"/>
      <x:c r="E454" s="22"/>
      <x:c r="F454" s="22"/>
      <x:c r="G454" s="22"/>
      <x:c r="L454" s="22"/>
      <x:c r="N454" s="24"/>
      <x:c r="O454" t="str">
        <x:f>IF(OR(D454="",G454=""),"",G454-D454)</x:f>
      </x:c>
    </x:row>
    <x:row r="455">
      <x:c r="D455" s="22"/>
      <x:c r="E455" s="22"/>
      <x:c r="F455" s="22"/>
      <x:c r="G455" s="22"/>
      <x:c r="L455" s="22"/>
      <x:c r="N455" s="24"/>
      <x:c r="O455" t="str">
        <x:f>IF(OR(D455="",G455=""),"",G455-D455)</x:f>
      </x:c>
    </x:row>
    <x:row r="456">
      <x:c r="D456" s="22"/>
      <x:c r="E456" s="22"/>
      <x:c r="F456" s="22"/>
      <x:c r="G456" s="22"/>
      <x:c r="L456" s="22"/>
      <x:c r="N456" s="24"/>
      <x:c r="O456" t="str">
        <x:f>IF(OR(D456="",G456=""),"",G456-D456)</x:f>
      </x:c>
    </x:row>
    <x:row r="457">
      <x:c r="D457" s="22"/>
      <x:c r="E457" s="22"/>
      <x:c r="F457" s="22"/>
      <x:c r="G457" s="22"/>
      <x:c r="L457" s="22"/>
      <x:c r="N457" s="24"/>
      <x:c r="O457" t="str">
        <x:f>IF(OR(D457="",G457=""),"",G457-D457)</x:f>
      </x:c>
    </x:row>
    <x:row r="458">
      <x:c r="D458" s="22"/>
      <x:c r="E458" s="22"/>
      <x:c r="F458" s="22"/>
      <x:c r="G458" s="22"/>
      <x:c r="L458" s="22"/>
      <x:c r="N458" s="24"/>
      <x:c r="O458" t="str">
        <x:f>IF(OR(D458="",G458=""),"",G458-D458)</x:f>
      </x:c>
    </x:row>
    <x:row r="459">
      <x:c r="D459" s="22"/>
      <x:c r="E459" s="22"/>
      <x:c r="F459" s="22"/>
      <x:c r="G459" s="22"/>
      <x:c r="L459" s="22"/>
      <x:c r="N459" s="24"/>
      <x:c r="O459" t="str">
        <x:f>IF(OR(D459="",G459=""),"",G459-D459)</x:f>
      </x:c>
    </x:row>
    <x:row r="460">
      <x:c r="D460" s="22"/>
      <x:c r="E460" s="22"/>
      <x:c r="F460" s="22"/>
      <x:c r="G460" s="22"/>
      <x:c r="L460" s="22"/>
      <x:c r="N460" s="24"/>
      <x:c r="O460" t="str">
        <x:f>IF(OR(D460="",G460=""),"",G460-D460)</x:f>
      </x:c>
    </x:row>
    <x:row r="461">
      <x:c r="D461" s="22"/>
      <x:c r="E461" s="22"/>
      <x:c r="F461" s="22"/>
      <x:c r="G461" s="22"/>
      <x:c r="L461" s="22"/>
      <x:c r="N461" s="24"/>
      <x:c r="O461" t="str">
        <x:f>IF(OR(D461="",G461=""),"",G461-D461)</x:f>
      </x:c>
    </x:row>
    <x:row r="462">
      <x:c r="D462" s="22"/>
      <x:c r="E462" s="22"/>
      <x:c r="F462" s="22"/>
      <x:c r="G462" s="22"/>
      <x:c r="L462" s="22"/>
      <x:c r="N462" s="24"/>
      <x:c r="O462" t="str">
        <x:f>IF(OR(D462="",G462=""),"",G462-D462)</x:f>
      </x:c>
    </x:row>
    <x:row r="463">
      <x:c r="D463" s="22"/>
      <x:c r="E463" s="22"/>
      <x:c r="F463" s="22"/>
      <x:c r="G463" s="22"/>
      <x:c r="L463" s="22"/>
      <x:c r="N463" s="24"/>
      <x:c r="O463" t="str">
        <x:f>IF(OR(D463="",G463=""),"",G463-D463)</x:f>
      </x:c>
    </x:row>
    <x:row r="464">
      <x:c r="D464" s="22"/>
      <x:c r="E464" s="22"/>
      <x:c r="F464" s="22"/>
      <x:c r="G464" s="22"/>
      <x:c r="L464" s="22"/>
      <x:c r="N464" s="24"/>
      <x:c r="O464" t="str">
        <x:f>IF(OR(D464="",G464=""),"",G464-D464)</x:f>
      </x:c>
    </x:row>
    <x:row r="465">
      <x:c r="D465" s="22"/>
      <x:c r="E465" s="22"/>
      <x:c r="F465" s="22"/>
      <x:c r="G465" s="22"/>
      <x:c r="L465" s="22"/>
      <x:c r="N465" s="24"/>
      <x:c r="O465" t="str">
        <x:f>IF(OR(D465="",G465=""),"",G465-D465)</x:f>
      </x:c>
    </x:row>
    <x:row r="466">
      <x:c r="D466" s="22"/>
      <x:c r="E466" s="22"/>
      <x:c r="F466" s="22"/>
      <x:c r="G466" s="22"/>
      <x:c r="L466" s="22"/>
      <x:c r="N466" s="24"/>
      <x:c r="O466" t="str">
        <x:f>IF(OR(D466="",G466=""),"",G466-D466)</x:f>
      </x:c>
    </x:row>
    <x:row r="467">
      <x:c r="D467" s="22"/>
      <x:c r="E467" s="22"/>
      <x:c r="F467" s="22"/>
      <x:c r="G467" s="22"/>
      <x:c r="L467" s="22"/>
      <x:c r="N467" s="24"/>
      <x:c r="O467" t="str">
        <x:f>IF(OR(D467="",G467=""),"",G467-D467)</x:f>
      </x:c>
    </x:row>
    <x:row r="468">
      <x:c r="D468" s="22"/>
      <x:c r="E468" s="22"/>
      <x:c r="F468" s="22"/>
      <x:c r="G468" s="22"/>
      <x:c r="L468" s="22"/>
      <x:c r="N468" s="24"/>
      <x:c r="O468" t="str">
        <x:f>IF(OR(D468="",G468=""),"",G468-D468)</x:f>
      </x:c>
    </x:row>
    <x:row r="469">
      <x:c r="D469" s="22"/>
      <x:c r="E469" s="22"/>
      <x:c r="F469" s="22"/>
      <x:c r="G469" s="22"/>
      <x:c r="L469" s="22"/>
      <x:c r="N469" s="24"/>
      <x:c r="O469" t="str">
        <x:f>IF(OR(D469="",G469=""),"",G469-D469)</x:f>
      </x:c>
    </x:row>
    <x:row r="470">
      <x:c r="D470" s="22"/>
      <x:c r="E470" s="22"/>
      <x:c r="F470" s="22"/>
      <x:c r="G470" s="22"/>
      <x:c r="L470" s="22"/>
      <x:c r="N470" s="24"/>
      <x:c r="O470" t="str">
        <x:f>IF(OR(D470="",G470=""),"",G470-D470)</x:f>
      </x:c>
    </x:row>
    <x:row r="471">
      <x:c r="D471" s="22"/>
      <x:c r="E471" s="22"/>
      <x:c r="F471" s="22"/>
      <x:c r="G471" s="22"/>
      <x:c r="L471" s="22"/>
      <x:c r="N471" s="24"/>
      <x:c r="O471" t="str">
        <x:f>IF(OR(D471="",G471=""),"",G471-D471)</x:f>
      </x:c>
    </x:row>
    <x:row r="472">
      <x:c r="D472" s="22"/>
      <x:c r="E472" s="22"/>
      <x:c r="F472" s="22"/>
      <x:c r="G472" s="22"/>
      <x:c r="L472" s="22"/>
      <x:c r="N472" s="24"/>
      <x:c r="O472" t="str">
        <x:f>IF(OR(D472="",G472=""),"",G472-D472)</x:f>
      </x:c>
    </x:row>
    <x:row r="473">
      <x:c r="D473" s="22"/>
      <x:c r="E473" s="22"/>
      <x:c r="F473" s="22"/>
      <x:c r="G473" s="22"/>
      <x:c r="L473" s="22"/>
      <x:c r="N473" s="24"/>
      <x:c r="O473" t="str">
        <x:f>IF(OR(D473="",G473=""),"",G473-D473)</x:f>
      </x:c>
    </x:row>
    <x:row r="474">
      <x:c r="D474" s="22"/>
      <x:c r="E474" s="22"/>
      <x:c r="F474" s="22"/>
      <x:c r="G474" s="22"/>
      <x:c r="L474" s="22"/>
      <x:c r="N474" s="24"/>
      <x:c r="O474" t="str">
        <x:f>IF(OR(D474="",G474=""),"",G474-D474)</x:f>
      </x:c>
    </x:row>
    <x:row r="475">
      <x:c r="D475" s="22"/>
      <x:c r="E475" s="22"/>
      <x:c r="F475" s="22"/>
      <x:c r="G475" s="22"/>
      <x:c r="L475" s="22"/>
      <x:c r="N475" s="24"/>
      <x:c r="O475" t="str">
        <x:f>IF(OR(D475="",G475=""),"",G475-D475)</x:f>
      </x:c>
    </x:row>
    <x:row r="476">
      <x:c r="D476" s="22"/>
      <x:c r="E476" s="22"/>
      <x:c r="F476" s="22"/>
      <x:c r="G476" s="22"/>
      <x:c r="L476" s="22"/>
      <x:c r="N476" s="24"/>
      <x:c r="O476" t="str">
        <x:f>IF(OR(D476="",G476=""),"",G476-D476)</x:f>
      </x:c>
    </x:row>
    <x:row r="477">
      <x:c r="D477" s="22"/>
      <x:c r="E477" s="22"/>
      <x:c r="F477" s="22"/>
      <x:c r="G477" s="22"/>
      <x:c r="L477" s="22"/>
      <x:c r="N477" s="24"/>
      <x:c r="O477" t="str">
        <x:f>IF(OR(D477="",G477=""),"",G477-D477)</x:f>
      </x:c>
    </x:row>
    <x:row r="478">
      <x:c r="D478" s="22"/>
      <x:c r="E478" s="22"/>
      <x:c r="F478" s="22"/>
      <x:c r="G478" s="22"/>
      <x:c r="L478" s="22"/>
      <x:c r="N478" s="24"/>
      <x:c r="O478" t="str">
        <x:f>IF(OR(D478="",G478=""),"",G478-D478)</x:f>
      </x:c>
    </x:row>
    <x:row r="479">
      <x:c r="D479" s="22"/>
      <x:c r="E479" s="22"/>
      <x:c r="F479" s="22"/>
      <x:c r="G479" s="22"/>
      <x:c r="L479" s="22"/>
      <x:c r="N479" s="24"/>
      <x:c r="O479" t="str">
        <x:f>IF(OR(D479="",G479=""),"",G479-D479)</x:f>
      </x:c>
    </x:row>
    <x:row r="480">
      <x:c r="D480" s="22"/>
      <x:c r="E480" s="22"/>
      <x:c r="F480" s="22"/>
      <x:c r="G480" s="22"/>
      <x:c r="L480" s="22"/>
      <x:c r="N480" s="24"/>
      <x:c r="O480" t="str">
        <x:f>IF(OR(D480="",G480=""),"",G480-D480)</x:f>
      </x:c>
    </x:row>
    <x:row r="481">
      <x:c r="D481" s="22"/>
      <x:c r="E481" s="22"/>
      <x:c r="F481" s="22"/>
      <x:c r="G481" s="22"/>
      <x:c r="L481" s="22"/>
      <x:c r="N481" s="24"/>
      <x:c r="O481" t="str">
        <x:f>IF(OR(D481="",G481=""),"",G481-D481)</x:f>
      </x:c>
    </x:row>
    <x:row r="482">
      <x:c r="D482" s="22"/>
      <x:c r="E482" s="22"/>
      <x:c r="F482" s="22"/>
      <x:c r="G482" s="22"/>
      <x:c r="L482" s="22"/>
      <x:c r="N482" s="24"/>
      <x:c r="O482" t="str">
        <x:f>IF(OR(D482="",G482=""),"",G482-D482)</x:f>
      </x:c>
    </x:row>
    <x:row r="483">
      <x:c r="D483" s="22"/>
      <x:c r="E483" s="22"/>
      <x:c r="F483" s="22"/>
      <x:c r="G483" s="22"/>
      <x:c r="L483" s="22"/>
      <x:c r="N483" s="24"/>
      <x:c r="O483" t="str">
        <x:f>IF(OR(D483="",G483=""),"",G483-D483)</x:f>
      </x:c>
    </x:row>
    <x:row r="484">
      <x:c r="D484" s="22"/>
      <x:c r="E484" s="22"/>
      <x:c r="F484" s="22"/>
      <x:c r="G484" s="22"/>
      <x:c r="L484" s="22"/>
      <x:c r="N484" s="24"/>
      <x:c r="O484" t="str">
        <x:f>IF(OR(D484="",G484=""),"",G484-D484)</x:f>
      </x:c>
    </x:row>
    <x:row r="485">
      <x:c r="D485" s="22"/>
      <x:c r="E485" s="22"/>
      <x:c r="F485" s="22"/>
      <x:c r="G485" s="22"/>
      <x:c r="L485" s="22"/>
      <x:c r="N485" s="24"/>
      <x:c r="O485" t="str">
        <x:f>IF(OR(D485="",G485=""),"",G485-D485)</x:f>
      </x:c>
    </x:row>
    <x:row r="486">
      <x:c r="D486" s="22"/>
      <x:c r="E486" s="22"/>
      <x:c r="F486" s="22"/>
      <x:c r="G486" s="22"/>
      <x:c r="L486" s="22"/>
      <x:c r="N486" s="24"/>
      <x:c r="O486" t="str">
        <x:f>IF(OR(D486="",G486=""),"",G486-D486)</x:f>
      </x:c>
    </x:row>
    <x:row r="487">
      <x:c r="D487" s="22"/>
      <x:c r="E487" s="22"/>
      <x:c r="F487" s="22"/>
      <x:c r="G487" s="22"/>
      <x:c r="L487" s="22"/>
      <x:c r="N487" s="24"/>
      <x:c r="O487" t="str">
        <x:f>IF(OR(D487="",G487=""),"",G487-D487)</x:f>
      </x:c>
    </x:row>
    <x:row r="488">
      <x:c r="D488" s="22"/>
      <x:c r="E488" s="22"/>
      <x:c r="F488" s="22"/>
      <x:c r="G488" s="22"/>
      <x:c r="L488" s="22"/>
      <x:c r="N488" s="24"/>
      <x:c r="O488" t="str">
        <x:f>IF(OR(D488="",G488=""),"",G488-D488)</x:f>
      </x:c>
    </x:row>
    <x:row r="489">
      <x:c r="D489" s="22"/>
      <x:c r="E489" s="22"/>
      <x:c r="F489" s="22"/>
      <x:c r="G489" s="22"/>
      <x:c r="L489" s="22"/>
      <x:c r="N489" s="24"/>
      <x:c r="O489" t="str">
        <x:f>IF(OR(D489="",G489=""),"",G489-D489)</x:f>
      </x:c>
    </x:row>
    <x:row r="490">
      <x:c r="D490" s="22"/>
      <x:c r="E490" s="22"/>
      <x:c r="F490" s="22"/>
      <x:c r="G490" s="22"/>
      <x:c r="L490" s="22"/>
      <x:c r="N490" s="24"/>
      <x:c r="O490" t="str">
        <x:f>IF(OR(D490="",G490=""),"",G490-D490)</x:f>
      </x:c>
    </x:row>
    <x:row r="491">
      <x:c r="D491" s="22"/>
      <x:c r="E491" s="22"/>
      <x:c r="F491" s="22"/>
      <x:c r="G491" s="22"/>
      <x:c r="L491" s="22"/>
      <x:c r="N491" s="24"/>
      <x:c r="O491" t="str">
        <x:f>IF(OR(D491="",G491=""),"",G491-D491)</x:f>
      </x:c>
    </x:row>
    <x:row r="492">
      <x:c r="D492" s="22"/>
      <x:c r="E492" s="22"/>
      <x:c r="F492" s="22"/>
      <x:c r="G492" s="22"/>
      <x:c r="L492" s="22"/>
      <x:c r="N492" s="24"/>
      <x:c r="O492" t="str">
        <x:f>IF(OR(D492="",G492=""),"",G492-D492)</x:f>
      </x:c>
    </x:row>
    <x:row r="493">
      <x:c r="D493" s="22"/>
      <x:c r="E493" s="22"/>
      <x:c r="F493" s="22"/>
      <x:c r="G493" s="22"/>
      <x:c r="L493" s="22"/>
      <x:c r="N493" s="24"/>
      <x:c r="O493" t="str">
        <x:f>IF(OR(D493="",G493=""),"",G493-D493)</x:f>
      </x:c>
    </x:row>
    <x:row r="494">
      <x:c r="D494" s="22"/>
      <x:c r="E494" s="22"/>
      <x:c r="F494" s="22"/>
      <x:c r="G494" s="22"/>
      <x:c r="L494" s="22"/>
      <x:c r="N494" s="24"/>
      <x:c r="O494" t="str">
        <x:f>IF(OR(D494="",G494=""),"",G494-D494)</x:f>
      </x:c>
    </x:row>
    <x:row r="495">
      <x:c r="D495" s="22"/>
      <x:c r="E495" s="22"/>
      <x:c r="F495" s="22"/>
      <x:c r="G495" s="22"/>
      <x:c r="L495" s="22"/>
      <x:c r="N495" s="24"/>
      <x:c r="O495" t="str">
        <x:f>IF(OR(D495="",G495=""),"",G495-D495)</x:f>
      </x:c>
    </x:row>
    <x:row r="496">
      <x:c r="D496" s="22"/>
      <x:c r="E496" s="22"/>
      <x:c r="F496" s="22"/>
      <x:c r="G496" s="22"/>
      <x:c r="L496" s="22"/>
      <x:c r="N496" s="24"/>
      <x:c r="O496" t="str">
        <x:f>IF(OR(D496="",G496=""),"",G496-D496)</x:f>
      </x:c>
    </x:row>
    <x:row r="497">
      <x:c r="D497" s="22"/>
      <x:c r="E497" s="22"/>
      <x:c r="F497" s="22"/>
      <x:c r="G497" s="22"/>
      <x:c r="L497" s="22"/>
      <x:c r="N497" s="24"/>
      <x:c r="O497" t="str">
        <x:f>IF(OR(D497="",G497=""),"",G497-D497)</x:f>
      </x:c>
    </x:row>
    <x:row r="498">
      <x:c r="D498" s="22"/>
      <x:c r="E498" s="22"/>
      <x:c r="F498" s="22"/>
      <x:c r="G498" s="22"/>
      <x:c r="L498" s="22"/>
      <x:c r="N498" s="24"/>
      <x:c r="O498" t="str">
        <x:f>IF(OR(D498="",G498=""),"",G498-D498)</x:f>
      </x:c>
    </x:row>
    <x:row r="499">
      <x:c r="D499" s="22"/>
      <x:c r="E499" s="22"/>
      <x:c r="F499" s="22"/>
      <x:c r="G499" s="22"/>
      <x:c r="L499" s="22"/>
      <x:c r="N499" s="24"/>
      <x:c r="O499" t="str">
        <x:f>IF(OR(D499="",G499=""),"",G499-D499)</x:f>
      </x:c>
    </x:row>
    <x:row r="500">
      <x:c r="D500" s="22"/>
      <x:c r="E500" s="22"/>
      <x:c r="F500" s="22"/>
      <x:c r="G500" s="22"/>
      <x:c r="L500" s="22"/>
      <x:c r="N500" s="24"/>
      <x:c r="O500" t="str">
        <x:f>IF(OR(D500="",G500=""),"",G500-D500)</x:f>
      </x:c>
    </x:row>
    <x:row r="501">
      <x:c r="D501" s="22"/>
      <x:c r="E501" s="22"/>
      <x:c r="F501" s="22"/>
      <x:c r="G501" s="22"/>
      <x:c r="L501" s="22"/>
      <x:c r="N501" s="24"/>
      <x:c r="O501" t="str">
        <x:f>IF(OR(D501="",G501=""),"",G501-D501)</x:f>
      </x:c>
    </x:row>
    <x:row r="502">
      <x:c r="D502" s="22"/>
      <x:c r="E502" s="22"/>
      <x:c r="F502" s="22"/>
      <x:c r="G502" s="22"/>
      <x:c r="L502" s="22"/>
      <x:c r="N502" s="24"/>
      <x:c r="O502" t="str">
        <x:f>IF(OR(D502="",G502=""),"",G502-D502)</x:f>
      </x:c>
    </x:row>
    <x:row r="503">
      <x:c r="D503" s="22"/>
      <x:c r="E503" s="22"/>
      <x:c r="F503" s="22"/>
      <x:c r="G503" s="22"/>
      <x:c r="L503" s="22"/>
      <x:c r="N503" s="24"/>
      <x:c r="O503" t="str">
        <x:f>IF(OR(D503="",G503=""),"",G503-D503)</x:f>
      </x:c>
    </x:row>
    <x:row r="504">
      <x:c r="D504" s="22"/>
      <x:c r="E504" s="22"/>
      <x:c r="F504" s="22"/>
      <x:c r="G504" s="22"/>
      <x:c r="L504" s="22"/>
      <x:c r="N504" s="24"/>
      <x:c r="O504" t="str">
        <x:f>IF(OR(D504="",G504=""),"",G504-D504)</x:f>
      </x:c>
    </x:row>
    <x:row r="505">
      <x:c r="D505" s="22"/>
      <x:c r="E505" s="22"/>
      <x:c r="F505" s="22"/>
      <x:c r="G505" s="22"/>
      <x:c r="L505" s="22"/>
      <x:c r="N505" s="24"/>
      <x:c r="O505" t="str">
        <x:f>IF(OR(D505="",G505=""),"",G505-D505)</x:f>
      </x:c>
    </x:row>
    <x:row r="506">
      <x:c r="D506" s="22"/>
      <x:c r="E506" s="22"/>
      <x:c r="F506" s="22"/>
      <x:c r="G506" s="22"/>
      <x:c r="L506" s="22"/>
      <x:c r="N506" s="24"/>
      <x:c r="O506" t="str">
        <x:f>IF(OR(D506="",G506=""),"",G506-D506)</x:f>
      </x:c>
    </x:row>
    <x:row r="507">
      <x:c r="D507" s="22"/>
      <x:c r="E507" s="22"/>
      <x:c r="F507" s="22"/>
      <x:c r="G507" s="22"/>
      <x:c r="L507" s="22"/>
      <x:c r="N507" s="24"/>
      <x:c r="O507" t="str">
        <x:f>IF(OR(D507="",G507=""),"",G507-D507)</x:f>
      </x:c>
    </x:row>
    <x:row r="508">
      <x:c r="D508" s="22"/>
      <x:c r="E508" s="22"/>
      <x:c r="F508" s="22"/>
      <x:c r="G508" s="22"/>
      <x:c r="L508" s="22"/>
      <x:c r="N508" s="24"/>
      <x:c r="O508" t="str">
        <x:f>IF(OR(D508="",G508=""),"",G508-D508)</x:f>
      </x:c>
    </x:row>
    <x:row r="509">
      <x:c r="D509" s="22"/>
      <x:c r="E509" s="22"/>
      <x:c r="F509" s="22"/>
      <x:c r="G509" s="22"/>
      <x:c r="L509" s="22"/>
      <x:c r="N509" s="24"/>
      <x:c r="O509" t="str">
        <x:f>IF(OR(D509="",G509=""),"",G509-D509)</x:f>
      </x:c>
    </x:row>
    <x:row r="510">
      <x:c r="D510" s="22"/>
      <x:c r="E510" s="22"/>
      <x:c r="F510" s="22"/>
      <x:c r="G510" s="22"/>
      <x:c r="L510" s="22"/>
      <x:c r="N510" s="24"/>
      <x:c r="O510" t="str">
        <x:f>IF(OR(D510="",G510=""),"",G510-D510)</x:f>
      </x:c>
    </x:row>
    <x:row r="511">
      <x:c r="D511" s="22"/>
      <x:c r="E511" s="22"/>
      <x:c r="F511" s="22"/>
      <x:c r="G511" s="22"/>
      <x:c r="L511" s="22"/>
      <x:c r="N511" s="24"/>
      <x:c r="O511" t="str">
        <x:f>IF(OR(D511="",G511=""),"",G511-D511)</x:f>
      </x:c>
    </x:row>
    <x:row r="512">
      <x:c r="D512" s="22"/>
      <x:c r="E512" s="22"/>
      <x:c r="F512" s="22"/>
      <x:c r="G512" s="22"/>
      <x:c r="L512" s="22"/>
      <x:c r="N512" s="24"/>
      <x:c r="O512" t="str">
        <x:f>IF(OR(D512="",G512=""),"",G512-D512)</x:f>
      </x:c>
    </x:row>
    <x:row r="513">
      <x:c r="D513" s="22"/>
      <x:c r="E513" s="22"/>
      <x:c r="F513" s="22"/>
      <x:c r="G513" s="22"/>
      <x:c r="L513" s="22"/>
      <x:c r="N513" s="24"/>
      <x:c r="O513" t="str">
        <x:f>IF(OR(D513="",G513=""),"",G513-D513)</x:f>
      </x:c>
    </x:row>
    <x:row r="514">
      <x:c r="D514" s="22"/>
      <x:c r="E514" s="22"/>
      <x:c r="F514" s="22"/>
      <x:c r="G514" s="22"/>
      <x:c r="L514" s="22"/>
      <x:c r="N514" s="24"/>
      <x:c r="O514" t="str">
        <x:f>IF(OR(D514="",G514=""),"",G514-D514)</x:f>
      </x:c>
    </x:row>
    <x:row r="515">
      <x:c r="D515" s="22"/>
      <x:c r="E515" s="22"/>
      <x:c r="F515" s="22"/>
      <x:c r="G515" s="22"/>
      <x:c r="L515" s="22"/>
      <x:c r="N515" s="24"/>
      <x:c r="O515" t="str">
        <x:f>IF(OR(D515="",G515=""),"",G515-D515)</x:f>
      </x:c>
    </x:row>
    <x:row r="516">
      <x:c r="D516" s="22"/>
      <x:c r="E516" s="22"/>
      <x:c r="F516" s="22"/>
      <x:c r="G516" s="22"/>
      <x:c r="L516" s="22"/>
      <x:c r="N516" s="24"/>
      <x:c r="O516" t="str">
        <x:f>IF(OR(D516="",G516=""),"",G516-D516)</x:f>
      </x:c>
    </x:row>
    <x:row r="517">
      <x:c r="D517" s="22"/>
      <x:c r="E517" s="22"/>
      <x:c r="F517" s="22"/>
      <x:c r="G517" s="22"/>
      <x:c r="L517" s="22"/>
      <x:c r="N517" s="24"/>
      <x:c r="O517" t="str">
        <x:f>IF(OR(D517="",G517=""),"",G517-D517)</x:f>
      </x:c>
    </x:row>
    <x:row r="518">
      <x:c r="D518" s="22"/>
      <x:c r="E518" s="22"/>
      <x:c r="F518" s="22"/>
      <x:c r="G518" s="22"/>
      <x:c r="L518" s="22"/>
      <x:c r="N518" s="24"/>
      <x:c r="O518" t="str">
        <x:f>IF(OR(D518="",G518=""),"",G518-D518)</x:f>
      </x:c>
    </x:row>
    <x:row r="519">
      <x:c r="D519" s="22"/>
      <x:c r="E519" s="22"/>
      <x:c r="F519" s="22"/>
      <x:c r="G519" s="22"/>
      <x:c r="L519" s="22"/>
      <x:c r="N519" s="24"/>
      <x:c r="O519" t="str">
        <x:f>IF(OR(D519="",G519=""),"",G519-D519)</x:f>
      </x:c>
    </x:row>
    <x:row r="520">
      <x:c r="D520" s="22"/>
      <x:c r="E520" s="22"/>
      <x:c r="F520" s="22"/>
      <x:c r="G520" s="22"/>
      <x:c r="L520" s="22"/>
      <x:c r="N520" s="24"/>
      <x:c r="O520" t="str">
        <x:f>IF(OR(D520="",G520=""),"",G520-D520)</x:f>
      </x:c>
    </x:row>
    <x:row r="521">
      <x:c r="D521" s="22"/>
      <x:c r="E521" s="22"/>
      <x:c r="F521" s="22"/>
      <x:c r="G521" s="22"/>
      <x:c r="L521" s="22"/>
      <x:c r="N521" s="24"/>
      <x:c r="O521" t="str">
        <x:f>IF(OR(D521="",G521=""),"",G521-D521)</x:f>
      </x:c>
    </x:row>
    <x:row r="522">
      <x:c r="D522" s="22"/>
      <x:c r="E522" s="22"/>
      <x:c r="F522" s="22"/>
      <x:c r="G522" s="22"/>
      <x:c r="L522" s="22"/>
      <x:c r="N522" s="24"/>
      <x:c r="O522" t="str">
        <x:f>IF(OR(D522="",G522=""),"",G522-D522)</x:f>
      </x:c>
    </x:row>
    <x:row r="523">
      <x:c r="D523" s="22"/>
      <x:c r="E523" s="22"/>
      <x:c r="F523" s="22"/>
      <x:c r="G523" s="22"/>
      <x:c r="L523" s="22"/>
      <x:c r="N523" s="24"/>
      <x:c r="O523" t="str">
        <x:f>IF(OR(D523="",G523=""),"",G523-D523)</x:f>
      </x:c>
    </x:row>
    <x:row r="524">
      <x:c r="D524" s="22"/>
      <x:c r="E524" s="22"/>
      <x:c r="F524" s="22"/>
      <x:c r="G524" s="22"/>
      <x:c r="L524" s="22"/>
      <x:c r="N524" s="24"/>
      <x:c r="O524" t="str">
        <x:f>IF(OR(D524="",G524=""),"",G524-D524)</x:f>
      </x:c>
    </x:row>
    <x:row r="525">
      <x:c r="D525" s="22"/>
      <x:c r="E525" s="22"/>
      <x:c r="F525" s="22"/>
      <x:c r="G525" s="22"/>
      <x:c r="L525" s="22"/>
      <x:c r="N525" s="24"/>
      <x:c r="O525" t="str">
        <x:f>IF(OR(D525="",G525=""),"",G525-D525)</x:f>
      </x:c>
    </x:row>
    <x:row r="526">
      <x:c r="D526" s="22"/>
      <x:c r="E526" s="22"/>
      <x:c r="F526" s="22"/>
      <x:c r="G526" s="22"/>
      <x:c r="L526" s="22"/>
      <x:c r="N526" s="24"/>
      <x:c r="O526" t="str">
        <x:f>IF(OR(D526="",G526=""),"",G526-D526)</x:f>
      </x:c>
    </x:row>
    <x:row r="527">
      <x:c r="D527" s="22"/>
      <x:c r="E527" s="22"/>
      <x:c r="F527" s="22"/>
      <x:c r="G527" s="22"/>
      <x:c r="L527" s="22"/>
      <x:c r="N527" s="24"/>
      <x:c r="O527" t="str">
        <x:f>IF(OR(D527="",G527=""),"",G527-D527)</x:f>
      </x:c>
    </x:row>
    <x:row r="528">
      <x:c r="D528" s="22"/>
      <x:c r="E528" s="22"/>
      <x:c r="F528" s="22"/>
      <x:c r="G528" s="22"/>
      <x:c r="L528" s="22"/>
      <x:c r="N528" s="24"/>
      <x:c r="O528" t="str">
        <x:f>IF(OR(D528="",G528=""),"",G528-D528)</x:f>
      </x:c>
    </x:row>
    <x:row r="529">
      <x:c r="D529" s="22"/>
      <x:c r="E529" s="22"/>
      <x:c r="F529" s="22"/>
      <x:c r="G529" s="22"/>
      <x:c r="L529" s="22"/>
      <x:c r="N529" s="24"/>
      <x:c r="O529" t="str">
        <x:f>IF(OR(D529="",G529=""),"",G529-D529)</x:f>
      </x:c>
    </x:row>
    <x:row r="530">
      <x:c r="D530" s="22"/>
      <x:c r="E530" s="22"/>
      <x:c r="F530" s="22"/>
      <x:c r="G530" s="22"/>
      <x:c r="L530" s="22"/>
      <x:c r="N530" s="24"/>
      <x:c r="O530" t="str">
        <x:f>IF(OR(D530="",G530=""),"",G530-D530)</x:f>
      </x:c>
    </x:row>
    <x:row r="531">
      <x:c r="D531" s="22"/>
      <x:c r="E531" s="22"/>
      <x:c r="F531" s="22"/>
      <x:c r="G531" s="22"/>
      <x:c r="L531" s="22"/>
      <x:c r="N531" s="24"/>
      <x:c r="O531" t="str">
        <x:f>IF(OR(D531="",G531=""),"",G531-D531)</x:f>
      </x:c>
    </x:row>
    <x:row r="532">
      <x:c r="D532" s="22"/>
      <x:c r="E532" s="22"/>
      <x:c r="F532" s="22"/>
      <x:c r="G532" s="22"/>
      <x:c r="L532" s="22"/>
      <x:c r="N532" s="24"/>
      <x:c r="O532" t="str">
        <x:f>IF(OR(D532="",G532=""),"",G532-D532)</x:f>
      </x:c>
    </x:row>
    <x:row r="533">
      <x:c r="D533" s="22"/>
      <x:c r="E533" s="22"/>
      <x:c r="F533" s="22"/>
      <x:c r="G533" s="22"/>
      <x:c r="L533" s="22"/>
      <x:c r="N533" s="24"/>
      <x:c r="O533" t="str">
        <x:f>IF(OR(D533="",G533=""),"",G533-D533)</x:f>
      </x:c>
    </x:row>
    <x:row r="534">
      <x:c r="D534" s="22"/>
      <x:c r="E534" s="22"/>
      <x:c r="F534" s="22"/>
      <x:c r="G534" s="22"/>
      <x:c r="L534" s="22"/>
      <x:c r="N534" s="24"/>
      <x:c r="O534" t="str">
        <x:f>IF(OR(D534="",G534=""),"",G534-D534)</x:f>
      </x:c>
    </x:row>
    <x:row r="535">
      <x:c r="D535" s="22"/>
      <x:c r="E535" s="22"/>
      <x:c r="F535" s="22"/>
      <x:c r="G535" s="22"/>
      <x:c r="L535" s="22"/>
      <x:c r="N535" s="24"/>
      <x:c r="O535" t="str">
        <x:f>IF(OR(D535="",G535=""),"",G535-D535)</x:f>
      </x:c>
    </x:row>
    <x:row r="536">
      <x:c r="D536" s="22"/>
      <x:c r="E536" s="22"/>
      <x:c r="F536" s="22"/>
      <x:c r="G536" s="22"/>
      <x:c r="L536" s="22"/>
      <x:c r="N536" s="24"/>
      <x:c r="O536" t="str">
        <x:f>IF(OR(D536="",G536=""),"",G536-D536)</x:f>
      </x:c>
    </x:row>
    <x:row r="537">
      <x:c r="D537" s="22"/>
      <x:c r="E537" s="22"/>
      <x:c r="F537" s="22"/>
      <x:c r="G537" s="22"/>
      <x:c r="L537" s="22"/>
      <x:c r="N537" s="24"/>
      <x:c r="O537" t="str">
        <x:f>IF(OR(D537="",G537=""),"",G537-D537)</x:f>
      </x:c>
    </x:row>
    <x:row r="538">
      <x:c r="D538" s="22"/>
      <x:c r="E538" s="22"/>
      <x:c r="F538" s="22"/>
      <x:c r="G538" s="22"/>
      <x:c r="L538" s="22"/>
      <x:c r="N538" s="24"/>
      <x:c r="O538" t="str">
        <x:f>IF(OR(D538="",G538=""),"",G538-D538)</x:f>
      </x:c>
    </x:row>
    <x:row r="539">
      <x:c r="D539" s="22"/>
      <x:c r="E539" s="22"/>
      <x:c r="F539" s="22"/>
      <x:c r="G539" s="22"/>
      <x:c r="L539" s="22"/>
      <x:c r="N539" s="24"/>
      <x:c r="O539" t="str">
        <x:f>IF(OR(D539="",G539=""),"",G539-D539)</x:f>
      </x:c>
    </x:row>
    <x:row r="540">
      <x:c r="D540" s="22"/>
      <x:c r="E540" s="22"/>
      <x:c r="F540" s="22"/>
      <x:c r="G540" s="22"/>
      <x:c r="L540" s="22"/>
      <x:c r="N540" s="24"/>
      <x:c r="O540" t="str">
        <x:f>IF(OR(D540="",G540=""),"",G540-D540)</x:f>
      </x:c>
    </x:row>
    <x:row r="541">
      <x:c r="D541" s="22"/>
      <x:c r="E541" s="22"/>
      <x:c r="F541" s="22"/>
      <x:c r="G541" s="22"/>
      <x:c r="L541" s="22"/>
      <x:c r="N541" s="24"/>
      <x:c r="O541" t="str">
        <x:f>IF(OR(D541="",G541=""),"",G541-D541)</x:f>
      </x:c>
    </x:row>
    <x:row r="542">
      <x:c r="D542" s="22"/>
      <x:c r="E542" s="22"/>
      <x:c r="F542" s="22"/>
      <x:c r="G542" s="22"/>
      <x:c r="L542" s="22"/>
      <x:c r="N542" s="24"/>
      <x:c r="O542" t="str">
        <x:f>IF(OR(D542="",G542=""),"",G542-D542)</x:f>
      </x:c>
    </x:row>
    <x:row r="543">
      <x:c r="D543" s="22"/>
      <x:c r="E543" s="22"/>
      <x:c r="F543" s="22"/>
      <x:c r="G543" s="22"/>
      <x:c r="L543" s="22"/>
      <x:c r="N543" s="24"/>
      <x:c r="O543" t="str">
        <x:f>IF(OR(D543="",G543=""),"",G543-D543)</x:f>
      </x:c>
    </x:row>
    <x:row r="544">
      <x:c r="D544" s="22"/>
      <x:c r="E544" s="22"/>
      <x:c r="F544" s="22"/>
      <x:c r="G544" s="22"/>
      <x:c r="L544" s="22"/>
      <x:c r="N544" s="24"/>
      <x:c r="O544" t="str">
        <x:f>IF(OR(D544="",G544=""),"",G544-D544)</x:f>
      </x:c>
    </x:row>
    <x:row r="545">
      <x:c r="D545" s="22"/>
      <x:c r="E545" s="22"/>
      <x:c r="F545" s="22"/>
      <x:c r="G545" s="22"/>
      <x:c r="L545" s="22"/>
      <x:c r="N545" s="24"/>
      <x:c r="O545" t="str">
        <x:f>IF(OR(D545="",G545=""),"",G545-D545)</x:f>
      </x:c>
    </x:row>
    <x:row r="546">
      <x:c r="D546" s="22"/>
      <x:c r="E546" s="22"/>
      <x:c r="F546" s="22"/>
      <x:c r="G546" s="22"/>
      <x:c r="L546" s="22"/>
      <x:c r="N546" s="24"/>
      <x:c r="O546" t="str">
        <x:f>IF(OR(D546="",G546=""),"",G546-D546)</x:f>
      </x:c>
    </x:row>
    <x:row r="547">
      <x:c r="D547" s="22"/>
      <x:c r="E547" s="22"/>
      <x:c r="F547" s="22"/>
      <x:c r="G547" s="22"/>
      <x:c r="L547" s="22"/>
      <x:c r="N547" s="24"/>
      <x:c r="O547" t="str">
        <x:f>IF(OR(D547="",G547=""),"",G547-D547)</x:f>
      </x:c>
    </x:row>
    <x:row r="548">
      <x:c r="D548" s="22"/>
      <x:c r="E548" s="22"/>
      <x:c r="F548" s="22"/>
      <x:c r="G548" s="22"/>
      <x:c r="L548" s="22"/>
      <x:c r="N548" s="24"/>
      <x:c r="O548" t="str">
        <x:f>IF(OR(D548="",G548=""),"",G548-D548)</x:f>
      </x:c>
    </x:row>
    <x:row r="549">
      <x:c r="D549" s="22"/>
      <x:c r="E549" s="22"/>
      <x:c r="F549" s="22"/>
      <x:c r="G549" s="22"/>
      <x:c r="L549" s="22"/>
      <x:c r="N549" s="24"/>
      <x:c r="O549" t="str">
        <x:f>IF(OR(D549="",G549=""),"",G549-D549)</x:f>
      </x:c>
    </x:row>
    <x:row r="550">
      <x:c r="D550" s="22"/>
      <x:c r="E550" s="22"/>
      <x:c r="F550" s="22"/>
      <x:c r="G550" s="22"/>
      <x:c r="L550" s="22"/>
      <x:c r="N550" s="24"/>
      <x:c r="O550" t="str">
        <x:f>IF(OR(D550="",G550=""),"",G550-D550)</x:f>
      </x:c>
    </x:row>
    <x:row r="551">
      <x:c r="D551" s="22"/>
      <x:c r="E551" s="22"/>
      <x:c r="F551" s="22"/>
      <x:c r="G551" s="22"/>
      <x:c r="L551" s="22"/>
      <x:c r="N551" s="24"/>
      <x:c r="O551" t="str">
        <x:f>IF(OR(D551="",G551=""),"",G551-D551)</x:f>
      </x:c>
    </x:row>
    <x:row r="552">
      <x:c r="D552" s="22"/>
      <x:c r="E552" s="22"/>
      <x:c r="F552" s="22"/>
      <x:c r="G552" s="22"/>
      <x:c r="L552" s="22"/>
      <x:c r="N552" s="24"/>
      <x:c r="O552" t="str">
        <x:f>IF(OR(D552="",G552=""),"",G552-D552)</x:f>
      </x:c>
    </x:row>
    <x:row r="553">
      <x:c r="D553" s="22"/>
      <x:c r="E553" s="22"/>
      <x:c r="F553" s="22"/>
      <x:c r="G553" s="22"/>
      <x:c r="L553" s="22"/>
      <x:c r="N553" s="24"/>
      <x:c r="O553" t="str">
        <x:f>IF(OR(D553="",G553=""),"",G553-D553)</x:f>
      </x:c>
    </x:row>
    <x:row r="554">
      <x:c r="D554" s="22"/>
      <x:c r="E554" s="22"/>
      <x:c r="F554" s="22"/>
      <x:c r="G554" s="22"/>
      <x:c r="L554" s="22"/>
      <x:c r="N554" s="24"/>
      <x:c r="O554" t="str">
        <x:f>IF(OR(D554="",G554=""),"",G554-D554)</x:f>
      </x:c>
    </x:row>
    <x:row r="555">
      <x:c r="D555" s="22"/>
      <x:c r="E555" s="22"/>
      <x:c r="F555" s="22"/>
      <x:c r="G555" s="22"/>
      <x:c r="L555" s="22"/>
      <x:c r="N555" s="24"/>
      <x:c r="O555" t="str">
        <x:f>IF(OR(D555="",G555=""),"",G555-D555)</x:f>
      </x:c>
    </x:row>
    <x:row r="556">
      <x:c r="D556" s="22"/>
      <x:c r="E556" s="22"/>
      <x:c r="F556" s="22"/>
      <x:c r="G556" s="22"/>
      <x:c r="L556" s="22"/>
      <x:c r="N556" s="24"/>
      <x:c r="O556" t="str">
        <x:f>IF(OR(D556="",G556=""),"",G556-D556)</x:f>
      </x:c>
    </x:row>
    <x:row r="557">
      <x:c r="D557" s="22"/>
      <x:c r="E557" s="22"/>
      <x:c r="F557" s="22"/>
      <x:c r="G557" s="22"/>
      <x:c r="L557" s="22"/>
      <x:c r="N557" s="24"/>
      <x:c r="O557" t="str">
        <x:f>IF(OR(D557="",G557=""),"",G557-D557)</x:f>
      </x:c>
    </x:row>
    <x:row r="558">
      <x:c r="D558" s="22"/>
      <x:c r="E558" s="22"/>
      <x:c r="F558" s="22"/>
      <x:c r="G558" s="22"/>
      <x:c r="L558" s="22"/>
      <x:c r="N558" s="24"/>
      <x:c r="O558" t="str">
        <x:f>IF(OR(D558="",G558=""),"",G558-D558)</x:f>
      </x:c>
    </x:row>
    <x:row r="559">
      <x:c r="D559" s="22"/>
      <x:c r="E559" s="22"/>
      <x:c r="F559" s="22"/>
      <x:c r="G559" s="22"/>
      <x:c r="L559" s="22"/>
      <x:c r="N559" s="24"/>
      <x:c r="O559" t="str">
        <x:f>IF(OR(D559="",G559=""),"",G559-D559)</x:f>
      </x:c>
    </x:row>
    <x:row r="560">
      <x:c r="D560" s="22"/>
      <x:c r="E560" s="22"/>
      <x:c r="F560" s="22"/>
      <x:c r="G560" s="22"/>
      <x:c r="L560" s="22"/>
      <x:c r="N560" s="24"/>
      <x:c r="O560" t="str">
        <x:f>IF(OR(D560="",G560=""),"",G560-D560)</x:f>
      </x:c>
    </x:row>
    <x:row r="561">
      <x:c r="D561" s="22"/>
      <x:c r="E561" s="22"/>
      <x:c r="F561" s="22"/>
      <x:c r="G561" s="22"/>
      <x:c r="L561" s="22"/>
      <x:c r="N561" s="24"/>
      <x:c r="O561" t="str">
        <x:f>IF(OR(D561="",G561=""),"",G561-D561)</x:f>
      </x:c>
    </x:row>
    <x:row r="562">
      <x:c r="D562" s="22"/>
      <x:c r="E562" s="22"/>
      <x:c r="F562" s="22"/>
      <x:c r="G562" s="22"/>
      <x:c r="L562" s="22"/>
      <x:c r="N562" s="24"/>
      <x:c r="O562" t="str">
        <x:f>IF(OR(D562="",G562=""),"",G562-D562)</x:f>
      </x:c>
    </x:row>
    <x:row r="563">
      <x:c r="D563" s="22"/>
      <x:c r="E563" s="22"/>
      <x:c r="F563" s="22"/>
      <x:c r="G563" s="22"/>
      <x:c r="L563" s="22"/>
      <x:c r="N563" s="24"/>
      <x:c r="O563" t="str">
        <x:f>IF(OR(D563="",G563=""),"",G563-D563)</x:f>
      </x:c>
    </x:row>
    <x:row r="564">
      <x:c r="D564" s="22"/>
      <x:c r="E564" s="22"/>
      <x:c r="F564" s="22"/>
      <x:c r="G564" s="22"/>
      <x:c r="L564" s="22"/>
      <x:c r="N564" s="24"/>
      <x:c r="O564" t="str">
        <x:f>IF(OR(D564="",G564=""),"",G564-D564)</x:f>
      </x:c>
    </x:row>
    <x:row r="565">
      <x:c r="D565" s="22"/>
      <x:c r="E565" s="22"/>
      <x:c r="F565" s="22"/>
      <x:c r="G565" s="22"/>
      <x:c r="L565" s="22"/>
      <x:c r="N565" s="24"/>
      <x:c r="O565" t="str">
        <x:f>IF(OR(D565="",G565=""),"",G565-D565)</x:f>
      </x:c>
    </x:row>
    <x:row r="566">
      <x:c r="D566" s="22"/>
      <x:c r="E566" s="22"/>
      <x:c r="F566" s="22"/>
      <x:c r="G566" s="22"/>
      <x:c r="L566" s="22"/>
      <x:c r="N566" s="24"/>
      <x:c r="O566" t="str">
        <x:f>IF(OR(D566="",G566=""),"",G566-D566)</x:f>
      </x:c>
    </x:row>
    <x:row r="567">
      <x:c r="D567" s="22"/>
      <x:c r="E567" s="22"/>
      <x:c r="F567" s="22"/>
      <x:c r="G567" s="22"/>
      <x:c r="L567" s="22"/>
      <x:c r="N567" s="24"/>
      <x:c r="O567" t="str">
        <x:f>IF(OR(D567="",G567=""),"",G567-D567)</x:f>
      </x:c>
    </x:row>
    <x:row r="568">
      <x:c r="D568" s="22"/>
      <x:c r="E568" s="22"/>
      <x:c r="F568" s="22"/>
      <x:c r="G568" s="22"/>
      <x:c r="L568" s="22"/>
      <x:c r="N568" s="24"/>
      <x:c r="O568" t="str">
        <x:f>IF(OR(D568="",G568=""),"",G568-D568)</x:f>
      </x:c>
    </x:row>
    <x:row r="569">
      <x:c r="D569" s="22"/>
      <x:c r="E569" s="22"/>
      <x:c r="F569" s="22"/>
      <x:c r="G569" s="22"/>
      <x:c r="L569" s="22"/>
      <x:c r="N569" s="24"/>
      <x:c r="O569" t="str">
        <x:f>IF(OR(D569="",G569=""),"",G569-D569)</x:f>
      </x:c>
    </x:row>
    <x:row r="570">
      <x:c r="D570" s="22"/>
      <x:c r="E570" s="22"/>
      <x:c r="F570" s="22"/>
      <x:c r="G570" s="22"/>
      <x:c r="L570" s="22"/>
      <x:c r="N570" s="24"/>
      <x:c r="O570" t="str">
        <x:f>IF(OR(D570="",G570=""),"",G570-D570)</x:f>
      </x:c>
    </x:row>
    <x:row r="571">
      <x:c r="D571" s="22"/>
      <x:c r="E571" s="22"/>
      <x:c r="F571" s="22"/>
      <x:c r="G571" s="22"/>
      <x:c r="L571" s="22"/>
      <x:c r="N571" s="24"/>
      <x:c r="O571" t="str">
        <x:f>IF(OR(D571="",G571=""),"",G571-D571)</x:f>
      </x:c>
    </x:row>
    <x:row r="572">
      <x:c r="D572" s="22"/>
      <x:c r="E572" s="22"/>
      <x:c r="F572" s="22"/>
      <x:c r="G572" s="22"/>
      <x:c r="L572" s="22"/>
      <x:c r="N572" s="24"/>
      <x:c r="O572" t="str">
        <x:f>IF(OR(D572="",G572=""),"",G572-D572)</x:f>
      </x:c>
    </x:row>
    <x:row r="573">
      <x:c r="D573" s="22"/>
      <x:c r="E573" s="22"/>
      <x:c r="F573" s="22"/>
      <x:c r="G573" s="22"/>
      <x:c r="L573" s="22"/>
      <x:c r="N573" s="24"/>
      <x:c r="O573" t="str">
        <x:f>IF(OR(D573="",G573=""),"",G573-D573)</x:f>
      </x:c>
    </x:row>
    <x:row r="574">
      <x:c r="D574" s="22"/>
      <x:c r="E574" s="22"/>
      <x:c r="F574" s="22"/>
      <x:c r="G574" s="22"/>
      <x:c r="L574" s="22"/>
      <x:c r="N574" s="24"/>
      <x:c r="O574" t="str">
        <x:f>IF(OR(D574="",G574=""),"",G574-D574)</x:f>
      </x:c>
    </x:row>
    <x:row r="575">
      <x:c r="D575" s="22"/>
      <x:c r="E575" s="22"/>
      <x:c r="F575" s="22"/>
      <x:c r="G575" s="22"/>
      <x:c r="L575" s="22"/>
      <x:c r="N575" s="24"/>
      <x:c r="O575" t="str">
        <x:f>IF(OR(D575="",G575=""),"",G575-D575)</x:f>
      </x:c>
    </x:row>
    <x:row r="576">
      <x:c r="D576" s="22"/>
      <x:c r="E576" s="22"/>
      <x:c r="F576" s="22"/>
      <x:c r="G576" s="22"/>
      <x:c r="L576" s="22"/>
      <x:c r="N576" s="24"/>
      <x:c r="O576" t="str">
        <x:f>IF(OR(D576="",G576=""),"",G576-D576)</x:f>
      </x:c>
    </x:row>
    <x:row r="577">
      <x:c r="D577" s="22"/>
      <x:c r="E577" s="22"/>
      <x:c r="F577" s="22"/>
      <x:c r="G577" s="22"/>
      <x:c r="L577" s="22"/>
      <x:c r="N577" s="24"/>
      <x:c r="O577" t="str">
        <x:f>IF(OR(D577="",G577=""),"",G577-D577)</x:f>
      </x:c>
    </x:row>
    <x:row r="578">
      <x:c r="D578" s="22"/>
      <x:c r="E578" s="22"/>
      <x:c r="F578" s="22"/>
      <x:c r="G578" s="22"/>
      <x:c r="L578" s="22"/>
      <x:c r="N578" s="24"/>
      <x:c r="O578" t="str">
        <x:f>IF(OR(D578="",G578=""),"",G578-D578)</x:f>
      </x:c>
    </x:row>
    <x:row r="579">
      <x:c r="D579" s="22"/>
      <x:c r="E579" s="22"/>
      <x:c r="F579" s="22"/>
      <x:c r="G579" s="22"/>
      <x:c r="L579" s="22"/>
      <x:c r="N579" s="24"/>
      <x:c r="O579" t="str">
        <x:f>IF(OR(D579="",G579=""),"",G579-D579)</x:f>
      </x:c>
    </x:row>
    <x:row r="580">
      <x:c r="D580" s="22"/>
      <x:c r="E580" s="22"/>
      <x:c r="F580" s="22"/>
      <x:c r="G580" s="22"/>
      <x:c r="L580" s="22"/>
      <x:c r="N580" s="24"/>
      <x:c r="O580" t="str">
        <x:f>IF(OR(D580="",G580=""),"",G580-D580)</x:f>
      </x:c>
    </x:row>
    <x:row r="581">
      <x:c r="D581" s="22"/>
      <x:c r="E581" s="22"/>
      <x:c r="F581" s="22"/>
      <x:c r="G581" s="22"/>
      <x:c r="L581" s="22"/>
      <x:c r="N581" s="24"/>
      <x:c r="O581" t="str">
        <x:f>IF(OR(D581="",G581=""),"",G581-D581)</x:f>
      </x:c>
    </x:row>
    <x:row r="582">
      <x:c r="D582" s="22"/>
      <x:c r="E582" s="22"/>
      <x:c r="F582" s="22"/>
      <x:c r="G582" s="22"/>
      <x:c r="L582" s="22"/>
      <x:c r="N582" s="24"/>
      <x:c r="O582" t="str">
        <x:f>IF(OR(D582="",G582=""),"",G582-D582)</x:f>
      </x:c>
    </x:row>
    <x:row r="583">
      <x:c r="D583" s="22"/>
      <x:c r="E583" s="22"/>
      <x:c r="F583" s="22"/>
      <x:c r="G583" s="22"/>
      <x:c r="L583" s="22"/>
      <x:c r="N583" s="24"/>
      <x:c r="O583" t="str">
        <x:f>IF(OR(D583="",G583=""),"",G583-D583)</x:f>
      </x:c>
    </x:row>
    <x:row r="584">
      <x:c r="D584" s="22"/>
      <x:c r="E584" s="22"/>
      <x:c r="F584" s="22"/>
      <x:c r="G584" s="22"/>
      <x:c r="L584" s="22"/>
      <x:c r="N584" s="24"/>
      <x:c r="O584" t="str">
        <x:f>IF(OR(D584="",G584=""),"",G584-D584)</x:f>
      </x:c>
    </x:row>
    <x:row r="585">
      <x:c r="D585" s="22"/>
      <x:c r="E585" s="22"/>
      <x:c r="F585" s="22"/>
      <x:c r="G585" s="22"/>
      <x:c r="L585" s="22"/>
      <x:c r="N585" s="24"/>
      <x:c r="O585" t="str">
        <x:f>IF(OR(D585="",G585=""),"",G585-D585)</x:f>
      </x:c>
    </x:row>
    <x:row r="586">
      <x:c r="D586" s="22"/>
      <x:c r="E586" s="22"/>
      <x:c r="F586" s="22"/>
      <x:c r="G586" s="22"/>
      <x:c r="L586" s="22"/>
      <x:c r="N586" s="24"/>
      <x:c r="O586" t="str">
        <x:f>IF(OR(D586="",G586=""),"",G586-D586)</x:f>
      </x:c>
    </x:row>
    <x:row r="587">
      <x:c r="D587" s="22"/>
      <x:c r="E587" s="22"/>
      <x:c r="F587" s="22"/>
      <x:c r="G587" s="22"/>
      <x:c r="L587" s="22"/>
      <x:c r="N587" s="24"/>
      <x:c r="O587" t="str">
        <x:f>IF(OR(D587="",G587=""),"",G587-D587)</x:f>
      </x:c>
    </x:row>
    <x:row r="588">
      <x:c r="D588" s="22"/>
      <x:c r="E588" s="22"/>
      <x:c r="F588" s="22"/>
      <x:c r="G588" s="22"/>
      <x:c r="L588" s="22"/>
      <x:c r="N588" s="24"/>
      <x:c r="O588" t="str">
        <x:f>IF(OR(D588="",G588=""),"",G588-D588)</x:f>
      </x:c>
    </x:row>
    <x:row r="589">
      <x:c r="D589" s="22"/>
      <x:c r="E589" s="22"/>
      <x:c r="F589" s="22"/>
      <x:c r="G589" s="22"/>
      <x:c r="L589" s="22"/>
      <x:c r="N589" s="24"/>
      <x:c r="O589" t="str">
        <x:f>IF(OR(D589="",G589=""),"",G589-D589)</x:f>
      </x:c>
    </x:row>
    <x:row r="590">
      <x:c r="D590" s="22"/>
      <x:c r="E590" s="22"/>
      <x:c r="F590" s="22"/>
      <x:c r="G590" s="22"/>
      <x:c r="L590" s="22"/>
      <x:c r="N590" s="24"/>
      <x:c r="O590" t="str">
        <x:f>IF(OR(D590="",G590=""),"",G590-D590)</x:f>
      </x:c>
    </x:row>
    <x:row r="591">
      <x:c r="D591" s="22"/>
      <x:c r="E591" s="22"/>
      <x:c r="F591" s="22"/>
      <x:c r="G591" s="22"/>
      <x:c r="L591" s="22"/>
      <x:c r="N591" s="24"/>
      <x:c r="O591" t="str">
        <x:f>IF(OR(D591="",G591=""),"",G591-D591)</x:f>
      </x:c>
    </x:row>
    <x:row r="592">
      <x:c r="D592" s="22"/>
      <x:c r="E592" s="22"/>
      <x:c r="F592" s="22"/>
      <x:c r="G592" s="22"/>
      <x:c r="L592" s="22"/>
      <x:c r="N592" s="24"/>
      <x:c r="O592" t="str">
        <x:f>IF(OR(D592="",G592=""),"",G592-D592)</x:f>
      </x:c>
    </x:row>
    <x:row r="593">
      <x:c r="D593" s="22"/>
      <x:c r="E593" s="22"/>
      <x:c r="F593" s="22"/>
      <x:c r="G593" s="22"/>
      <x:c r="L593" s="22"/>
      <x:c r="N593" s="24"/>
      <x:c r="O593" t="str">
        <x:f>IF(OR(D593="",G593=""),"",G593-D593)</x:f>
      </x:c>
    </x:row>
    <x:row r="594">
      <x:c r="D594" s="22"/>
      <x:c r="E594" s="22"/>
      <x:c r="F594" s="22"/>
      <x:c r="G594" s="22"/>
      <x:c r="L594" s="22"/>
      <x:c r="N594" s="24"/>
      <x:c r="O594" t="str">
        <x:f>IF(OR(D594="",G594=""),"",G594-D594)</x:f>
      </x:c>
    </x:row>
    <x:row r="595">
      <x:c r="D595" s="22"/>
      <x:c r="E595" s="22"/>
      <x:c r="F595" s="22"/>
      <x:c r="G595" s="22"/>
      <x:c r="L595" s="22"/>
      <x:c r="N595" s="24"/>
      <x:c r="O595" t="str">
        <x:f>IF(OR(D595="",G595=""),"",G595-D595)</x:f>
      </x:c>
    </x:row>
    <x:row r="596">
      <x:c r="D596" s="22"/>
      <x:c r="E596" s="22"/>
      <x:c r="F596" s="22"/>
      <x:c r="G596" s="22"/>
      <x:c r="L596" s="22"/>
      <x:c r="N596" s="24"/>
      <x:c r="O596" t="str">
        <x:f>IF(OR(D596="",G596=""),"",G596-D596)</x:f>
      </x:c>
    </x:row>
    <x:row r="597">
      <x:c r="D597" s="22"/>
      <x:c r="E597" s="22"/>
      <x:c r="F597" s="22"/>
      <x:c r="G597" s="22"/>
      <x:c r="L597" s="22"/>
      <x:c r="N597" s="24"/>
      <x:c r="O597" t="str">
        <x:f>IF(OR(D597="",G597=""),"",G597-D597)</x:f>
      </x:c>
    </x:row>
    <x:row r="598">
      <x:c r="D598" s="22"/>
      <x:c r="E598" s="22"/>
      <x:c r="F598" s="22"/>
      <x:c r="G598" s="22"/>
      <x:c r="L598" s="22"/>
      <x:c r="N598" s="24"/>
      <x:c r="O598" t="str">
        <x:f>IF(OR(D598="",G598=""),"",G598-D598)</x:f>
      </x:c>
    </x:row>
    <x:row r="599">
      <x:c r="D599" s="22"/>
      <x:c r="E599" s="22"/>
      <x:c r="F599" s="22"/>
      <x:c r="G599" s="22"/>
      <x:c r="L599" s="22"/>
      <x:c r="N599" s="24"/>
      <x:c r="O599" t="str">
        <x:f>IF(OR(D599="",G599=""),"",G599-D599)</x:f>
      </x:c>
    </x:row>
    <x:row r="600">
      <x:c r="D600" s="22"/>
      <x:c r="E600" s="22"/>
      <x:c r="F600" s="22"/>
      <x:c r="G600" s="22"/>
      <x:c r="L600" s="22"/>
      <x:c r="N600" s="24"/>
      <x:c r="O600" t="str">
        <x:f>IF(OR(D600="",G600=""),"",G600-D600)</x:f>
      </x:c>
    </x:row>
    <x:row r="601">
      <x:c r="D601" s="22"/>
      <x:c r="E601" s="22"/>
      <x:c r="F601" s="22"/>
      <x:c r="G601" s="22"/>
      <x:c r="L601" s="22"/>
      <x:c r="N601" s="24"/>
      <x:c r="O601" t="str">
        <x:f>IF(OR(D601="",G601=""),"",G601-D601)</x:f>
      </x:c>
    </x:row>
    <x:row r="602">
      <x:c r="D602" s="22"/>
      <x:c r="E602" s="22"/>
      <x:c r="F602" s="22"/>
      <x:c r="G602" s="22"/>
      <x:c r="L602" s="22"/>
      <x:c r="N602" s="24"/>
      <x:c r="O602" t="str">
        <x:f>IF(OR(D602="",G602=""),"",G602-D602)</x:f>
      </x:c>
    </x:row>
    <x:row r="603">
      <x:c r="D603" s="22"/>
      <x:c r="E603" s="22"/>
      <x:c r="F603" s="22"/>
      <x:c r="G603" s="22"/>
      <x:c r="L603" s="22"/>
      <x:c r="N603" s="24"/>
      <x:c r="O603" t="str">
        <x:f>IF(OR(D603="",G603=""),"",G603-D603)</x:f>
      </x:c>
    </x:row>
    <x:row r="604">
      <x:c r="D604" s="22"/>
      <x:c r="E604" s="22"/>
      <x:c r="F604" s="22"/>
      <x:c r="G604" s="22"/>
      <x:c r="L604" s="22"/>
      <x:c r="N604" s="24"/>
      <x:c r="O604" t="str">
        <x:f>IF(OR(D604="",G604=""),"",G604-D604)</x:f>
      </x:c>
    </x:row>
    <x:row r="605">
      <x:c r="D605" s="22"/>
      <x:c r="E605" s="22"/>
      <x:c r="F605" s="22"/>
      <x:c r="G605" s="22"/>
      <x:c r="L605" s="22"/>
      <x:c r="N605" s="24"/>
      <x:c r="O605" t="str">
        <x:f>IF(OR(D605="",G605=""),"",G605-D605)</x:f>
      </x:c>
    </x:row>
    <x:row r="606">
      <x:c r="D606" s="22"/>
      <x:c r="E606" s="22"/>
      <x:c r="F606" s="22"/>
      <x:c r="G606" s="22"/>
      <x:c r="L606" s="22"/>
      <x:c r="N606" s="24"/>
      <x:c r="O606" t="str">
        <x:f>IF(OR(D606="",G606=""),"",G606-D606)</x:f>
      </x:c>
    </x:row>
    <x:row r="607">
      <x:c r="D607" s="22"/>
      <x:c r="E607" s="22"/>
      <x:c r="F607" s="22"/>
      <x:c r="G607" s="22"/>
      <x:c r="L607" s="22"/>
      <x:c r="N607" s="24"/>
      <x:c r="O607" t="str">
        <x:f>IF(OR(D607="",G607=""),"",G607-D607)</x:f>
      </x:c>
    </x:row>
    <x:row r="608">
      <x:c r="D608" s="22"/>
      <x:c r="E608" s="22"/>
      <x:c r="F608" s="22"/>
      <x:c r="G608" s="22"/>
      <x:c r="L608" s="22"/>
      <x:c r="N608" s="24"/>
      <x:c r="O608" t="str">
        <x:f>IF(OR(D608="",G608=""),"",G608-D608)</x:f>
      </x:c>
    </x:row>
    <x:row r="609">
      <x:c r="D609" s="22"/>
      <x:c r="E609" s="22"/>
      <x:c r="F609" s="22"/>
      <x:c r="G609" s="22"/>
      <x:c r="L609" s="22"/>
      <x:c r="N609" s="24"/>
      <x:c r="O609" t="str">
        <x:f>IF(OR(D609="",G609=""),"",G609-D609)</x:f>
      </x:c>
    </x:row>
    <x:row r="610">
      <x:c r="D610" s="22"/>
      <x:c r="E610" s="22"/>
      <x:c r="F610" s="22"/>
      <x:c r="G610" s="22"/>
      <x:c r="L610" s="22"/>
      <x:c r="N610" s="24"/>
      <x:c r="O610" t="str">
        <x:f>IF(OR(D610="",G610=""),"",G610-D610)</x:f>
      </x:c>
    </x:row>
    <x:row r="611">
      <x:c r="D611" s="22"/>
      <x:c r="E611" s="22"/>
      <x:c r="F611" s="22"/>
      <x:c r="G611" s="22"/>
      <x:c r="L611" s="22"/>
      <x:c r="N611" s="24"/>
      <x:c r="O611" t="str">
        <x:f>IF(OR(D611="",G611=""),"",G611-D611)</x:f>
      </x:c>
    </x:row>
    <x:row r="612">
      <x:c r="D612" s="22"/>
      <x:c r="E612" s="22"/>
      <x:c r="F612" s="22"/>
      <x:c r="G612" s="22"/>
      <x:c r="L612" s="22"/>
      <x:c r="N612" s="24"/>
      <x:c r="O612" t="str">
        <x:f>IF(OR(D612="",G612=""),"",G612-D612)</x:f>
      </x:c>
    </x:row>
    <x:row r="613">
      <x:c r="D613" s="22"/>
      <x:c r="E613" s="22"/>
      <x:c r="F613" s="22"/>
      <x:c r="G613" s="22"/>
      <x:c r="L613" s="22"/>
      <x:c r="N613" s="24"/>
      <x:c r="O613" t="str">
        <x:f>IF(OR(D613="",G613=""),"",G613-D613)</x:f>
      </x:c>
    </x:row>
    <x:row r="614">
      <x:c r="D614" s="22"/>
      <x:c r="E614" s="22"/>
      <x:c r="F614" s="22"/>
      <x:c r="G614" s="22"/>
      <x:c r="L614" s="22"/>
      <x:c r="N614" s="24"/>
      <x:c r="O614" t="str">
        <x:f>IF(OR(D614="",G614=""),"",G614-D614)</x:f>
      </x:c>
    </x:row>
    <x:row r="615">
      <x:c r="D615" s="22"/>
      <x:c r="E615" s="22"/>
      <x:c r="F615" s="22"/>
      <x:c r="G615" s="22"/>
      <x:c r="L615" s="22"/>
      <x:c r="N615" s="24"/>
      <x:c r="O615" t="str">
        <x:f>IF(OR(D615="",G615=""),"",G615-D615)</x:f>
      </x:c>
    </x:row>
    <x:row r="616">
      <x:c r="D616" s="22"/>
      <x:c r="E616" s="22"/>
      <x:c r="F616" s="22"/>
      <x:c r="G616" s="22"/>
      <x:c r="L616" s="22"/>
      <x:c r="N616" s="24"/>
      <x:c r="O616" t="str">
        <x:f>IF(OR(D616="",G616=""),"",G616-D616)</x:f>
      </x:c>
    </x:row>
    <x:row r="617">
      <x:c r="D617" s="22"/>
      <x:c r="E617" s="22"/>
      <x:c r="F617" s="22"/>
      <x:c r="G617" s="22"/>
      <x:c r="L617" s="22"/>
      <x:c r="N617" s="24"/>
      <x:c r="O617" t="str">
        <x:f>IF(OR(D617="",G617=""),"",G617-D617)</x:f>
      </x:c>
    </x:row>
    <x:row r="618">
      <x:c r="D618" s="22"/>
      <x:c r="E618" s="22"/>
      <x:c r="F618" s="22"/>
      <x:c r="G618" s="22"/>
      <x:c r="L618" s="22"/>
      <x:c r="N618" s="24"/>
      <x:c r="O618" t="str">
        <x:f>IF(OR(D618="",G618=""),"",G618-D618)</x:f>
      </x:c>
    </x:row>
    <x:row r="619">
      <x:c r="D619" s="22"/>
      <x:c r="E619" s="22"/>
      <x:c r="F619" s="22"/>
      <x:c r="G619" s="22"/>
      <x:c r="L619" s="22"/>
      <x:c r="N619" s="24"/>
      <x:c r="O619" t="str">
        <x:f>IF(OR(D619="",G619=""),"",G619-D619)</x:f>
      </x:c>
    </x:row>
    <x:row r="620">
      <x:c r="D620" s="22"/>
      <x:c r="E620" s="22"/>
      <x:c r="F620" s="22"/>
      <x:c r="G620" s="22"/>
      <x:c r="L620" s="22"/>
      <x:c r="N620" s="24"/>
      <x:c r="O620" t="str">
        <x:f>IF(OR(D620="",G620=""),"",G620-D620)</x:f>
      </x:c>
    </x:row>
    <x:row r="621">
      <x:c r="D621" s="22"/>
      <x:c r="E621" s="22"/>
      <x:c r="F621" s="22"/>
      <x:c r="G621" s="22"/>
      <x:c r="L621" s="22"/>
      <x:c r="N621" s="24"/>
      <x:c r="O621" t="str">
        <x:f>IF(OR(D621="",G621=""),"",G621-D621)</x:f>
      </x:c>
    </x:row>
    <x:row r="622">
      <x:c r="D622" s="22"/>
      <x:c r="E622" s="22"/>
      <x:c r="F622" s="22"/>
      <x:c r="G622" s="22"/>
      <x:c r="L622" s="22"/>
      <x:c r="N622" s="24"/>
      <x:c r="O622" t="str">
        <x:f>IF(OR(D622="",G622=""),"",G622-D622)</x:f>
      </x:c>
    </x:row>
    <x:row r="623">
      <x:c r="D623" s="22"/>
      <x:c r="E623" s="22"/>
      <x:c r="F623" s="22"/>
      <x:c r="G623" s="22"/>
      <x:c r="L623" s="22"/>
      <x:c r="N623" s="24"/>
      <x:c r="O623" t="str">
        <x:f>IF(OR(D623="",G623=""),"",G623-D623)</x:f>
      </x:c>
    </x:row>
    <x:row r="624">
      <x:c r="D624" s="22"/>
      <x:c r="E624" s="22"/>
      <x:c r="F624" s="22"/>
      <x:c r="G624" s="22"/>
      <x:c r="L624" s="22"/>
      <x:c r="N624" s="24"/>
      <x:c r="O624" t="str">
        <x:f>IF(OR(D624="",G624=""),"",G624-D624)</x:f>
      </x:c>
    </x:row>
    <x:row r="625">
      <x:c r="D625" s="22"/>
      <x:c r="E625" s="22"/>
      <x:c r="F625" s="22"/>
      <x:c r="G625" s="22"/>
      <x:c r="L625" s="22"/>
      <x:c r="N625" s="24"/>
      <x:c r="O625" t="str">
        <x:f>IF(OR(D625="",G625=""),"",G625-D625)</x:f>
      </x:c>
    </x:row>
    <x:row r="626">
      <x:c r="D626" s="22"/>
      <x:c r="E626" s="22"/>
      <x:c r="F626" s="22"/>
      <x:c r="G626" s="22"/>
      <x:c r="L626" s="22"/>
      <x:c r="N626" s="24"/>
      <x:c r="O626" t="str">
        <x:f>IF(OR(D626="",G626=""),"",G626-D626)</x:f>
      </x:c>
    </x:row>
    <x:row r="627">
      <x:c r="D627" s="22"/>
      <x:c r="E627" s="22"/>
      <x:c r="F627" s="22"/>
      <x:c r="G627" s="22"/>
      <x:c r="L627" s="22"/>
      <x:c r="N627" s="24"/>
      <x:c r="O627" t="str">
        <x:f>IF(OR(D627="",G627=""),"",G627-D627)</x:f>
      </x:c>
    </x:row>
    <x:row r="628">
      <x:c r="D628" s="22"/>
      <x:c r="E628" s="22"/>
      <x:c r="F628" s="22"/>
      <x:c r="G628" s="22"/>
      <x:c r="L628" s="22"/>
      <x:c r="N628" s="24"/>
      <x:c r="O628" t="str">
        <x:f>IF(OR(D628="",G628=""),"",G628-D628)</x:f>
      </x:c>
    </x:row>
    <x:row r="629">
      <x:c r="D629" s="22"/>
      <x:c r="E629" s="22"/>
      <x:c r="F629" s="22"/>
      <x:c r="G629" s="22"/>
      <x:c r="L629" s="22"/>
      <x:c r="N629" s="24"/>
      <x:c r="O629" t="str">
        <x:f>IF(OR(D629="",G629=""),"",G629-D629)</x:f>
      </x:c>
    </x:row>
    <x:row r="630">
      <x:c r="D630" s="22"/>
      <x:c r="E630" s="22"/>
      <x:c r="F630" s="22"/>
      <x:c r="G630" s="22"/>
      <x:c r="L630" s="22"/>
      <x:c r="N630" s="24"/>
      <x:c r="O630" t="str">
        <x:f>IF(OR(D630="",G630=""),"",G630-D630)</x:f>
      </x:c>
    </x:row>
    <x:row r="631">
      <x:c r="D631" s="22"/>
      <x:c r="E631" s="22"/>
      <x:c r="F631" s="22"/>
      <x:c r="G631" s="22"/>
      <x:c r="L631" s="22"/>
      <x:c r="N631" s="24"/>
      <x:c r="O631" t="str">
        <x:f>IF(OR(D631="",G631=""),"",G631-D631)</x:f>
      </x:c>
    </x:row>
    <x:row r="632">
      <x:c r="D632" s="22"/>
      <x:c r="E632" s="22"/>
      <x:c r="F632" s="22"/>
      <x:c r="G632" s="22"/>
      <x:c r="L632" s="22"/>
      <x:c r="N632" s="24"/>
      <x:c r="O632" t="str">
        <x:f>IF(OR(D632="",G632=""),"",G632-D632)</x:f>
      </x:c>
    </x:row>
    <x:row r="633">
      <x:c r="D633" s="22"/>
      <x:c r="E633" s="22"/>
      <x:c r="F633" s="22"/>
      <x:c r="G633" s="22"/>
      <x:c r="L633" s="22"/>
      <x:c r="N633" s="24"/>
      <x:c r="O633" t="str">
        <x:f>IF(OR(D633="",G633=""),"",G633-D633)</x:f>
      </x:c>
    </x:row>
    <x:row r="634">
      <x:c r="D634" s="22"/>
      <x:c r="E634" s="22"/>
      <x:c r="F634" s="22"/>
      <x:c r="G634" s="22"/>
      <x:c r="L634" s="22"/>
      <x:c r="N634" s="24"/>
      <x:c r="O634" t="str">
        <x:f>IF(OR(D634="",G634=""),"",G634-D634)</x:f>
      </x:c>
    </x:row>
    <x:row r="635">
      <x:c r="D635" s="22"/>
      <x:c r="E635" s="22"/>
      <x:c r="F635" s="22"/>
      <x:c r="G635" s="22"/>
      <x:c r="L635" s="22"/>
      <x:c r="N635" s="24"/>
      <x:c r="O635" t="str">
        <x:f>IF(OR(D635="",G635=""),"",G635-D635)</x:f>
      </x:c>
    </x:row>
    <x:row r="636">
      <x:c r="D636" s="22"/>
      <x:c r="E636" s="22"/>
      <x:c r="F636" s="22"/>
      <x:c r="G636" s="22"/>
      <x:c r="L636" s="22"/>
      <x:c r="N636" s="24"/>
      <x:c r="O636" t="str">
        <x:f>IF(OR(D636="",G636=""),"",G636-D636)</x:f>
      </x:c>
    </x:row>
    <x:row r="637">
      <x:c r="D637" s="22"/>
      <x:c r="E637" s="22"/>
      <x:c r="F637" s="22"/>
      <x:c r="G637" s="22"/>
      <x:c r="L637" s="22"/>
      <x:c r="N637" s="24"/>
      <x:c r="O637" t="str">
        <x:f>IF(OR(D637="",G637=""),"",G637-D637)</x:f>
      </x:c>
    </x:row>
    <x:row r="638">
      <x:c r="D638" s="22"/>
      <x:c r="E638" s="22"/>
      <x:c r="F638" s="22"/>
      <x:c r="G638" s="22"/>
      <x:c r="L638" s="22"/>
      <x:c r="N638" s="24"/>
      <x:c r="O638" t="str">
        <x:f>IF(OR(D638="",G638=""),"",G638-D638)</x:f>
      </x:c>
    </x:row>
    <x:row r="639">
      <x:c r="D639" s="22"/>
      <x:c r="E639" s="22"/>
      <x:c r="F639" s="22"/>
      <x:c r="G639" s="22"/>
      <x:c r="L639" s="22"/>
      <x:c r="N639" s="24"/>
      <x:c r="O639" t="str">
        <x:f>IF(OR(D639="",G639=""),"",G639-D639)</x:f>
      </x:c>
    </x:row>
    <x:row r="640">
      <x:c r="D640" s="22"/>
      <x:c r="E640" s="22"/>
      <x:c r="F640" s="22"/>
      <x:c r="G640" s="22"/>
      <x:c r="L640" s="22"/>
      <x:c r="N640" s="24"/>
      <x:c r="O640" t="str">
        <x:f>IF(OR(D640="",G640=""),"",G640-D640)</x:f>
      </x:c>
    </x:row>
    <x:row r="641">
      <x:c r="D641" s="22"/>
      <x:c r="E641" s="22"/>
      <x:c r="F641" s="22"/>
      <x:c r="G641" s="22"/>
      <x:c r="L641" s="22"/>
      <x:c r="N641" s="24"/>
      <x:c r="O641" t="str">
        <x:f>IF(OR(D641="",G641=""),"",G641-D641)</x:f>
      </x:c>
    </x:row>
    <x:row r="642">
      <x:c r="D642" s="22"/>
      <x:c r="E642" s="22"/>
      <x:c r="F642" s="22"/>
      <x:c r="G642" s="22"/>
      <x:c r="L642" s="22"/>
      <x:c r="N642" s="24"/>
      <x:c r="O642" t="str">
        <x:f>IF(OR(D642="",G642=""),"",G642-D642)</x:f>
      </x:c>
    </x:row>
    <x:row r="643">
      <x:c r="D643" s="22"/>
      <x:c r="E643" s="22"/>
      <x:c r="F643" s="22"/>
      <x:c r="G643" s="22"/>
      <x:c r="L643" s="22"/>
      <x:c r="N643" s="24"/>
      <x:c r="O643" t="str">
        <x:f>IF(OR(D643="",G643=""),"",G643-D643)</x:f>
      </x:c>
    </x:row>
    <x:row r="644">
      <x:c r="D644" s="22"/>
      <x:c r="E644" s="22"/>
      <x:c r="F644" s="22"/>
      <x:c r="G644" s="22"/>
      <x:c r="L644" s="22"/>
      <x:c r="N644" s="24"/>
      <x:c r="O644" t="str">
        <x:f>IF(OR(D644="",G644=""),"",G644-D644)</x:f>
      </x:c>
    </x:row>
    <x:row r="645">
      <x:c r="D645" s="22"/>
      <x:c r="E645" s="22"/>
      <x:c r="F645" s="22"/>
      <x:c r="G645" s="22"/>
      <x:c r="L645" s="22"/>
      <x:c r="N645" s="24"/>
      <x:c r="O645" t="str">
        <x:f>IF(OR(D645="",G645=""),"",G645-D645)</x:f>
      </x:c>
    </x:row>
    <x:row r="646">
      <x:c r="D646" s="22"/>
      <x:c r="E646" s="22"/>
      <x:c r="F646" s="22"/>
      <x:c r="G646" s="22"/>
      <x:c r="L646" s="22"/>
      <x:c r="N646" s="24"/>
      <x:c r="O646" t="str">
        <x:f>IF(OR(D646="",G646=""),"",G646-D646)</x:f>
      </x:c>
    </x:row>
    <x:row r="647">
      <x:c r="D647" s="22"/>
      <x:c r="E647" s="22"/>
      <x:c r="F647" s="22"/>
      <x:c r="G647" s="22"/>
      <x:c r="L647" s="22"/>
      <x:c r="N647" s="24"/>
      <x:c r="O647" t="str">
        <x:f>IF(OR(D647="",G647=""),"",G647-D647)</x:f>
      </x:c>
    </x:row>
    <x:row r="648">
      <x:c r="D648" s="22"/>
      <x:c r="E648" s="22"/>
      <x:c r="F648" s="22"/>
      <x:c r="G648" s="22"/>
      <x:c r="L648" s="22"/>
      <x:c r="N648" s="24"/>
      <x:c r="O648" t="str">
        <x:f>IF(OR(D648="",G648=""),"",G648-D648)</x:f>
      </x:c>
    </x:row>
    <x:row r="649">
      <x:c r="D649" s="22"/>
      <x:c r="E649" s="22"/>
      <x:c r="F649" s="22"/>
      <x:c r="G649" s="22"/>
      <x:c r="L649" s="22"/>
      <x:c r="N649" s="24"/>
      <x:c r="O649" t="str">
        <x:f>IF(OR(D649="",G649=""),"",G649-D649)</x:f>
      </x:c>
    </x:row>
    <x:row r="650">
      <x:c r="D650" s="22"/>
      <x:c r="E650" s="22"/>
      <x:c r="F650" s="22"/>
      <x:c r="G650" s="22"/>
      <x:c r="L650" s="22"/>
      <x:c r="N650" s="24"/>
      <x:c r="O650" t="str">
        <x:f>IF(OR(D650="",G650=""),"",G650-D650)</x:f>
      </x:c>
    </x:row>
    <x:row r="651">
      <x:c r="D651" s="22"/>
      <x:c r="E651" s="22"/>
      <x:c r="F651" s="22"/>
      <x:c r="G651" s="22"/>
      <x:c r="L651" s="22"/>
      <x:c r="N651" s="24"/>
      <x:c r="O651" t="str">
        <x:f>IF(OR(D651="",G651=""),"",G651-D651)</x:f>
      </x:c>
    </x:row>
    <x:row r="652">
      <x:c r="D652" s="22"/>
      <x:c r="E652" s="22"/>
      <x:c r="F652" s="22"/>
      <x:c r="G652" s="22"/>
      <x:c r="L652" s="22"/>
      <x:c r="N652" s="24"/>
      <x:c r="O652" t="str">
        <x:f>IF(OR(D652="",G652=""),"",G652-D652)</x:f>
      </x:c>
    </x:row>
    <x:row r="653">
      <x:c r="D653" s="22"/>
      <x:c r="E653" s="22"/>
      <x:c r="F653" s="22"/>
      <x:c r="G653" s="22"/>
      <x:c r="L653" s="22"/>
      <x:c r="N653" s="24"/>
      <x:c r="O653" t="str">
        <x:f>IF(OR(D653="",G653=""),"",G653-D653)</x:f>
      </x:c>
    </x:row>
    <x:row r="654">
      <x:c r="D654" s="22"/>
      <x:c r="E654" s="22"/>
      <x:c r="F654" s="22"/>
      <x:c r="G654" s="22"/>
      <x:c r="L654" s="22"/>
      <x:c r="N654" s="24"/>
      <x:c r="O654" t="str">
        <x:f>IF(OR(D654="",G654=""),"",G654-D654)</x:f>
      </x:c>
    </x:row>
    <x:row r="655">
      <x:c r="D655" s="22"/>
      <x:c r="E655" s="22"/>
      <x:c r="F655" s="22"/>
      <x:c r="G655" s="22"/>
      <x:c r="L655" s="22"/>
      <x:c r="N655" s="24"/>
      <x:c r="O655" t="str">
        <x:f>IF(OR(D655="",G655=""),"",G655-D655)</x:f>
      </x:c>
    </x:row>
    <x:row r="656">
      <x:c r="D656" s="22"/>
      <x:c r="E656" s="22"/>
      <x:c r="F656" s="22"/>
      <x:c r="G656" s="22"/>
      <x:c r="L656" s="22"/>
      <x:c r="N656" s="24"/>
      <x:c r="O656" t="str">
        <x:f>IF(OR(D656="",G656=""),"",G656-D656)</x:f>
      </x:c>
    </x:row>
    <x:row r="657">
      <x:c r="D657" s="22"/>
      <x:c r="E657" s="22"/>
      <x:c r="F657" s="22"/>
      <x:c r="G657" s="22"/>
      <x:c r="L657" s="22"/>
      <x:c r="N657" s="24"/>
      <x:c r="O657" t="str">
        <x:f>IF(OR(D657="",G657=""),"",G657-D657)</x:f>
      </x:c>
    </x:row>
    <x:row r="658">
      <x:c r="D658" s="22"/>
      <x:c r="E658" s="22"/>
      <x:c r="F658" s="22"/>
      <x:c r="G658" s="22"/>
      <x:c r="L658" s="22"/>
      <x:c r="N658" s="24"/>
      <x:c r="O658" t="str">
        <x:f>IF(OR(D658="",G658=""),"",G658-D658)</x:f>
      </x:c>
    </x:row>
    <x:row r="659">
      <x:c r="D659" s="22"/>
      <x:c r="E659" s="22"/>
      <x:c r="F659" s="22"/>
      <x:c r="G659" s="22"/>
      <x:c r="L659" s="22"/>
      <x:c r="N659" s="24"/>
      <x:c r="O659" t="str">
        <x:f>IF(OR(D659="",G659=""),"",G659-D659)</x:f>
      </x:c>
    </x:row>
    <x:row r="660">
      <x:c r="D660" s="22"/>
      <x:c r="E660" s="22"/>
      <x:c r="F660" s="22"/>
      <x:c r="G660" s="22"/>
      <x:c r="L660" s="22"/>
      <x:c r="N660" s="24"/>
      <x:c r="O660" t="str">
        <x:f>IF(OR(D660="",G660=""),"",G660-D660)</x:f>
      </x:c>
    </x:row>
    <x:row r="661">
      <x:c r="D661" s="22"/>
      <x:c r="E661" s="22"/>
      <x:c r="F661" s="22"/>
      <x:c r="G661" s="22"/>
      <x:c r="L661" s="22"/>
      <x:c r="N661" s="24"/>
      <x:c r="O661" t="str">
        <x:f>IF(OR(D661="",G661=""),"",G661-D661)</x:f>
      </x:c>
    </x:row>
    <x:row r="662">
      <x:c r="D662" s="22"/>
      <x:c r="E662" s="22"/>
      <x:c r="F662" s="22"/>
      <x:c r="G662" s="22"/>
      <x:c r="L662" s="22"/>
      <x:c r="N662" s="24"/>
      <x:c r="O662" t="str">
        <x:f>IF(OR(D662="",G662=""),"",G662-D662)</x:f>
      </x:c>
    </x:row>
    <x:row r="663">
      <x:c r="D663" s="22"/>
      <x:c r="E663" s="22"/>
      <x:c r="F663" s="22"/>
      <x:c r="G663" s="22"/>
      <x:c r="L663" s="22"/>
      <x:c r="N663" s="24"/>
      <x:c r="O663" t="str">
        <x:f>IF(OR(D663="",G663=""),"",G663-D663)</x:f>
      </x:c>
    </x:row>
    <x:row r="664">
      <x:c r="D664" s="22"/>
      <x:c r="E664" s="22"/>
      <x:c r="F664" s="22"/>
      <x:c r="G664" s="22"/>
      <x:c r="L664" s="22"/>
      <x:c r="N664" s="24"/>
      <x:c r="O664" t="str">
        <x:f>IF(OR(D664="",G664=""),"",G664-D664)</x:f>
      </x:c>
    </x:row>
    <x:row r="665">
      <x:c r="D665" s="22"/>
      <x:c r="E665" s="22"/>
      <x:c r="F665" s="22"/>
      <x:c r="G665" s="22"/>
      <x:c r="L665" s="22"/>
      <x:c r="N665" s="24"/>
      <x:c r="O665" t="str">
        <x:f>IF(OR(D665="",G665=""),"",G665-D665)</x:f>
      </x:c>
    </x:row>
    <x:row r="666">
      <x:c r="D666" s="22"/>
      <x:c r="E666" s="22"/>
      <x:c r="F666" s="22"/>
      <x:c r="G666" s="22"/>
      <x:c r="L666" s="22"/>
      <x:c r="N666" s="24"/>
      <x:c r="O666" t="str">
        <x:f>IF(OR(D666="",G666=""),"",G666-D666)</x:f>
      </x:c>
    </x:row>
    <x:row r="667">
      <x:c r="D667" s="22"/>
      <x:c r="E667" s="22"/>
      <x:c r="F667" s="22"/>
      <x:c r="G667" s="22"/>
      <x:c r="L667" s="22"/>
      <x:c r="N667" s="24"/>
      <x:c r="O667" t="str">
        <x:f>IF(OR(D667="",G667=""),"",G667-D667)</x:f>
      </x:c>
    </x:row>
    <x:row r="668">
      <x:c r="D668" s="22"/>
      <x:c r="E668" s="22"/>
      <x:c r="F668" s="22"/>
      <x:c r="G668" s="22"/>
      <x:c r="L668" s="22"/>
      <x:c r="N668" s="24"/>
      <x:c r="O668" t="str">
        <x:f>IF(OR(D668="",G668=""),"",G668-D668)</x:f>
      </x:c>
    </x:row>
    <x:row r="669">
      <x:c r="D669" s="22"/>
      <x:c r="E669" s="22"/>
      <x:c r="F669" s="22"/>
      <x:c r="G669" s="22"/>
      <x:c r="L669" s="22"/>
      <x:c r="N669" s="24"/>
      <x:c r="O669" t="str">
        <x:f>IF(OR(D669="",G669=""),"",G669-D669)</x:f>
      </x:c>
    </x:row>
    <x:row r="670">
      <x:c r="D670" s="22"/>
      <x:c r="E670" s="22"/>
      <x:c r="F670" s="22"/>
      <x:c r="G670" s="22"/>
      <x:c r="L670" s="22"/>
      <x:c r="N670" s="24"/>
      <x:c r="O670" t="str">
        <x:f>IF(OR(D670="",G670=""),"",G670-D670)</x:f>
      </x:c>
    </x:row>
    <x:row r="671">
      <x:c r="D671" s="22"/>
      <x:c r="E671" s="22"/>
      <x:c r="F671" s="22"/>
      <x:c r="G671" s="22"/>
      <x:c r="L671" s="22"/>
      <x:c r="N671" s="24"/>
      <x:c r="O671" t="str">
        <x:f>IF(OR(D671="",G671=""),"",G671-D671)</x:f>
      </x:c>
    </x:row>
    <x:row r="672">
      <x:c r="D672" s="22"/>
      <x:c r="E672" s="22"/>
      <x:c r="F672" s="22"/>
      <x:c r="G672" s="22"/>
      <x:c r="L672" s="22"/>
      <x:c r="N672" s="24"/>
      <x:c r="O672" t="str">
        <x:f>IF(OR(D672="",G672=""),"",G672-D672)</x:f>
      </x:c>
    </x:row>
    <x:row r="673">
      <x:c r="D673" s="22"/>
      <x:c r="E673" s="22"/>
      <x:c r="F673" s="22"/>
      <x:c r="G673" s="22"/>
      <x:c r="L673" s="22"/>
      <x:c r="N673" s="24"/>
      <x:c r="O673" t="str">
        <x:f>IF(OR(D673="",G673=""),"",G673-D673)</x:f>
      </x:c>
    </x:row>
    <x:row r="674">
      <x:c r="D674" s="22"/>
      <x:c r="E674" s="22"/>
      <x:c r="F674" s="22"/>
      <x:c r="G674" s="22"/>
      <x:c r="L674" s="22"/>
      <x:c r="N674" s="24"/>
      <x:c r="O674" t="str">
        <x:f>IF(OR(D674="",G674=""),"",G674-D674)</x:f>
      </x:c>
    </x:row>
    <x:row r="675">
      <x:c r="D675" s="22"/>
      <x:c r="E675" s="22"/>
      <x:c r="F675" s="22"/>
      <x:c r="G675" s="22"/>
      <x:c r="L675" s="22"/>
      <x:c r="N675" s="24"/>
      <x:c r="O675" t="str">
        <x:f>IF(OR(D675="",G675=""),"",G675-D675)</x:f>
      </x:c>
    </x:row>
    <x:row r="676">
      <x:c r="D676" s="22"/>
      <x:c r="E676" s="22"/>
      <x:c r="F676" s="22"/>
      <x:c r="G676" s="22"/>
      <x:c r="L676" s="22"/>
      <x:c r="N676" s="24"/>
      <x:c r="O676" t="str">
        <x:f>IF(OR(D676="",G676=""),"",G676-D676)</x:f>
      </x:c>
    </x:row>
    <x:row r="677">
      <x:c r="D677" s="22"/>
      <x:c r="E677" s="22"/>
      <x:c r="F677" s="22"/>
      <x:c r="G677" s="22"/>
      <x:c r="L677" s="22"/>
      <x:c r="N677" s="24"/>
      <x:c r="O677" t="str">
        <x:f>IF(OR(D677="",G677=""),"",G677-D677)</x:f>
      </x:c>
    </x:row>
    <x:row r="678">
      <x:c r="D678" s="22"/>
      <x:c r="E678" s="22"/>
      <x:c r="F678" s="22"/>
      <x:c r="G678" s="22"/>
      <x:c r="L678" s="22"/>
      <x:c r="N678" s="24"/>
      <x:c r="O678" t="str">
        <x:f>IF(OR(D678="",G678=""),"",G678-D678)</x:f>
      </x:c>
    </x:row>
    <x:row r="679">
      <x:c r="D679" s="22"/>
      <x:c r="E679" s="22"/>
      <x:c r="F679" s="22"/>
      <x:c r="G679" s="22"/>
      <x:c r="L679" s="22"/>
      <x:c r="N679" s="24"/>
      <x:c r="O679" t="str">
        <x:f>IF(OR(D679="",G679=""),"",G679-D679)</x:f>
      </x:c>
    </x:row>
    <x:row r="680">
      <x:c r="D680" s="22"/>
      <x:c r="E680" s="22"/>
      <x:c r="F680" s="22"/>
      <x:c r="G680" s="22"/>
      <x:c r="L680" s="22"/>
      <x:c r="N680" s="24"/>
      <x:c r="O680" t="str">
        <x:f>IF(OR(D680="",G680=""),"",G680-D680)</x:f>
      </x:c>
    </x:row>
    <x:row r="681">
      <x:c r="D681" s="22"/>
      <x:c r="E681" s="22"/>
      <x:c r="F681" s="22"/>
      <x:c r="G681" s="22"/>
      <x:c r="L681" s="22"/>
      <x:c r="N681" s="24"/>
      <x:c r="O681" t="str">
        <x:f>IF(OR(D681="",G681=""),"",G681-D681)</x:f>
      </x:c>
    </x:row>
    <x:row r="682">
      <x:c r="D682" s="22"/>
      <x:c r="E682" s="22"/>
      <x:c r="F682" s="22"/>
      <x:c r="G682" s="22"/>
      <x:c r="L682" s="22"/>
      <x:c r="N682" s="24"/>
      <x:c r="O682" t="str">
        <x:f>IF(OR(D682="",G682=""),"",G682-D682)</x:f>
      </x:c>
    </x:row>
    <x:row r="683">
      <x:c r="D683" s="22"/>
      <x:c r="E683" s="22"/>
      <x:c r="F683" s="22"/>
      <x:c r="G683" s="22"/>
      <x:c r="L683" s="22"/>
      <x:c r="N683" s="24"/>
      <x:c r="O683" t="str">
        <x:f>IF(OR(D683="",G683=""),"",G683-D683)</x:f>
      </x:c>
    </x:row>
    <x:row r="684">
      <x:c r="D684" s="22"/>
      <x:c r="E684" s="22"/>
      <x:c r="F684" s="22"/>
      <x:c r="G684" s="22"/>
      <x:c r="L684" s="22"/>
      <x:c r="N684" s="24"/>
      <x:c r="O684" t="str">
        <x:f>IF(OR(D684="",G684=""),"",G684-D684)</x:f>
      </x:c>
    </x:row>
    <x:row r="685">
      <x:c r="D685" s="22"/>
      <x:c r="E685" s="22"/>
      <x:c r="F685" s="22"/>
      <x:c r="G685" s="22"/>
      <x:c r="L685" s="22"/>
      <x:c r="N685" s="24"/>
      <x:c r="O685" t="str">
        <x:f>IF(OR(D685="",G685=""),"",G685-D685)</x:f>
      </x:c>
    </x:row>
    <x:row r="686">
      <x:c r="D686" s="22"/>
      <x:c r="E686" s="22"/>
      <x:c r="F686" s="22"/>
      <x:c r="G686" s="22"/>
      <x:c r="L686" s="22"/>
      <x:c r="N686" s="24"/>
      <x:c r="O686" t="str">
        <x:f>IF(OR(D686="",G686=""),"",G686-D686)</x:f>
      </x:c>
    </x:row>
    <x:row r="687">
      <x:c r="D687" s="22"/>
      <x:c r="E687" s="22"/>
      <x:c r="F687" s="22"/>
      <x:c r="G687" s="22"/>
      <x:c r="L687" s="22"/>
      <x:c r="N687" s="24"/>
      <x:c r="O687" t="str">
        <x:f>IF(OR(D687="",G687=""),"",G687-D687)</x:f>
      </x:c>
    </x:row>
    <x:row r="688">
      <x:c r="D688" s="22"/>
      <x:c r="E688" s="22"/>
      <x:c r="F688" s="22"/>
      <x:c r="G688" s="22"/>
      <x:c r="L688" s="22"/>
      <x:c r="N688" s="24"/>
      <x:c r="O688" t="str">
        <x:f>IF(OR(D688="",G688=""),"",G688-D688)</x:f>
      </x:c>
    </x:row>
    <x:row r="689">
      <x:c r="D689" s="22"/>
      <x:c r="E689" s="22"/>
      <x:c r="F689" s="22"/>
      <x:c r="G689" s="22"/>
      <x:c r="L689" s="22"/>
      <x:c r="N689" s="24"/>
      <x:c r="O689" t="str">
        <x:f>IF(OR(D689="",G689=""),"",G689-D689)</x:f>
      </x:c>
    </x:row>
    <x:row r="690">
      <x:c r="D690" s="22"/>
      <x:c r="E690" s="22"/>
      <x:c r="F690" s="22"/>
      <x:c r="G690" s="22"/>
      <x:c r="L690" s="22"/>
      <x:c r="N690" s="24"/>
      <x:c r="O690" t="str">
        <x:f>IF(OR(D690="",G690=""),"",G690-D690)</x:f>
      </x:c>
    </x:row>
    <x:row r="691">
      <x:c r="D691" s="22"/>
      <x:c r="E691" s="22"/>
      <x:c r="F691" s="22"/>
      <x:c r="G691" s="22"/>
      <x:c r="L691" s="22"/>
      <x:c r="N691" s="24"/>
      <x:c r="O691" t="str">
        <x:f>IF(OR(D691="",G691=""),"",G691-D691)</x:f>
      </x:c>
    </x:row>
    <x:row r="692">
      <x:c r="D692" s="22"/>
      <x:c r="E692" s="22"/>
      <x:c r="F692" s="22"/>
      <x:c r="G692" s="22"/>
      <x:c r="L692" s="22"/>
      <x:c r="N692" s="24"/>
      <x:c r="O692" t="str">
        <x:f>IF(OR(D692="",G692=""),"",G692-D692)</x:f>
      </x:c>
    </x:row>
    <x:row r="693">
      <x:c r="D693" s="22"/>
      <x:c r="E693" s="22"/>
      <x:c r="F693" s="22"/>
      <x:c r="G693" s="22"/>
      <x:c r="L693" s="22"/>
      <x:c r="N693" s="24"/>
      <x:c r="O693" t="str">
        <x:f>IF(OR(D693="",G693=""),"",G693-D693)</x:f>
      </x:c>
    </x:row>
    <x:row r="694">
      <x:c r="D694" s="22"/>
      <x:c r="E694" s="22"/>
      <x:c r="F694" s="22"/>
      <x:c r="G694" s="22"/>
      <x:c r="L694" s="22"/>
      <x:c r="N694" s="24"/>
      <x:c r="O694" t="str">
        <x:f>IF(OR(D694="",G694=""),"",G694-D694)</x:f>
      </x:c>
    </x:row>
    <x:row r="695">
      <x:c r="D695" s="22"/>
      <x:c r="E695" s="22"/>
      <x:c r="F695" s="22"/>
      <x:c r="G695" s="22"/>
      <x:c r="L695" s="22"/>
      <x:c r="N695" s="24"/>
      <x:c r="O695" t="str">
        <x:f>IF(OR(D695="",G695=""),"",G695-D695)</x:f>
      </x:c>
    </x:row>
    <x:row r="696">
      <x:c r="D696" s="22"/>
      <x:c r="E696" s="22"/>
      <x:c r="F696" s="22"/>
      <x:c r="G696" s="22"/>
      <x:c r="L696" s="22"/>
      <x:c r="N696" s="24"/>
      <x:c r="O696" t="str">
        <x:f>IF(OR(D696="",G696=""),"",G696-D696)</x:f>
      </x:c>
    </x:row>
    <x:row r="697">
      <x:c r="D697" s="22"/>
      <x:c r="E697" s="22"/>
      <x:c r="F697" s="22"/>
      <x:c r="G697" s="22"/>
      <x:c r="L697" s="22"/>
      <x:c r="N697" s="24"/>
      <x:c r="O697" t="str">
        <x:f>IF(OR(D697="",G697=""),"",G697-D697)</x:f>
      </x:c>
    </x:row>
    <x:row r="698">
      <x:c r="D698" s="22"/>
      <x:c r="E698" s="22"/>
      <x:c r="F698" s="22"/>
      <x:c r="G698" s="22"/>
      <x:c r="L698" s="22"/>
      <x:c r="N698" s="24"/>
      <x:c r="O698" t="str">
        <x:f>IF(OR(D698="",G698=""),"",G698-D698)</x:f>
      </x:c>
    </x:row>
    <x:row r="699">
      <x:c r="D699" s="22"/>
      <x:c r="E699" s="22"/>
      <x:c r="F699" s="22"/>
      <x:c r="G699" s="22"/>
      <x:c r="L699" s="22"/>
      <x:c r="N699" s="24"/>
      <x:c r="O699" t="str">
        <x:f>IF(OR(D699="",G699=""),"",G699-D699)</x:f>
      </x:c>
    </x:row>
    <x:row r="700">
      <x:c r="D700" s="22"/>
      <x:c r="E700" s="22"/>
      <x:c r="F700" s="22"/>
      <x:c r="G700" s="22"/>
      <x:c r="L700" s="22"/>
      <x:c r="N700" s="24"/>
      <x:c r="O700" t="str">
        <x:f>IF(OR(D700="",G700=""),"",G700-D700)</x:f>
      </x:c>
    </x:row>
    <x:row r="701">
      <x:c r="D701" s="22"/>
      <x:c r="E701" s="22"/>
      <x:c r="F701" s="22"/>
      <x:c r="G701" s="22"/>
      <x:c r="L701" s="22"/>
      <x:c r="N701" s="24"/>
      <x:c r="O701" t="str">
        <x:f>IF(OR(D701="",G701=""),"",G701-D701)</x:f>
      </x:c>
    </x:row>
    <x:row r="702">
      <x:c r="D702" s="22"/>
      <x:c r="E702" s="22"/>
      <x:c r="F702" s="22"/>
      <x:c r="G702" s="22"/>
      <x:c r="L702" s="22"/>
      <x:c r="N702" s="24"/>
      <x:c r="O702" t="str">
        <x:f>IF(OR(D702="",G702=""),"",G702-D702)</x:f>
      </x:c>
    </x:row>
    <x:row r="703">
      <x:c r="D703" s="22"/>
      <x:c r="E703" s="22"/>
      <x:c r="F703" s="22"/>
      <x:c r="G703" s="22"/>
      <x:c r="L703" s="22"/>
      <x:c r="N703" s="24"/>
      <x:c r="O703" t="str">
        <x:f>IF(OR(D703="",G703=""),"",G703-D703)</x:f>
      </x:c>
    </x:row>
    <x:row r="704">
      <x:c r="D704" s="22"/>
      <x:c r="E704" s="22"/>
      <x:c r="F704" s="22"/>
      <x:c r="G704" s="22"/>
      <x:c r="L704" s="22"/>
      <x:c r="N704" s="24"/>
      <x:c r="O704" t="str">
        <x:f>IF(OR(D704="",G704=""),"",G704-D704)</x:f>
      </x:c>
    </x:row>
    <x:row r="705">
      <x:c r="D705" s="22"/>
      <x:c r="E705" s="22"/>
      <x:c r="F705" s="22"/>
      <x:c r="G705" s="22"/>
      <x:c r="L705" s="22"/>
      <x:c r="N705" s="24"/>
      <x:c r="O705" t="str">
        <x:f>IF(OR(D705="",G705=""),"",G705-D705)</x:f>
      </x:c>
    </x:row>
    <x:row r="706">
      <x:c r="D706" s="22"/>
      <x:c r="E706" s="22"/>
      <x:c r="F706" s="22"/>
      <x:c r="G706" s="22"/>
      <x:c r="L706" s="22"/>
      <x:c r="N706" s="24"/>
      <x:c r="O706" t="str">
        <x:f>IF(OR(D706="",G706=""),"",G706-D706)</x:f>
      </x:c>
    </x:row>
    <x:row r="707">
      <x:c r="D707" s="22"/>
      <x:c r="E707" s="22"/>
      <x:c r="F707" s="22"/>
      <x:c r="G707" s="22"/>
      <x:c r="L707" s="22"/>
      <x:c r="N707" s="24"/>
      <x:c r="O707" t="str">
        <x:f>IF(OR(D707="",G707=""),"",G707-D707)</x:f>
      </x:c>
    </x:row>
    <x:row r="708">
      <x:c r="D708" s="22"/>
      <x:c r="E708" s="22"/>
      <x:c r="F708" s="22"/>
      <x:c r="G708" s="22"/>
      <x:c r="L708" s="22"/>
      <x:c r="N708" s="24"/>
      <x:c r="O708" t="str">
        <x:f>IF(OR(D708="",G708=""),"",G708-D708)</x:f>
      </x:c>
    </x:row>
    <x:row r="709">
      <x:c r="D709" s="22"/>
      <x:c r="E709" s="22"/>
      <x:c r="F709" s="22"/>
      <x:c r="G709" s="22"/>
      <x:c r="L709" s="22"/>
      <x:c r="N709" s="24"/>
      <x:c r="O709" t="str">
        <x:f>IF(OR(D709="",G709=""),"",G709-D709)</x:f>
      </x:c>
    </x:row>
    <x:row r="710">
      <x:c r="D710" s="22"/>
      <x:c r="E710" s="22"/>
      <x:c r="F710" s="22"/>
      <x:c r="G710" s="22"/>
      <x:c r="L710" s="22"/>
      <x:c r="N710" s="24"/>
      <x:c r="O710" t="str">
        <x:f>IF(OR(D710="",G710=""),"",G710-D710)</x:f>
      </x:c>
    </x:row>
    <x:row r="711">
      <x:c r="D711" s="22"/>
      <x:c r="E711" s="22"/>
      <x:c r="F711" s="22"/>
      <x:c r="G711" s="22"/>
      <x:c r="L711" s="22"/>
      <x:c r="N711" s="24"/>
      <x:c r="O711" t="str">
        <x:f>IF(OR(D711="",G711=""),"",G711-D711)</x:f>
      </x:c>
    </x:row>
    <x:row r="712">
      <x:c r="D712" s="22"/>
      <x:c r="E712" s="22"/>
      <x:c r="F712" s="22"/>
      <x:c r="G712" s="22"/>
      <x:c r="L712" s="22"/>
      <x:c r="N712" s="24"/>
      <x:c r="O712" t="str">
        <x:f>IF(OR(D712="",G712=""),"",G712-D712)</x:f>
      </x:c>
    </x:row>
    <x:row r="713">
      <x:c r="D713" s="22"/>
      <x:c r="E713" s="22"/>
      <x:c r="F713" s="22"/>
      <x:c r="G713" s="22"/>
      <x:c r="L713" s="22"/>
      <x:c r="N713" s="24"/>
      <x:c r="O713" t="str">
        <x:f>IF(OR(D713="",G713=""),"",G713-D713)</x:f>
      </x:c>
    </x:row>
    <x:row r="714">
      <x:c r="D714" s="22"/>
      <x:c r="E714" s="22"/>
      <x:c r="F714" s="22"/>
      <x:c r="G714" s="22"/>
      <x:c r="L714" s="22"/>
      <x:c r="N714" s="24"/>
      <x:c r="O714" t="str">
        <x:f>IF(OR(D714="",G714=""),"",G714-D714)</x:f>
      </x:c>
    </x:row>
    <x:row r="715">
      <x:c r="D715" s="22"/>
      <x:c r="E715" s="22"/>
      <x:c r="F715" s="22"/>
      <x:c r="G715" s="22"/>
      <x:c r="L715" s="22"/>
      <x:c r="N715" s="24"/>
      <x:c r="O715" t="str">
        <x:f>IF(OR(D715="",G715=""),"",G715-D715)</x:f>
      </x:c>
    </x:row>
    <x:row r="716">
      <x:c r="D716" s="22"/>
      <x:c r="E716" s="22"/>
      <x:c r="F716" s="22"/>
      <x:c r="G716" s="22"/>
      <x:c r="L716" s="22"/>
      <x:c r="N716" s="24"/>
      <x:c r="O716" t="str">
        <x:f>IF(OR(D716="",G716=""),"",G716-D716)</x:f>
      </x:c>
    </x:row>
    <x:row r="717">
      <x:c r="D717" s="22"/>
      <x:c r="E717" s="22"/>
      <x:c r="F717" s="22"/>
      <x:c r="G717" s="22"/>
      <x:c r="L717" s="22"/>
      <x:c r="N717" s="24"/>
      <x:c r="O717" t="str">
        <x:f>IF(OR(D717="",G717=""),"",G717-D717)</x:f>
      </x:c>
    </x:row>
    <x:row r="718">
      <x:c r="D718" s="22"/>
      <x:c r="E718" s="22"/>
      <x:c r="F718" s="22"/>
      <x:c r="G718" s="22"/>
      <x:c r="L718" s="22"/>
      <x:c r="N718" s="24"/>
      <x:c r="O718" t="str">
        <x:f>IF(OR(D718="",G718=""),"",G718-D718)</x:f>
      </x:c>
    </x:row>
    <x:row r="719">
      <x:c r="D719" s="22"/>
      <x:c r="E719" s="22"/>
      <x:c r="F719" s="22"/>
      <x:c r="G719" s="22"/>
      <x:c r="L719" s="22"/>
      <x:c r="N719" s="24"/>
      <x:c r="O719" t="str">
        <x:f>IF(OR(D719="",G719=""),"",G719-D719)</x:f>
      </x:c>
    </x:row>
    <x:row r="720">
      <x:c r="D720" s="22"/>
      <x:c r="E720" s="22"/>
      <x:c r="F720" s="22"/>
      <x:c r="G720" s="22"/>
      <x:c r="L720" s="22"/>
      <x:c r="N720" s="24"/>
      <x:c r="O720" t="str">
        <x:f>IF(OR(D720="",G720=""),"",G720-D720)</x:f>
      </x:c>
    </x:row>
    <x:row r="721">
      <x:c r="D721" s="22"/>
      <x:c r="E721" s="22"/>
      <x:c r="F721" s="22"/>
      <x:c r="G721" s="22"/>
      <x:c r="L721" s="22"/>
      <x:c r="N721" s="24"/>
      <x:c r="O721" t="str">
        <x:f>IF(OR(D721="",G721=""),"",G721-D721)</x:f>
      </x:c>
    </x:row>
    <x:row r="722">
      <x:c r="D722" s="22"/>
      <x:c r="E722" s="22"/>
      <x:c r="F722" s="22"/>
      <x:c r="G722" s="22"/>
      <x:c r="L722" s="22"/>
      <x:c r="N722" s="24"/>
      <x:c r="O722" t="str">
        <x:f>IF(OR(D722="",G722=""),"",G722-D722)</x:f>
      </x:c>
    </x:row>
    <x:row r="723">
      <x:c r="D723" s="22"/>
      <x:c r="E723" s="22"/>
      <x:c r="F723" s="22"/>
      <x:c r="G723" s="22"/>
      <x:c r="L723" s="22"/>
      <x:c r="N723" s="24"/>
      <x:c r="O723" t="str">
        <x:f>IF(OR(D723="",G723=""),"",G723-D723)</x:f>
      </x:c>
    </x:row>
    <x:row r="724">
      <x:c r="D724" s="22"/>
      <x:c r="E724" s="22"/>
      <x:c r="F724" s="22"/>
      <x:c r="G724" s="22"/>
      <x:c r="L724" s="22"/>
      <x:c r="N724" s="24"/>
      <x:c r="O724" t="str">
        <x:f>IF(OR(D724="",G724=""),"",G724-D724)</x:f>
      </x:c>
    </x:row>
    <x:row r="725">
      <x:c r="D725" s="22"/>
      <x:c r="E725" s="22"/>
      <x:c r="F725" s="22"/>
      <x:c r="G725" s="22"/>
      <x:c r="L725" s="22"/>
      <x:c r="N725" s="24"/>
      <x:c r="O725" t="str">
        <x:f>IF(OR(D725="",G725=""),"",G725-D725)</x:f>
      </x:c>
    </x:row>
    <x:row r="726">
      <x:c r="D726" s="22"/>
      <x:c r="E726" s="22"/>
      <x:c r="F726" s="22"/>
      <x:c r="G726" s="22"/>
      <x:c r="L726" s="22"/>
      <x:c r="N726" s="24"/>
      <x:c r="O726" t="str">
        <x:f>IF(OR(D726="",G726=""),"",G726-D726)</x:f>
      </x:c>
    </x:row>
    <x:row r="727">
      <x:c r="D727" s="22"/>
      <x:c r="E727" s="22"/>
      <x:c r="F727" s="22"/>
      <x:c r="G727" s="22"/>
      <x:c r="L727" s="22"/>
      <x:c r="N727" s="24"/>
      <x:c r="O727" t="str">
        <x:f>IF(OR(D727="",G727=""),"",G727-D727)</x:f>
      </x:c>
    </x:row>
    <x:row r="728">
      <x:c r="D728" s="22"/>
      <x:c r="E728" s="22"/>
      <x:c r="F728" s="22"/>
      <x:c r="G728" s="22"/>
      <x:c r="L728" s="22"/>
      <x:c r="N728" s="24"/>
      <x:c r="O728" t="str">
        <x:f>IF(OR(D728="",G728=""),"",G728-D728)</x:f>
      </x:c>
    </x:row>
    <x:row r="729">
      <x:c r="D729" s="22"/>
      <x:c r="E729" s="22"/>
      <x:c r="F729" s="22"/>
      <x:c r="G729" s="22"/>
      <x:c r="L729" s="22"/>
      <x:c r="N729" s="24"/>
      <x:c r="O729" t="str">
        <x:f>IF(OR(D729="",G729=""),"",G729-D729)</x:f>
      </x:c>
    </x:row>
    <x:row r="730">
      <x:c r="D730" s="22"/>
      <x:c r="E730" s="22"/>
      <x:c r="F730" s="22"/>
      <x:c r="G730" s="22"/>
      <x:c r="L730" s="22"/>
      <x:c r="N730" s="24"/>
      <x:c r="O730" t="str">
        <x:f>IF(OR(D730="",G730=""),"",G730-D730)</x:f>
      </x:c>
    </x:row>
    <x:row r="731">
      <x:c r="D731" s="22"/>
      <x:c r="E731" s="22"/>
      <x:c r="F731" s="22"/>
      <x:c r="G731" s="22"/>
      <x:c r="L731" s="22"/>
      <x:c r="N731" s="24"/>
      <x:c r="O731" t="str">
        <x:f>IF(OR(D731="",G731=""),"",G731-D731)</x:f>
      </x:c>
    </x:row>
    <x:row r="732">
      <x:c r="D732" s="22"/>
      <x:c r="E732" s="22"/>
      <x:c r="F732" s="22"/>
      <x:c r="G732" s="22"/>
      <x:c r="L732" s="22"/>
      <x:c r="N732" s="24"/>
      <x:c r="O732" t="str">
        <x:f>IF(OR(D732="",G732=""),"",G732-D732)</x:f>
      </x:c>
    </x:row>
    <x:row r="733">
      <x:c r="D733" s="22"/>
      <x:c r="E733" s="22"/>
      <x:c r="F733" s="22"/>
      <x:c r="G733" s="22"/>
      <x:c r="L733" s="22"/>
      <x:c r="N733" s="24"/>
      <x:c r="O733" t="str">
        <x:f>IF(OR(D733="",G733=""),"",G733-D733)</x:f>
      </x:c>
    </x:row>
    <x:row r="734">
      <x:c r="D734" s="22"/>
      <x:c r="E734" s="22"/>
      <x:c r="F734" s="22"/>
      <x:c r="G734" s="22"/>
      <x:c r="L734" s="22"/>
      <x:c r="N734" s="24"/>
      <x:c r="O734" t="str">
        <x:f>IF(OR(D734="",G734=""),"",G734-D734)</x:f>
      </x:c>
    </x:row>
    <x:row r="735">
      <x:c r="D735" s="22"/>
      <x:c r="E735" s="22"/>
      <x:c r="F735" s="22"/>
      <x:c r="G735" s="22"/>
      <x:c r="L735" s="22"/>
      <x:c r="N735" s="24"/>
      <x:c r="O735" t="str">
        <x:f>IF(OR(D735="",G735=""),"",G735-D735)</x:f>
      </x:c>
    </x:row>
    <x:row r="736">
      <x:c r="D736" s="22"/>
      <x:c r="E736" s="22"/>
      <x:c r="F736" s="22"/>
      <x:c r="G736" s="22"/>
      <x:c r="L736" s="22"/>
      <x:c r="N736" s="24"/>
      <x:c r="O736" t="str">
        <x:f>IF(OR(D736="",G736=""),"",G736-D736)</x:f>
      </x:c>
    </x:row>
    <x:row r="737">
      <x:c r="D737" s="22"/>
      <x:c r="E737" s="22"/>
      <x:c r="F737" s="22"/>
      <x:c r="G737" s="22"/>
      <x:c r="L737" s="22"/>
      <x:c r="N737" s="24"/>
      <x:c r="O737" t="str">
        <x:f>IF(OR(D737="",G737=""),"",G737-D737)</x:f>
      </x:c>
    </x:row>
    <x:row r="738">
      <x:c r="D738" s="22"/>
      <x:c r="E738" s="22"/>
      <x:c r="F738" s="22"/>
      <x:c r="G738" s="22"/>
      <x:c r="L738" s="22"/>
      <x:c r="N738" s="24"/>
      <x:c r="O738" t="str">
        <x:f>IF(OR(D738="",G738=""),"",G738-D738)</x:f>
      </x:c>
    </x:row>
    <x:row r="739">
      <x:c r="D739" s="22"/>
      <x:c r="E739" s="22"/>
      <x:c r="F739" s="22"/>
      <x:c r="G739" s="22"/>
      <x:c r="L739" s="22"/>
      <x:c r="N739" s="24"/>
      <x:c r="O739" t="str">
        <x:f>IF(OR(D739="",G739=""),"",G739-D739)</x:f>
      </x:c>
    </x:row>
    <x:row r="740">
      <x:c r="D740" s="22"/>
      <x:c r="E740" s="22"/>
      <x:c r="F740" s="22"/>
      <x:c r="G740" s="22"/>
      <x:c r="L740" s="22"/>
      <x:c r="N740" s="24"/>
      <x:c r="O740" t="str">
        <x:f>IF(OR(D740="",G740=""),"",G740-D740)</x:f>
      </x:c>
    </x:row>
    <x:row r="741">
      <x:c r="D741" s="22"/>
      <x:c r="E741" s="22"/>
      <x:c r="F741" s="22"/>
      <x:c r="G741" s="22"/>
      <x:c r="L741" s="22"/>
      <x:c r="N741" s="24"/>
      <x:c r="O741" t="str">
        <x:f>IF(OR(D741="",G741=""),"",G741-D741)</x:f>
      </x:c>
    </x:row>
    <x:row r="742">
      <x:c r="D742" s="22"/>
      <x:c r="E742" s="22"/>
      <x:c r="F742" s="22"/>
      <x:c r="G742" s="22"/>
      <x:c r="L742" s="22"/>
      <x:c r="N742" s="24"/>
      <x:c r="O742" t="str">
        <x:f>IF(OR(D742="",G742=""),"",G742-D742)</x:f>
      </x:c>
    </x:row>
    <x:row r="743">
      <x:c r="D743" s="22"/>
      <x:c r="E743" s="22"/>
      <x:c r="F743" s="22"/>
      <x:c r="G743" s="22"/>
      <x:c r="L743" s="22"/>
      <x:c r="N743" s="24"/>
      <x:c r="O743" t="str">
        <x:f>IF(OR(D743="",G743=""),"",G743-D743)</x:f>
      </x:c>
    </x:row>
    <x:row r="744">
      <x:c r="D744" s="22"/>
      <x:c r="E744" s="22"/>
      <x:c r="F744" s="22"/>
      <x:c r="G744" s="22"/>
      <x:c r="L744" s="22"/>
      <x:c r="N744" s="24"/>
      <x:c r="O744" t="str">
        <x:f>IF(OR(D744="",G744=""),"",G744-D744)</x:f>
      </x:c>
    </x:row>
    <x:row r="745">
      <x:c r="D745" s="22"/>
      <x:c r="E745" s="22"/>
      <x:c r="F745" s="22"/>
      <x:c r="G745" s="22"/>
      <x:c r="L745" s="22"/>
      <x:c r="N745" s="24"/>
      <x:c r="O745" t="str">
        <x:f>IF(OR(D745="",G745=""),"",G745-D745)</x:f>
      </x:c>
    </x:row>
    <x:row r="746">
      <x:c r="D746" s="22"/>
      <x:c r="E746" s="22"/>
      <x:c r="F746" s="22"/>
      <x:c r="G746" s="22"/>
      <x:c r="L746" s="22"/>
      <x:c r="N746" s="24"/>
      <x:c r="O746" t="str">
        <x:f>IF(OR(D746="",G746=""),"",G746-D746)</x:f>
      </x:c>
    </x:row>
    <x:row r="747">
      <x:c r="D747" s="22"/>
      <x:c r="E747" s="22"/>
      <x:c r="F747" s="22"/>
      <x:c r="G747" s="22"/>
      <x:c r="L747" s="22"/>
      <x:c r="N747" s="24"/>
      <x:c r="O747" t="str">
        <x:f>IF(OR(D747="",G747=""),"",G747-D747)</x:f>
      </x:c>
    </x:row>
    <x:row r="748">
      <x:c r="D748" s="22"/>
      <x:c r="E748" s="22"/>
      <x:c r="F748" s="22"/>
      <x:c r="G748" s="22"/>
      <x:c r="L748" s="22"/>
      <x:c r="N748" s="24"/>
      <x:c r="O748" t="str">
        <x:f>IF(OR(D748="",G748=""),"",G748-D748)</x:f>
      </x:c>
    </x:row>
    <x:row r="749">
      <x:c r="D749" s="22"/>
      <x:c r="E749" s="22"/>
      <x:c r="F749" s="22"/>
      <x:c r="G749" s="22"/>
      <x:c r="L749" s="22"/>
      <x:c r="N749" s="24"/>
      <x:c r="O749" t="str">
        <x:f>IF(OR(D749="",G749=""),"",G749-D749)</x:f>
      </x:c>
    </x:row>
    <x:row r="750">
      <x:c r="D750" s="22"/>
      <x:c r="E750" s="22"/>
      <x:c r="F750" s="22"/>
      <x:c r="G750" s="22"/>
      <x:c r="L750" s="22"/>
      <x:c r="N750" s="24"/>
      <x:c r="O750" t="str">
        <x:f>IF(OR(D750="",G750=""),"",G750-D750)</x:f>
      </x:c>
    </x:row>
    <x:row r="751">
      <x:c r="D751" s="22"/>
      <x:c r="E751" s="22"/>
      <x:c r="F751" s="22"/>
      <x:c r="G751" s="22"/>
      <x:c r="L751" s="22"/>
      <x:c r="N751" s="24"/>
      <x:c r="O751" t="str">
        <x:f>IF(OR(D751="",G751=""),"",G751-D751)</x:f>
      </x:c>
    </x:row>
    <x:row r="752">
      <x:c r="D752" s="22"/>
      <x:c r="E752" s="22"/>
      <x:c r="F752" s="22"/>
      <x:c r="G752" s="22"/>
      <x:c r="L752" s="22"/>
      <x:c r="N752" s="24"/>
      <x:c r="O752" t="str">
        <x:f>IF(OR(D752="",G752=""),"",G752-D752)</x:f>
      </x:c>
    </x:row>
    <x:row r="753">
      <x:c r="D753" s="22"/>
      <x:c r="E753" s="22"/>
      <x:c r="F753" s="22"/>
      <x:c r="G753" s="22"/>
      <x:c r="L753" s="22"/>
      <x:c r="N753" s="24"/>
      <x:c r="O753" t="str">
        <x:f>IF(OR(D753="",G753=""),"",G753-D753)</x:f>
      </x:c>
    </x:row>
    <x:row r="754">
      <x:c r="D754" s="22"/>
      <x:c r="E754" s="22"/>
      <x:c r="F754" s="22"/>
      <x:c r="G754" s="22"/>
      <x:c r="L754" s="22"/>
      <x:c r="N754" s="24"/>
      <x:c r="O754" t="str">
        <x:f>IF(OR(D754="",G754=""),"",G754-D754)</x:f>
      </x:c>
    </x:row>
    <x:row r="755">
      <x:c r="D755" s="22"/>
      <x:c r="E755" s="22"/>
      <x:c r="F755" s="22"/>
      <x:c r="G755" s="22"/>
      <x:c r="L755" s="22"/>
      <x:c r="N755" s="24"/>
      <x:c r="O755" t="str">
        <x:f>IF(OR(D755="",G755=""),"",G755-D755)</x:f>
      </x:c>
    </x:row>
    <x:row r="756">
      <x:c r="D756" s="22"/>
      <x:c r="E756" s="22"/>
      <x:c r="F756" s="22"/>
      <x:c r="G756" s="22"/>
      <x:c r="L756" s="22"/>
      <x:c r="N756" s="24"/>
      <x:c r="O756" t="str">
        <x:f>IF(OR(D756="",G756=""),"",G756-D756)</x:f>
      </x:c>
    </x:row>
    <x:row r="757">
      <x:c r="D757" s="22"/>
      <x:c r="E757" s="22"/>
      <x:c r="F757" s="22"/>
      <x:c r="G757" s="22"/>
      <x:c r="L757" s="22"/>
      <x:c r="N757" s="24"/>
      <x:c r="O757" t="str">
        <x:f>IF(OR(D757="",G757=""),"",G757-D757)</x:f>
      </x:c>
    </x:row>
    <x:row r="758">
      <x:c r="D758" s="22"/>
      <x:c r="E758" s="22"/>
      <x:c r="F758" s="22"/>
      <x:c r="G758" s="22"/>
      <x:c r="L758" s="22"/>
      <x:c r="N758" s="24"/>
      <x:c r="O758" t="str">
        <x:f>IF(OR(D758="",G758=""),"",G758-D758)</x:f>
      </x:c>
    </x:row>
    <x:row r="759">
      <x:c r="D759" s="22"/>
      <x:c r="E759" s="22"/>
      <x:c r="F759" s="22"/>
      <x:c r="G759" s="22"/>
      <x:c r="L759" s="22"/>
      <x:c r="N759" s="24"/>
      <x:c r="O759" t="str">
        <x:f>IF(OR(D759="",G759=""),"",G759-D759)</x:f>
      </x:c>
    </x:row>
    <x:row r="760">
      <x:c r="D760" s="22"/>
      <x:c r="E760" s="22"/>
      <x:c r="F760" s="22"/>
      <x:c r="G760" s="22"/>
      <x:c r="L760" s="22"/>
      <x:c r="N760" s="24"/>
      <x:c r="O760" t="str">
        <x:f>IF(OR(D760="",G760=""),"",G760-D760)</x:f>
      </x:c>
    </x:row>
    <x:row r="761">
      <x:c r="D761" s="22"/>
      <x:c r="E761" s="22"/>
      <x:c r="F761" s="22"/>
      <x:c r="G761" s="22"/>
      <x:c r="L761" s="22"/>
      <x:c r="N761" s="24"/>
      <x:c r="O761" t="str">
        <x:f>IF(OR(D761="",G761=""),"",G761-D761)</x:f>
      </x:c>
    </x:row>
    <x:row r="762">
      <x:c r="D762" s="22"/>
      <x:c r="E762" s="22"/>
      <x:c r="F762" s="22"/>
      <x:c r="G762" s="22"/>
      <x:c r="L762" s="22"/>
      <x:c r="N762" s="24"/>
      <x:c r="O762" t="str">
        <x:f>IF(OR(D762="",G762=""),"",G762-D762)</x:f>
      </x:c>
    </x:row>
    <x:row r="763">
      <x:c r="D763" s="22"/>
      <x:c r="E763" s="22"/>
      <x:c r="F763" s="22"/>
      <x:c r="G763" s="22"/>
      <x:c r="L763" s="22"/>
      <x:c r="N763" s="24"/>
      <x:c r="O763" t="str">
        <x:f>IF(OR(D763="",G763=""),"",G763-D763)</x:f>
      </x:c>
    </x:row>
    <x:row r="764">
      <x:c r="D764" s="22"/>
      <x:c r="E764" s="22"/>
      <x:c r="F764" s="22"/>
      <x:c r="G764" s="22"/>
      <x:c r="L764" s="22"/>
      <x:c r="N764" s="24"/>
      <x:c r="O764" t="str">
        <x:f>IF(OR(D764="",G764=""),"",G764-D764)</x:f>
      </x:c>
    </x:row>
    <x:row r="765">
      <x:c r="D765" s="22"/>
      <x:c r="E765" s="22"/>
      <x:c r="F765" s="22"/>
      <x:c r="G765" s="22"/>
      <x:c r="L765" s="22"/>
      <x:c r="N765" s="24"/>
      <x:c r="O765" t="str">
        <x:f>IF(OR(D765="",G765=""),"",G765-D765)</x:f>
      </x:c>
    </x:row>
    <x:row r="766">
      <x:c r="D766" s="22"/>
      <x:c r="E766" s="22"/>
      <x:c r="F766" s="22"/>
      <x:c r="G766" s="22"/>
      <x:c r="L766" s="22"/>
      <x:c r="N766" s="24"/>
      <x:c r="O766" t="str">
        <x:f>IF(OR(D766="",G766=""),"",G766-D766)</x:f>
      </x:c>
    </x:row>
    <x:row r="767">
      <x:c r="D767" s="22"/>
      <x:c r="E767" s="22"/>
      <x:c r="F767" s="22"/>
      <x:c r="G767" s="22"/>
      <x:c r="L767" s="22"/>
      <x:c r="N767" s="24"/>
      <x:c r="O767" t="str">
        <x:f>IF(OR(D767="",G767=""),"",G767-D767)</x:f>
      </x:c>
    </x:row>
    <x:row r="768">
      <x:c r="D768" s="22"/>
      <x:c r="E768" s="22"/>
      <x:c r="F768" s="22"/>
      <x:c r="G768" s="22"/>
      <x:c r="L768" s="22"/>
      <x:c r="N768" s="24"/>
      <x:c r="O768" t="str">
        <x:f>IF(OR(D768="",G768=""),"",G768-D768)</x:f>
      </x:c>
    </x:row>
    <x:row r="769">
      <x:c r="D769" s="22"/>
      <x:c r="E769" s="22"/>
      <x:c r="F769" s="22"/>
      <x:c r="G769" s="22"/>
      <x:c r="L769" s="22"/>
      <x:c r="N769" s="24"/>
      <x:c r="O769" t="str">
        <x:f>IF(OR(D769="",G769=""),"",G769-D769)</x:f>
      </x:c>
    </x:row>
    <x:row r="770">
      <x:c r="D770" s="22"/>
      <x:c r="E770" s="22"/>
      <x:c r="F770" s="22"/>
      <x:c r="G770" s="22"/>
      <x:c r="L770" s="22"/>
      <x:c r="N770" s="24"/>
      <x:c r="O770" t="str">
        <x:f>IF(OR(D770="",G770=""),"",G770-D770)</x:f>
      </x:c>
    </x:row>
    <x:row r="771">
      <x:c r="D771" s="22"/>
      <x:c r="E771" s="22"/>
      <x:c r="F771" s="22"/>
      <x:c r="G771" s="22"/>
      <x:c r="L771" s="22"/>
      <x:c r="N771" s="24"/>
      <x:c r="O771" t="str">
        <x:f>IF(OR(D771="",G771=""),"",G771-D771)</x:f>
      </x:c>
    </x:row>
    <x:row r="772">
      <x:c r="D772" s="22"/>
      <x:c r="E772" s="22"/>
      <x:c r="F772" s="22"/>
      <x:c r="G772" s="22"/>
      <x:c r="L772" s="22"/>
      <x:c r="N772" s="24"/>
      <x:c r="O772" t="str">
        <x:f>IF(OR(D772="",G772=""),"",G772-D772)</x:f>
      </x:c>
    </x:row>
    <x:row r="773">
      <x:c r="D773" s="22"/>
      <x:c r="E773" s="22"/>
      <x:c r="F773" s="22"/>
      <x:c r="G773" s="22"/>
      <x:c r="L773" s="22"/>
      <x:c r="N773" s="24"/>
      <x:c r="O773" t="str">
        <x:f>IF(OR(D773="",G773=""),"",G773-D773)</x:f>
      </x:c>
    </x:row>
    <x:row r="774">
      <x:c r="D774" s="22"/>
      <x:c r="E774" s="22"/>
      <x:c r="F774" s="22"/>
      <x:c r="G774" s="22"/>
      <x:c r="L774" s="22"/>
      <x:c r="N774" s="24"/>
      <x:c r="O774" t="str">
        <x:f>IF(OR(D774="",G774=""),"",G774-D774)</x:f>
      </x:c>
    </x:row>
    <x:row r="775">
      <x:c r="D775" s="22"/>
      <x:c r="E775" s="22"/>
      <x:c r="F775" s="22"/>
      <x:c r="G775" s="22"/>
      <x:c r="L775" s="22"/>
      <x:c r="N775" s="24"/>
      <x:c r="O775" t="str">
        <x:f>IF(OR(D775="",G775=""),"",G775-D775)</x:f>
      </x:c>
    </x:row>
    <x:row r="776">
      <x:c r="D776" s="22"/>
      <x:c r="E776" s="22"/>
      <x:c r="F776" s="22"/>
      <x:c r="G776" s="22"/>
      <x:c r="L776" s="22"/>
      <x:c r="N776" s="24"/>
      <x:c r="O776" t="str">
        <x:f>IF(OR(D776="",G776=""),"",G776-D776)</x:f>
      </x:c>
    </x:row>
    <x:row r="777">
      <x:c r="D777" s="22"/>
      <x:c r="E777" s="22"/>
      <x:c r="F777" s="22"/>
      <x:c r="G777" s="22"/>
      <x:c r="L777" s="22"/>
      <x:c r="N777" s="24"/>
      <x:c r="O777" t="str">
        <x:f>IF(OR(D777="",G777=""),"",G777-D777)</x:f>
      </x:c>
    </x:row>
    <x:row r="778">
      <x:c r="D778" s="22"/>
      <x:c r="E778" s="22"/>
      <x:c r="F778" s="22"/>
      <x:c r="G778" s="22"/>
      <x:c r="L778" s="22"/>
      <x:c r="N778" s="24"/>
      <x:c r="O778" t="str">
        <x:f>IF(OR(D778="",G778=""),"",G778-D778)</x:f>
      </x:c>
    </x:row>
    <x:row r="779">
      <x:c r="D779" s="22"/>
      <x:c r="E779" s="22"/>
      <x:c r="F779" s="22"/>
      <x:c r="G779" s="22"/>
      <x:c r="L779" s="22"/>
      <x:c r="N779" s="24"/>
      <x:c r="O779" t="str">
        <x:f>IF(OR(D779="",G779=""),"",G779-D779)</x:f>
      </x:c>
    </x:row>
    <x:row r="780">
      <x:c r="D780" s="22"/>
      <x:c r="E780" s="22"/>
      <x:c r="F780" s="22"/>
      <x:c r="G780" s="22"/>
      <x:c r="L780" s="22"/>
      <x:c r="N780" s="24"/>
      <x:c r="O780" t="str">
        <x:f>IF(OR(D780="",G780=""),"",G780-D780)</x:f>
      </x:c>
    </x:row>
    <x:row r="781">
      <x:c r="D781" s="22"/>
      <x:c r="E781" s="22"/>
      <x:c r="F781" s="22"/>
      <x:c r="G781" s="22"/>
      <x:c r="L781" s="22"/>
      <x:c r="N781" s="24"/>
      <x:c r="O781" t="str">
        <x:f>IF(OR(D781="",G781=""),"",G781-D781)</x:f>
      </x:c>
    </x:row>
    <x:row r="782">
      <x:c r="D782" s="22"/>
      <x:c r="E782" s="22"/>
      <x:c r="F782" s="22"/>
      <x:c r="G782" s="22"/>
      <x:c r="L782" s="22"/>
      <x:c r="N782" s="24"/>
      <x:c r="O782" t="str">
        <x:f>IF(OR(D782="",G782=""),"",G782-D782)</x:f>
      </x:c>
    </x:row>
    <x:row r="783">
      <x:c r="D783" s="22"/>
      <x:c r="E783" s="22"/>
      <x:c r="F783" s="22"/>
      <x:c r="G783" s="22"/>
      <x:c r="L783" s="22"/>
      <x:c r="N783" s="24"/>
      <x:c r="O783" t="str">
        <x:f>IF(OR(D783="",G783=""),"",G783-D783)</x:f>
      </x:c>
    </x:row>
    <x:row r="784">
      <x:c r="D784" s="22"/>
      <x:c r="E784" s="22"/>
      <x:c r="F784" s="22"/>
      <x:c r="G784" s="22"/>
      <x:c r="L784" s="22"/>
      <x:c r="N784" s="24"/>
      <x:c r="O784" t="str">
        <x:f>IF(OR(D784="",G784=""),"",G784-D784)</x:f>
      </x:c>
    </x:row>
    <x:row r="785">
      <x:c r="D785" s="22"/>
      <x:c r="E785" s="22"/>
      <x:c r="F785" s="22"/>
      <x:c r="G785" s="22"/>
      <x:c r="L785" s="22"/>
      <x:c r="N785" s="24"/>
      <x:c r="O785" t="str">
        <x:f>IF(OR(D785="",G785=""),"",G785-D785)</x:f>
      </x:c>
    </x:row>
    <x:row r="786">
      <x:c r="D786" s="22"/>
      <x:c r="E786" s="22"/>
      <x:c r="F786" s="22"/>
      <x:c r="G786" s="22"/>
      <x:c r="L786" s="22"/>
      <x:c r="N786" s="24"/>
      <x:c r="O786" t="str">
        <x:f>IF(OR(D786="",G786=""),"",G786-D786)</x:f>
      </x:c>
    </x:row>
    <x:row r="787">
      <x:c r="D787" s="22"/>
      <x:c r="E787" s="22"/>
      <x:c r="F787" s="22"/>
      <x:c r="G787" s="22"/>
      <x:c r="L787" s="22"/>
      <x:c r="N787" s="24"/>
      <x:c r="O787" t="str">
        <x:f>IF(OR(D787="",G787=""),"",G787-D787)</x:f>
      </x:c>
    </x:row>
    <x:row r="788">
      <x:c r="D788" s="22"/>
      <x:c r="E788" s="22"/>
      <x:c r="F788" s="22"/>
      <x:c r="G788" s="22"/>
      <x:c r="L788" s="22"/>
      <x:c r="N788" s="24"/>
      <x:c r="O788" t="str">
        <x:f>IF(OR(D788="",G788=""),"",G788-D788)</x:f>
      </x:c>
    </x:row>
    <x:row r="789">
      <x:c r="D789" s="22"/>
      <x:c r="E789" s="22"/>
      <x:c r="F789" s="22"/>
      <x:c r="G789" s="22"/>
      <x:c r="L789" s="22"/>
      <x:c r="N789" s="24"/>
      <x:c r="O789" t="str">
        <x:f>IF(OR(D789="",G789=""),"",G789-D789)</x:f>
      </x:c>
    </x:row>
    <x:row r="790">
      <x:c r="D790" s="22"/>
      <x:c r="E790" s="22"/>
      <x:c r="F790" s="22"/>
      <x:c r="G790" s="22"/>
      <x:c r="L790" s="22"/>
      <x:c r="N790" s="24"/>
      <x:c r="O790" t="str">
        <x:f>IF(OR(D790="",G790=""),"",G790-D790)</x:f>
      </x:c>
    </x:row>
    <x:row r="791">
      <x:c r="D791" s="22"/>
      <x:c r="E791" s="22"/>
      <x:c r="F791" s="22"/>
      <x:c r="G791" s="22"/>
      <x:c r="L791" s="22"/>
      <x:c r="N791" s="24"/>
      <x:c r="O791" t="str">
        <x:f>IF(OR(D791="",G791=""),"",G791-D791)</x:f>
      </x:c>
    </x:row>
    <x:row r="792">
      <x:c r="D792" s="22"/>
      <x:c r="E792" s="22"/>
      <x:c r="F792" s="22"/>
      <x:c r="G792" s="22"/>
      <x:c r="L792" s="22"/>
      <x:c r="N792" s="24"/>
      <x:c r="O792" t="str">
        <x:f>IF(OR(D792="",G792=""),"",G792-D792)</x:f>
      </x:c>
    </x:row>
    <x:row r="793">
      <x:c r="D793" s="22"/>
      <x:c r="E793" s="22"/>
      <x:c r="F793" s="22"/>
      <x:c r="G793" s="22"/>
      <x:c r="L793" s="22"/>
      <x:c r="N793" s="24"/>
      <x:c r="O793" t="str">
        <x:f>IF(OR(D793="",G793=""),"",G793-D793)</x:f>
      </x:c>
    </x:row>
    <x:row r="794">
      <x:c r="D794" s="22"/>
      <x:c r="E794" s="22"/>
      <x:c r="F794" s="22"/>
      <x:c r="G794" s="22"/>
      <x:c r="L794" s="22"/>
      <x:c r="N794" s="24"/>
      <x:c r="O794" t="str">
        <x:f>IF(OR(D794="",G794=""),"",G794-D794)</x:f>
      </x:c>
    </x:row>
    <x:row r="795">
      <x:c r="D795" s="22"/>
      <x:c r="E795" s="22"/>
      <x:c r="F795" s="22"/>
      <x:c r="G795" s="22"/>
      <x:c r="L795" s="22"/>
      <x:c r="N795" s="24"/>
      <x:c r="O795" t="str">
        <x:f>IF(OR(D795="",G795=""),"",G795-D795)</x:f>
      </x:c>
    </x:row>
    <x:row r="796">
      <x:c r="D796" s="22"/>
      <x:c r="E796" s="22"/>
      <x:c r="F796" s="22"/>
      <x:c r="G796" s="22"/>
      <x:c r="L796" s="22"/>
      <x:c r="N796" s="24"/>
      <x:c r="O796" t="str">
        <x:f>IF(OR(D796="",G796=""),"",G796-D796)</x:f>
      </x:c>
    </x:row>
    <x:row r="797">
      <x:c r="D797" s="22"/>
      <x:c r="E797" s="22"/>
      <x:c r="F797" s="22"/>
      <x:c r="G797" s="22"/>
      <x:c r="L797" s="22"/>
      <x:c r="N797" s="24"/>
      <x:c r="O797" t="str">
        <x:f>IF(OR(D797="",G797=""),"",G797-D797)</x:f>
      </x:c>
    </x:row>
    <x:row r="798">
      <x:c r="D798" s="22"/>
      <x:c r="E798" s="22"/>
      <x:c r="F798" s="22"/>
      <x:c r="G798" s="22"/>
      <x:c r="L798" s="22"/>
      <x:c r="N798" s="24"/>
      <x:c r="O798" t="str">
        <x:f>IF(OR(D798="",G798=""),"",G798-D798)</x:f>
      </x:c>
    </x:row>
    <x:row r="799">
      <x:c r="D799" s="22"/>
      <x:c r="E799" s="22"/>
      <x:c r="F799" s="22"/>
      <x:c r="G799" s="22"/>
      <x:c r="L799" s="22"/>
      <x:c r="N799" s="24"/>
      <x:c r="O799" t="str">
        <x:f>IF(OR(D799="",G799=""),"",G799-D799)</x:f>
      </x:c>
    </x:row>
    <x:row r="800">
      <x:c r="D800" s="22"/>
      <x:c r="E800" s="22"/>
      <x:c r="F800" s="22"/>
      <x:c r="G800" s="22"/>
      <x:c r="L800" s="22"/>
      <x:c r="N800" s="24"/>
      <x:c r="O800" t="str">
        <x:f>IF(OR(D800="",G800=""),"",G800-D800)</x:f>
      </x:c>
    </x:row>
    <x:row r="801">
      <x:c r="D801" s="22"/>
      <x:c r="E801" s="22"/>
      <x:c r="F801" s="22"/>
      <x:c r="G801" s="22"/>
      <x:c r="L801" s="22"/>
      <x:c r="N801" s="24"/>
      <x:c r="O801" t="str">
        <x:f>IF(OR(D801="",G801=""),"",G801-D801)</x:f>
      </x:c>
    </x:row>
    <x:row r="802">
      <x:c r="D802" s="22"/>
      <x:c r="E802" s="22"/>
      <x:c r="F802" s="22"/>
      <x:c r="G802" s="22"/>
      <x:c r="L802" s="22"/>
      <x:c r="N802" s="24"/>
      <x:c r="O802" t="str">
        <x:f>IF(OR(D802="",G802=""),"",G802-D802)</x:f>
      </x:c>
    </x:row>
    <x:row r="803">
      <x:c r="D803" s="22"/>
      <x:c r="E803" s="22"/>
      <x:c r="F803" s="22"/>
      <x:c r="G803" s="22"/>
      <x:c r="L803" s="22"/>
      <x:c r="N803" s="24"/>
      <x:c r="O803" t="str">
        <x:f>IF(OR(D803="",G803=""),"",G803-D803)</x:f>
      </x:c>
    </x:row>
    <x:row r="804">
      <x:c r="D804" s="22"/>
      <x:c r="E804" s="22"/>
      <x:c r="F804" s="22"/>
      <x:c r="G804" s="22"/>
      <x:c r="L804" s="22"/>
      <x:c r="N804" s="24"/>
      <x:c r="O804" t="str">
        <x:f>IF(OR(D804="",G804=""),"",G804-D804)</x:f>
      </x:c>
    </x:row>
    <x:row r="805">
      <x:c r="D805" s="22"/>
      <x:c r="E805" s="22"/>
      <x:c r="F805" s="22"/>
      <x:c r="G805" s="22"/>
      <x:c r="L805" s="22"/>
      <x:c r="N805" s="24"/>
      <x:c r="O805" t="str">
        <x:f>IF(OR(D805="",G805=""),"",G805-D805)</x:f>
      </x:c>
    </x:row>
    <x:row r="806">
      <x:c r="D806" s="22"/>
      <x:c r="E806" s="22"/>
      <x:c r="F806" s="22"/>
      <x:c r="G806" s="22"/>
      <x:c r="L806" s="22"/>
      <x:c r="N806" s="24"/>
      <x:c r="O806" t="str">
        <x:f>IF(OR(D806="",G806=""),"",G806-D806)</x:f>
      </x:c>
    </x:row>
    <x:row r="807">
      <x:c r="D807" s="22"/>
      <x:c r="E807" s="22"/>
      <x:c r="F807" s="22"/>
      <x:c r="G807" s="22"/>
      <x:c r="L807" s="22"/>
      <x:c r="N807" s="24"/>
      <x:c r="O807" t="str">
        <x:f>IF(OR(D807="",G807=""),"",G807-D807)</x:f>
      </x:c>
    </x:row>
    <x:row r="808">
      <x:c r="D808" s="22"/>
      <x:c r="E808" s="22"/>
      <x:c r="F808" s="22"/>
      <x:c r="G808" s="22"/>
      <x:c r="L808" s="22"/>
      <x:c r="N808" s="24"/>
      <x:c r="O808" t="str">
        <x:f>IF(OR(D808="",G808=""),"",G808-D808)</x:f>
      </x:c>
    </x:row>
    <x:row r="809">
      <x:c r="D809" s="22"/>
      <x:c r="E809" s="22"/>
      <x:c r="F809" s="22"/>
      <x:c r="G809" s="22"/>
      <x:c r="L809" s="22"/>
      <x:c r="N809" s="24"/>
      <x:c r="O809" t="str">
        <x:f>IF(OR(D809="",G809=""),"",G809-D809)</x:f>
      </x:c>
    </x:row>
    <x:row r="810">
      <x:c r="D810" s="22"/>
      <x:c r="E810" s="22"/>
      <x:c r="F810" s="22"/>
      <x:c r="G810" s="22"/>
      <x:c r="L810" s="22"/>
      <x:c r="N810" s="24"/>
      <x:c r="O810" t="str">
        <x:f>IF(OR(D810="",G810=""),"",G810-D810)</x:f>
      </x:c>
    </x:row>
    <x:row r="811">
      <x:c r="D811" s="22"/>
      <x:c r="E811" s="22"/>
      <x:c r="F811" s="22"/>
      <x:c r="G811" s="22"/>
      <x:c r="L811" s="22"/>
      <x:c r="N811" s="24"/>
      <x:c r="O811" t="str">
        <x:f>IF(OR(D811="",G811=""),"",G811-D811)</x:f>
      </x:c>
    </x:row>
    <x:row r="812">
      <x:c r="D812" s="22"/>
      <x:c r="E812" s="22"/>
      <x:c r="F812" s="22"/>
      <x:c r="G812" s="22"/>
      <x:c r="L812" s="22"/>
      <x:c r="N812" s="24"/>
      <x:c r="O812" t="str">
        <x:f>IF(OR(D812="",G812=""),"",G812-D812)</x:f>
      </x:c>
    </x:row>
    <x:row r="813">
      <x:c r="D813" s="22"/>
      <x:c r="E813" s="22"/>
      <x:c r="F813" s="22"/>
      <x:c r="G813" s="22"/>
      <x:c r="L813" s="22"/>
      <x:c r="N813" s="24"/>
      <x:c r="O813" t="str">
        <x:f>IF(OR(D813="",G813=""),"",G813-D813)</x:f>
      </x:c>
    </x:row>
    <x:row r="814">
      <x:c r="D814" s="22"/>
      <x:c r="E814" s="22"/>
      <x:c r="F814" s="22"/>
      <x:c r="G814" s="22"/>
      <x:c r="L814" s="22"/>
      <x:c r="N814" s="24"/>
      <x:c r="O814" t="str">
        <x:f>IF(OR(D814="",G814=""),"",G814-D814)</x:f>
      </x:c>
    </x:row>
    <x:row r="815">
      <x:c r="D815" s="22"/>
      <x:c r="E815" s="22"/>
      <x:c r="F815" s="22"/>
      <x:c r="G815" s="22"/>
      <x:c r="L815" s="22"/>
      <x:c r="N815" s="24"/>
      <x:c r="O815" t="str">
        <x:f>IF(OR(D815="",G815=""),"",G815-D815)</x:f>
      </x:c>
    </x:row>
    <x:row r="816">
      <x:c r="D816" s="22"/>
      <x:c r="E816" s="22"/>
      <x:c r="F816" s="22"/>
      <x:c r="G816" s="22"/>
      <x:c r="L816" s="22"/>
      <x:c r="N816" s="24"/>
      <x:c r="O816" t="str">
        <x:f>IF(OR(D816="",G816=""),"",G816-D816)</x:f>
      </x:c>
    </x:row>
    <x:row r="817">
      <x:c r="D817" s="22"/>
      <x:c r="E817" s="22"/>
      <x:c r="F817" s="22"/>
      <x:c r="G817" s="22"/>
      <x:c r="L817" s="22"/>
      <x:c r="N817" s="24"/>
      <x:c r="O817" t="str">
        <x:f>IF(OR(D817="",G817=""),"",G817-D817)</x:f>
      </x:c>
    </x:row>
    <x:row r="818">
      <x:c r="D818" s="22"/>
      <x:c r="E818" s="22"/>
      <x:c r="F818" s="22"/>
      <x:c r="G818" s="22"/>
      <x:c r="L818" s="22"/>
      <x:c r="N818" s="24"/>
      <x:c r="O818" t="str">
        <x:f>IF(OR(D818="",G818=""),"",G818-D818)</x:f>
      </x:c>
    </x:row>
    <x:row r="819">
      <x:c r="D819" s="22"/>
      <x:c r="E819" s="22"/>
      <x:c r="F819" s="22"/>
      <x:c r="G819" s="22"/>
      <x:c r="L819" s="22"/>
      <x:c r="N819" s="24"/>
      <x:c r="O819" t="str">
        <x:f>IF(OR(D819="",G819=""),"",G819-D819)</x:f>
      </x:c>
    </x:row>
    <x:row r="820">
      <x:c r="D820" s="22"/>
      <x:c r="E820" s="22"/>
      <x:c r="F820" s="22"/>
      <x:c r="G820" s="22"/>
      <x:c r="L820" s="22"/>
      <x:c r="N820" s="24"/>
      <x:c r="O820" t="str">
        <x:f>IF(OR(D820="",G820=""),"",G820-D820)</x:f>
      </x:c>
    </x:row>
    <x:row r="821">
      <x:c r="D821" s="22"/>
      <x:c r="E821" s="22"/>
      <x:c r="F821" s="22"/>
      <x:c r="G821" s="22"/>
      <x:c r="L821" s="22"/>
      <x:c r="N821" s="24"/>
      <x:c r="O821" t="str">
        <x:f>IF(OR(D821="",G821=""),"",G821-D821)</x:f>
      </x:c>
    </x:row>
    <x:row r="822">
      <x:c r="D822" s="22"/>
      <x:c r="E822" s="22"/>
      <x:c r="F822" s="22"/>
      <x:c r="G822" s="22"/>
      <x:c r="L822" s="22"/>
      <x:c r="N822" s="24"/>
      <x:c r="O822" t="str">
        <x:f>IF(OR(D822="",G822=""),"",G822-D822)</x:f>
      </x:c>
    </x:row>
    <x:row r="823">
      <x:c r="D823" s="22"/>
      <x:c r="E823" s="22"/>
      <x:c r="F823" s="22"/>
      <x:c r="G823" s="22"/>
      <x:c r="L823" s="22"/>
      <x:c r="N823" s="24"/>
      <x:c r="O823" t="str">
        <x:f>IF(OR(D823="",G823=""),"",G823-D823)</x:f>
      </x:c>
    </x:row>
    <x:row r="824">
      <x:c r="D824" s="22"/>
      <x:c r="E824" s="22"/>
      <x:c r="F824" s="22"/>
      <x:c r="G824" s="22"/>
      <x:c r="L824" s="22"/>
      <x:c r="N824" s="24"/>
      <x:c r="O824" t="str">
        <x:f>IF(OR(D824="",G824=""),"",G824-D824)</x:f>
      </x:c>
    </x:row>
    <x:row r="825">
      <x:c r="D825" s="22"/>
      <x:c r="E825" s="22"/>
      <x:c r="F825" s="22"/>
      <x:c r="G825" s="22"/>
      <x:c r="L825" s="22"/>
      <x:c r="N825" s="24"/>
      <x:c r="O825" t="str">
        <x:f>IF(OR(D825="",G825=""),"",G825-D825)</x:f>
      </x:c>
    </x:row>
    <x:row r="826">
      <x:c r="D826" s="22"/>
      <x:c r="E826" s="22"/>
      <x:c r="F826" s="22"/>
      <x:c r="G826" s="22"/>
      <x:c r="L826" s="22"/>
      <x:c r="N826" s="24"/>
      <x:c r="O826" t="str">
        <x:f>IF(OR(D826="",G826=""),"",G826-D826)</x:f>
      </x:c>
    </x:row>
    <x:row r="827">
      <x:c r="D827" s="22"/>
      <x:c r="E827" s="22"/>
      <x:c r="F827" s="22"/>
      <x:c r="G827" s="22"/>
      <x:c r="L827" s="22"/>
      <x:c r="N827" s="24"/>
      <x:c r="O827" t="str">
        <x:f>IF(OR(D827="",G827=""),"",G827-D827)</x:f>
      </x:c>
    </x:row>
    <x:row r="828">
      <x:c r="D828" s="22"/>
      <x:c r="E828" s="22"/>
      <x:c r="F828" s="22"/>
      <x:c r="G828" s="22"/>
      <x:c r="L828" s="22"/>
      <x:c r="N828" s="24"/>
      <x:c r="O828" t="str">
        <x:f>IF(OR(D828="",G828=""),"",G828-D828)</x:f>
      </x:c>
    </x:row>
    <x:row r="829">
      <x:c r="D829" s="22"/>
      <x:c r="E829" s="22"/>
      <x:c r="F829" s="22"/>
      <x:c r="G829" s="22"/>
      <x:c r="L829" s="22"/>
      <x:c r="N829" s="24"/>
      <x:c r="O829" t="str">
        <x:f>IF(OR(D829="",G829=""),"",G829-D829)</x:f>
      </x:c>
    </x:row>
    <x:row r="830">
      <x:c r="D830" s="22"/>
      <x:c r="E830" s="22"/>
      <x:c r="F830" s="22"/>
      <x:c r="G830" s="22"/>
      <x:c r="L830" s="22"/>
      <x:c r="N830" s="24"/>
      <x:c r="O830" t="str">
        <x:f>IF(OR(D830="",G830=""),"",G830-D830)</x:f>
      </x:c>
    </x:row>
    <x:row r="831">
      <x:c r="D831" s="22"/>
      <x:c r="E831" s="22"/>
      <x:c r="F831" s="22"/>
      <x:c r="G831" s="22"/>
      <x:c r="L831" s="22"/>
      <x:c r="N831" s="24"/>
      <x:c r="O831" t="str">
        <x:f>IF(OR(D831="",G831=""),"",G831-D831)</x:f>
      </x:c>
    </x:row>
    <x:row r="832">
      <x:c r="D832" s="22"/>
      <x:c r="E832" s="22"/>
      <x:c r="F832" s="22"/>
      <x:c r="G832" s="22"/>
      <x:c r="L832" s="22"/>
      <x:c r="N832" s="24"/>
      <x:c r="O832" t="str">
        <x:f>IF(OR(D832="",G832=""),"",G832-D832)</x:f>
      </x:c>
    </x:row>
    <x:row r="833">
      <x:c r="D833" s="22"/>
      <x:c r="E833" s="22"/>
      <x:c r="F833" s="22"/>
      <x:c r="G833" s="22"/>
      <x:c r="L833" s="22"/>
      <x:c r="N833" s="24"/>
      <x:c r="O833" t="str">
        <x:f>IF(OR(D833="",G833=""),"",G833-D833)</x:f>
      </x:c>
    </x:row>
    <x:row r="834">
      <x:c r="D834" s="22"/>
      <x:c r="E834" s="22"/>
      <x:c r="F834" s="22"/>
      <x:c r="G834" s="22"/>
      <x:c r="L834" s="22"/>
      <x:c r="N834" s="24"/>
      <x:c r="O834" t="str">
        <x:f>IF(OR(D834="",G834=""),"",G834-D834)</x:f>
      </x:c>
    </x:row>
    <x:row r="835">
      <x:c r="D835" s="22"/>
      <x:c r="E835" s="22"/>
      <x:c r="F835" s="22"/>
      <x:c r="G835" s="22"/>
      <x:c r="L835" s="22"/>
      <x:c r="N835" s="24"/>
      <x:c r="O835" t="str">
        <x:f>IF(OR(D835="",G835=""),"",G835-D835)</x:f>
      </x:c>
    </x:row>
    <x:row r="836">
      <x:c r="D836" s="22"/>
      <x:c r="E836" s="22"/>
      <x:c r="F836" s="22"/>
      <x:c r="G836" s="22"/>
      <x:c r="L836" s="22"/>
      <x:c r="N836" s="24"/>
      <x:c r="O836" t="str">
        <x:f>IF(OR(D836="",G836=""),"",G836-D836)</x:f>
      </x:c>
    </x:row>
    <x:row r="837">
      <x:c r="D837" s="22"/>
      <x:c r="E837" s="22"/>
      <x:c r="F837" s="22"/>
      <x:c r="G837" s="22"/>
      <x:c r="L837" s="22"/>
      <x:c r="N837" s="24"/>
      <x:c r="O837" t="str">
        <x:f>IF(OR(D837="",G837=""),"",G837-D837)</x:f>
      </x:c>
    </x:row>
    <x:row r="838">
      <x:c r="D838" s="22"/>
      <x:c r="E838" s="22"/>
      <x:c r="F838" s="22"/>
      <x:c r="G838" s="22"/>
      <x:c r="L838" s="22"/>
      <x:c r="N838" s="24"/>
      <x:c r="O838" t="str">
        <x:f>IF(OR(D838="",G838=""),"",G838-D838)</x:f>
      </x:c>
    </x:row>
    <x:row r="839">
      <x:c r="D839" s="22"/>
      <x:c r="E839" s="22"/>
      <x:c r="F839" s="22"/>
      <x:c r="G839" s="22"/>
      <x:c r="L839" s="22"/>
      <x:c r="N839" s="24"/>
      <x:c r="O839" t="str">
        <x:f>IF(OR(D839="",G839=""),"",G839-D839)</x:f>
      </x:c>
    </x:row>
    <x:row r="840">
      <x:c r="D840" s="22"/>
      <x:c r="E840" s="22"/>
      <x:c r="F840" s="22"/>
      <x:c r="G840" s="22"/>
      <x:c r="L840" s="22"/>
      <x:c r="N840" s="24"/>
      <x:c r="O840" t="str">
        <x:f>IF(OR(D840="",G840=""),"",G840-D840)</x:f>
      </x:c>
    </x:row>
    <x:row r="841">
      <x:c r="D841" s="22"/>
      <x:c r="E841" s="22"/>
      <x:c r="F841" s="22"/>
      <x:c r="G841" s="22"/>
      <x:c r="L841" s="22"/>
      <x:c r="N841" s="24"/>
      <x:c r="O841" t="str">
        <x:f>IF(OR(D841="",G841=""),"",G841-D841)</x:f>
      </x:c>
    </x:row>
    <x:row r="842">
      <x:c r="D842" s="22"/>
      <x:c r="E842" s="22"/>
      <x:c r="F842" s="22"/>
      <x:c r="G842" s="22"/>
      <x:c r="L842" s="22"/>
      <x:c r="N842" s="24"/>
      <x:c r="O842" t="str">
        <x:f>IF(OR(D842="",G842=""),"",G842-D842)</x:f>
      </x:c>
    </x:row>
    <x:row r="843">
      <x:c r="D843" s="22"/>
      <x:c r="E843" s="22"/>
      <x:c r="F843" s="22"/>
      <x:c r="G843" s="22"/>
      <x:c r="L843" s="22"/>
      <x:c r="N843" s="24"/>
      <x:c r="O843" t="str">
        <x:f>IF(OR(D843="",G843=""),"",G843-D843)</x:f>
      </x:c>
    </x:row>
    <x:row r="844">
      <x:c r="D844" s="22"/>
      <x:c r="E844" s="22"/>
      <x:c r="F844" s="22"/>
      <x:c r="G844" s="22"/>
      <x:c r="L844" s="22"/>
      <x:c r="N844" s="24"/>
      <x:c r="O844" t="str">
        <x:f>IF(OR(D844="",G844=""),"",G844-D844)</x:f>
      </x:c>
    </x:row>
    <x:row r="845">
      <x:c r="D845" s="22"/>
      <x:c r="E845" s="22"/>
      <x:c r="F845" s="22"/>
      <x:c r="G845" s="22"/>
      <x:c r="L845" s="22"/>
      <x:c r="N845" s="24"/>
      <x:c r="O845" t="str">
        <x:f>IF(OR(D845="",G845=""),"",G845-D845)</x:f>
      </x:c>
    </x:row>
    <x:row r="846">
      <x:c r="D846" s="22"/>
      <x:c r="E846" s="22"/>
      <x:c r="F846" s="22"/>
      <x:c r="G846" s="22"/>
      <x:c r="L846" s="22"/>
      <x:c r="N846" s="24"/>
      <x:c r="O846" t="str">
        <x:f>IF(OR(D846="",G846=""),"",G846-D846)</x:f>
      </x:c>
    </x:row>
    <x:row r="847">
      <x:c r="D847" s="22"/>
      <x:c r="E847" s="22"/>
      <x:c r="F847" s="22"/>
      <x:c r="G847" s="22"/>
      <x:c r="L847" s="22"/>
      <x:c r="N847" s="24"/>
      <x:c r="O847" t="str">
        <x:f>IF(OR(D847="",G847=""),"",G847-D847)</x:f>
      </x:c>
    </x:row>
    <x:row r="848">
      <x:c r="D848" s="22"/>
      <x:c r="E848" s="22"/>
      <x:c r="F848" s="22"/>
      <x:c r="G848" s="22"/>
      <x:c r="L848" s="22"/>
      <x:c r="N848" s="24"/>
      <x:c r="O848" t="str">
        <x:f>IF(OR(D848="",G848=""),"",G848-D848)</x:f>
      </x:c>
    </x:row>
    <x:row r="849">
      <x:c r="D849" s="22"/>
      <x:c r="E849" s="22"/>
      <x:c r="F849" s="22"/>
      <x:c r="G849" s="22"/>
      <x:c r="L849" s="22"/>
      <x:c r="N849" s="24"/>
      <x:c r="O849" t="str">
        <x:f>IF(OR(D849="",G849=""),"",G849-D849)</x:f>
      </x:c>
    </x:row>
    <x:row r="850">
      <x:c r="D850" s="22"/>
      <x:c r="E850" s="22"/>
      <x:c r="F850" s="22"/>
      <x:c r="G850" s="22"/>
      <x:c r="L850" s="22"/>
      <x:c r="N850" s="24"/>
      <x:c r="O850" t="str">
        <x:f>IF(OR(D850="",G850=""),"",G850-D850)</x:f>
      </x:c>
    </x:row>
    <x:row r="851">
      <x:c r="D851" s="22"/>
      <x:c r="E851" s="22"/>
      <x:c r="F851" s="22"/>
      <x:c r="G851" s="22"/>
      <x:c r="L851" s="22"/>
      <x:c r="N851" s="24"/>
      <x:c r="O851" t="str">
        <x:f>IF(OR(D851="",G851=""),"",G851-D851)</x:f>
      </x:c>
    </x:row>
    <x:row r="852">
      <x:c r="D852" s="22"/>
      <x:c r="E852" s="22"/>
      <x:c r="F852" s="22"/>
      <x:c r="G852" s="22"/>
      <x:c r="L852" s="22"/>
      <x:c r="N852" s="24"/>
      <x:c r="O852" t="str">
        <x:f>IF(OR(D852="",G852=""),"",G852-D852)</x:f>
      </x:c>
    </x:row>
    <x:row r="853">
      <x:c r="D853" s="22"/>
      <x:c r="E853" s="22"/>
      <x:c r="F853" s="22"/>
      <x:c r="G853" s="22"/>
      <x:c r="L853" s="22"/>
      <x:c r="N853" s="24"/>
      <x:c r="O853" t="str">
        <x:f>IF(OR(D853="",G853=""),"",G853-D853)</x:f>
      </x:c>
    </x:row>
    <x:row r="854">
      <x:c r="D854" s="22"/>
      <x:c r="E854" s="22"/>
      <x:c r="F854" s="22"/>
      <x:c r="G854" s="22"/>
      <x:c r="L854" s="22"/>
      <x:c r="N854" s="24"/>
      <x:c r="O854" t="str">
        <x:f>IF(OR(D854="",G854=""),"",G854-D854)</x:f>
      </x:c>
    </x:row>
    <x:row r="855">
      <x:c r="D855" s="22"/>
      <x:c r="E855" s="22"/>
      <x:c r="F855" s="22"/>
      <x:c r="G855" s="22"/>
      <x:c r="L855" s="22"/>
      <x:c r="N855" s="24"/>
      <x:c r="O855" t="str">
        <x:f>IF(OR(D855="",G855=""),"",G855-D855)</x:f>
      </x:c>
    </x:row>
    <x:row r="856">
      <x:c r="D856" s="22"/>
      <x:c r="E856" s="22"/>
      <x:c r="F856" s="22"/>
      <x:c r="G856" s="22"/>
      <x:c r="L856" s="22"/>
      <x:c r="N856" s="24"/>
      <x:c r="O856" t="str">
        <x:f>IF(OR(D856="",G856=""),"",G856-D856)</x:f>
      </x:c>
    </x:row>
    <x:row r="857">
      <x:c r="D857" s="22"/>
      <x:c r="E857" s="22"/>
      <x:c r="F857" s="22"/>
      <x:c r="G857" s="22"/>
      <x:c r="L857" s="22"/>
      <x:c r="N857" s="24"/>
      <x:c r="O857" t="str">
        <x:f>IF(OR(D857="",G857=""),"",G857-D857)</x:f>
      </x:c>
    </x:row>
    <x:row r="858">
      <x:c r="D858" s="22"/>
      <x:c r="E858" s="22"/>
      <x:c r="F858" s="22"/>
      <x:c r="G858" s="22"/>
      <x:c r="L858" s="22"/>
      <x:c r="N858" s="24"/>
      <x:c r="O858" t="str">
        <x:f>IF(OR(D858="",G858=""),"",G858-D858)</x:f>
      </x:c>
    </x:row>
    <x:row r="859">
      <x:c r="D859" s="22"/>
      <x:c r="E859" s="22"/>
      <x:c r="F859" s="22"/>
      <x:c r="G859" s="22"/>
      <x:c r="L859" s="22"/>
      <x:c r="N859" s="24"/>
      <x:c r="O859" t="str">
        <x:f>IF(OR(D859="",G859=""),"",G859-D859)</x:f>
      </x:c>
    </x:row>
    <x:row r="860">
      <x:c r="D860" s="22"/>
      <x:c r="E860" s="22"/>
      <x:c r="F860" s="22"/>
      <x:c r="G860" s="22"/>
      <x:c r="L860" s="22"/>
      <x:c r="N860" s="24"/>
      <x:c r="O860" t="str">
        <x:f>IF(OR(D860="",G860=""),"",G860-D860)</x:f>
      </x:c>
    </x:row>
    <x:row r="861">
      <x:c r="D861" s="22"/>
      <x:c r="E861" s="22"/>
      <x:c r="F861" s="22"/>
      <x:c r="G861" s="22"/>
      <x:c r="L861" s="22"/>
      <x:c r="N861" s="24"/>
      <x:c r="O861" t="str">
        <x:f>IF(OR(D861="",G861=""),"",G861-D861)</x:f>
      </x:c>
    </x:row>
    <x:row r="862">
      <x:c r="D862" s="22"/>
      <x:c r="E862" s="22"/>
      <x:c r="F862" s="22"/>
      <x:c r="G862" s="22"/>
      <x:c r="L862" s="22"/>
      <x:c r="N862" s="24"/>
      <x:c r="O862" t="str">
        <x:f>IF(OR(D862="",G862=""),"",G862-D862)</x:f>
      </x:c>
    </x:row>
    <x:row r="863">
      <x:c r="D863" s="22"/>
      <x:c r="E863" s="22"/>
      <x:c r="F863" s="22"/>
      <x:c r="G863" s="22"/>
      <x:c r="L863" s="22"/>
      <x:c r="N863" s="24"/>
      <x:c r="O863" t="str">
        <x:f>IF(OR(D863="",G863=""),"",G863-D863)</x:f>
      </x:c>
    </x:row>
    <x:row r="864">
      <x:c r="D864" s="22"/>
      <x:c r="E864" s="22"/>
      <x:c r="F864" s="22"/>
      <x:c r="G864" s="22"/>
      <x:c r="L864" s="22"/>
      <x:c r="N864" s="24"/>
      <x:c r="O864" t="str">
        <x:f>IF(OR(D864="",G864=""),"",G864-D864)</x:f>
      </x:c>
    </x:row>
    <x:row r="865">
      <x:c r="D865" s="22"/>
      <x:c r="E865" s="22"/>
      <x:c r="F865" s="22"/>
      <x:c r="G865" s="22"/>
      <x:c r="L865" s="22"/>
      <x:c r="N865" s="24"/>
      <x:c r="O865" t="str">
        <x:f>IF(OR(D865="",G865=""),"",G865-D865)</x:f>
      </x:c>
    </x:row>
    <x:row r="866">
      <x:c r="D866" s="22"/>
      <x:c r="E866" s="22"/>
      <x:c r="F866" s="22"/>
      <x:c r="G866" s="22"/>
      <x:c r="L866" s="22"/>
      <x:c r="N866" s="24"/>
      <x:c r="O866" t="str">
        <x:f>IF(OR(D866="",G866=""),"",G866-D866)</x:f>
      </x:c>
    </x:row>
    <x:row r="867">
      <x:c r="D867" s="22"/>
      <x:c r="E867" s="22"/>
      <x:c r="F867" s="22"/>
      <x:c r="G867" s="22"/>
      <x:c r="L867" s="22"/>
      <x:c r="N867" s="24"/>
      <x:c r="O867" t="str">
        <x:f>IF(OR(D867="",G867=""),"",G867-D867)</x:f>
      </x:c>
    </x:row>
    <x:row r="868">
      <x:c r="D868" s="22"/>
      <x:c r="E868" s="22"/>
      <x:c r="F868" s="22"/>
      <x:c r="G868" s="22"/>
      <x:c r="L868" s="22"/>
      <x:c r="N868" s="24"/>
      <x:c r="O868" t="str">
        <x:f>IF(OR(D868="",G868=""),"",G868-D868)</x:f>
      </x:c>
    </x:row>
    <x:row r="869">
      <x:c r="D869" s="22"/>
      <x:c r="E869" s="22"/>
      <x:c r="F869" s="22"/>
      <x:c r="G869" s="22"/>
      <x:c r="L869" s="22"/>
      <x:c r="N869" s="24"/>
      <x:c r="O869" t="str">
        <x:f>IF(OR(D869="",G869=""),"",G869-D869)</x:f>
      </x:c>
    </x:row>
    <x:row r="870">
      <x:c r="D870" s="22"/>
      <x:c r="E870" s="22"/>
      <x:c r="F870" s="22"/>
      <x:c r="G870" s="22"/>
      <x:c r="L870" s="22"/>
      <x:c r="N870" s="24"/>
      <x:c r="O870" t="str">
        <x:f>IF(OR(D870="",G870=""),"",G870-D870)</x:f>
      </x:c>
    </x:row>
    <x:row r="871">
      <x:c r="D871" s="22"/>
      <x:c r="E871" s="22"/>
      <x:c r="F871" s="22"/>
      <x:c r="G871" s="22"/>
      <x:c r="L871" s="22"/>
      <x:c r="N871" s="24"/>
      <x:c r="O871" t="str">
        <x:f>IF(OR(D871="",G871=""),"",G871-D871)</x:f>
      </x:c>
    </x:row>
    <x:row r="872">
      <x:c r="D872" s="22"/>
      <x:c r="E872" s="22"/>
      <x:c r="F872" s="22"/>
      <x:c r="G872" s="22"/>
      <x:c r="L872" s="22"/>
      <x:c r="N872" s="24"/>
      <x:c r="O872" t="str">
        <x:f>IF(OR(D872="",G872=""),"",G872-D872)</x:f>
      </x:c>
    </x:row>
    <x:row r="873">
      <x:c r="D873" s="22"/>
      <x:c r="E873" s="22"/>
      <x:c r="F873" s="22"/>
      <x:c r="G873" s="22"/>
      <x:c r="L873" s="22"/>
      <x:c r="N873" s="24"/>
      <x:c r="O873" t="str">
        <x:f>IF(OR(D873="",G873=""),"",G873-D873)</x:f>
      </x:c>
    </x:row>
    <x:row r="874">
      <x:c r="D874" s="22"/>
      <x:c r="E874" s="22"/>
      <x:c r="F874" s="22"/>
      <x:c r="G874" s="22"/>
      <x:c r="L874" s="22"/>
      <x:c r="N874" s="24"/>
      <x:c r="O874" t="str">
        <x:f>IF(OR(D874="",G874=""),"",G874-D874)</x:f>
      </x:c>
    </x:row>
    <x:row r="875">
      <x:c r="D875" s="22"/>
      <x:c r="E875" s="22"/>
      <x:c r="F875" s="22"/>
      <x:c r="G875" s="22"/>
      <x:c r="L875" s="22"/>
      <x:c r="N875" s="24"/>
      <x:c r="O875" t="str">
        <x:f>IF(OR(D875="",G875=""),"",G875-D875)</x:f>
      </x:c>
    </x:row>
    <x:row r="876">
      <x:c r="D876" s="22"/>
      <x:c r="E876" s="22"/>
      <x:c r="F876" s="22"/>
      <x:c r="G876" s="22"/>
      <x:c r="L876" s="22"/>
      <x:c r="N876" s="24"/>
      <x:c r="O876" t="str">
        <x:f>IF(OR(D876="",G876=""),"",G876-D876)</x:f>
      </x:c>
    </x:row>
    <x:row r="877">
      <x:c r="D877" s="22"/>
      <x:c r="E877" s="22"/>
      <x:c r="F877" s="22"/>
      <x:c r="G877" s="22"/>
      <x:c r="L877" s="22"/>
      <x:c r="N877" s="24"/>
      <x:c r="O877" t="str">
        <x:f>IF(OR(D877="",G877=""),"",G877-D877)</x:f>
      </x:c>
    </x:row>
    <x:row r="878">
      <x:c r="D878" s="22"/>
      <x:c r="E878" s="22"/>
      <x:c r="F878" s="22"/>
      <x:c r="G878" s="22"/>
      <x:c r="L878" s="22"/>
      <x:c r="N878" s="24"/>
      <x:c r="O878" t="str">
        <x:f>IF(OR(D878="",G878=""),"",G878-D878)</x:f>
      </x:c>
    </x:row>
    <x:row r="879">
      <x:c r="D879" s="22"/>
      <x:c r="E879" s="22"/>
      <x:c r="F879" s="22"/>
      <x:c r="G879" s="22"/>
      <x:c r="L879" s="22"/>
      <x:c r="N879" s="24"/>
      <x:c r="O879" t="str">
        <x:f>IF(OR(D879="",G879=""),"",G879-D879)</x:f>
      </x:c>
    </x:row>
    <x:row r="880">
      <x:c r="D880" s="22"/>
      <x:c r="E880" s="22"/>
      <x:c r="F880" s="22"/>
      <x:c r="G880" s="22"/>
      <x:c r="L880" s="22"/>
      <x:c r="N880" s="24"/>
      <x:c r="O880" t="str">
        <x:f>IF(OR(D880="",G880=""),"",G880-D880)</x:f>
      </x:c>
    </x:row>
    <x:row r="881">
      <x:c r="D881" s="22"/>
      <x:c r="E881" s="22"/>
      <x:c r="F881" s="22"/>
      <x:c r="G881" s="22"/>
      <x:c r="L881" s="22"/>
      <x:c r="N881" s="24"/>
      <x:c r="O881" t="str">
        <x:f>IF(OR(D881="",G881=""),"",G881-D881)</x:f>
      </x:c>
    </x:row>
    <x:row r="882">
      <x:c r="D882" s="22"/>
      <x:c r="E882" s="22"/>
      <x:c r="F882" s="22"/>
      <x:c r="G882" s="22"/>
      <x:c r="L882" s="22"/>
      <x:c r="N882" s="24"/>
      <x:c r="O882" t="str">
        <x:f>IF(OR(D882="",G882=""),"",G882-D882)</x:f>
      </x:c>
    </x:row>
    <x:row r="883">
      <x:c r="D883" s="22"/>
      <x:c r="E883" s="22"/>
      <x:c r="F883" s="22"/>
      <x:c r="G883" s="22"/>
      <x:c r="L883" s="22"/>
      <x:c r="N883" s="24"/>
      <x:c r="O883" t="str">
        <x:f>IF(OR(D883="",G883=""),"",G883-D883)</x:f>
      </x:c>
    </x:row>
    <x:row r="884">
      <x:c r="D884" s="22"/>
      <x:c r="E884" s="22"/>
      <x:c r="F884" s="22"/>
      <x:c r="G884" s="22"/>
      <x:c r="L884" s="22"/>
      <x:c r="N884" s="24"/>
      <x:c r="O884" t="str">
        <x:f>IF(OR(D884="",G884=""),"",G884-D884)</x:f>
      </x:c>
    </x:row>
    <x:row r="885">
      <x:c r="D885" s="22"/>
      <x:c r="E885" s="22"/>
      <x:c r="F885" s="22"/>
      <x:c r="G885" s="22"/>
      <x:c r="L885" s="22"/>
      <x:c r="N885" s="24"/>
      <x:c r="O885" t="str">
        <x:f>IF(OR(D885="",G885=""),"",G885-D885)</x:f>
      </x:c>
    </x:row>
    <x:row r="886">
      <x:c r="D886" s="22"/>
      <x:c r="E886" s="22"/>
      <x:c r="F886" s="22"/>
      <x:c r="G886" s="22"/>
      <x:c r="L886" s="22"/>
      <x:c r="N886" s="24"/>
      <x:c r="O886" t="str">
        <x:f>IF(OR(D886="",G886=""),"",G886-D886)</x:f>
      </x:c>
    </x:row>
    <x:row r="887">
      <x:c r="D887" s="22"/>
      <x:c r="E887" s="22"/>
      <x:c r="F887" s="22"/>
      <x:c r="G887" s="22"/>
      <x:c r="L887" s="22"/>
      <x:c r="N887" s="24"/>
      <x:c r="O887" t="str">
        <x:f>IF(OR(D887="",G887=""),"",G887-D887)</x:f>
      </x:c>
    </x:row>
    <x:row r="888">
      <x:c r="D888" s="22"/>
      <x:c r="E888" s="22"/>
      <x:c r="F888" s="22"/>
      <x:c r="G888" s="22"/>
      <x:c r="L888" s="22"/>
      <x:c r="N888" s="24"/>
      <x:c r="O888" t="str">
        <x:f>IF(OR(D888="",G888=""),"",G888-D888)</x:f>
      </x:c>
    </x:row>
    <x:row r="889">
      <x:c r="D889" s="22"/>
      <x:c r="E889" s="22"/>
      <x:c r="F889" s="22"/>
      <x:c r="G889" s="22"/>
      <x:c r="L889" s="22"/>
      <x:c r="N889" s="24"/>
      <x:c r="O889" t="str">
        <x:f>IF(OR(D889="",G889=""),"",G889-D889)</x:f>
      </x:c>
    </x:row>
    <x:row r="890">
      <x:c r="D890" s="22"/>
      <x:c r="E890" s="22"/>
      <x:c r="F890" s="22"/>
      <x:c r="G890" s="22"/>
      <x:c r="L890" s="22"/>
      <x:c r="N890" s="24"/>
      <x:c r="O890" t="str">
        <x:f>IF(OR(D890="",G890=""),"",G890-D890)</x:f>
      </x:c>
    </x:row>
    <x:row r="891">
      <x:c r="D891" s="22"/>
      <x:c r="E891" s="22"/>
      <x:c r="F891" s="22"/>
      <x:c r="G891" s="22"/>
      <x:c r="L891" s="22"/>
      <x:c r="N891" s="24"/>
      <x:c r="O891" t="str">
        <x:f>IF(OR(D891="",G891=""),"",G891-D891)</x:f>
      </x:c>
    </x:row>
    <x:row r="892">
      <x:c r="D892" s="22"/>
      <x:c r="E892" s="22"/>
      <x:c r="F892" s="22"/>
      <x:c r="G892" s="22"/>
      <x:c r="L892" s="22"/>
      <x:c r="N892" s="24"/>
      <x:c r="O892" t="str">
        <x:f>IF(OR(D892="",G892=""),"",G892-D892)</x:f>
      </x:c>
    </x:row>
    <x:row r="893">
      <x:c r="D893" s="22"/>
      <x:c r="E893" s="22"/>
      <x:c r="F893" s="22"/>
      <x:c r="G893" s="22"/>
      <x:c r="L893" s="22"/>
      <x:c r="N893" s="24"/>
      <x:c r="O893" t="str">
        <x:f>IF(OR(D893="",G893=""),"",G893-D893)</x:f>
      </x:c>
    </x:row>
    <x:row r="894">
      <x:c r="D894" s="22"/>
      <x:c r="E894" s="22"/>
      <x:c r="F894" s="22"/>
      <x:c r="G894" s="22"/>
      <x:c r="L894" s="22"/>
      <x:c r="N894" s="24"/>
      <x:c r="O894" t="str">
        <x:f>IF(OR(D894="",G894=""),"",G894-D894)</x:f>
      </x:c>
    </x:row>
    <x:row r="895">
      <x:c r="D895" s="22"/>
      <x:c r="E895" s="22"/>
      <x:c r="F895" s="22"/>
      <x:c r="G895" s="22"/>
      <x:c r="L895" s="22"/>
      <x:c r="N895" s="24"/>
      <x:c r="O895" t="str">
        <x:f>IF(OR(D895="",G895=""),"",G895-D895)</x:f>
      </x:c>
    </x:row>
    <x:row r="896">
      <x:c r="D896" s="22"/>
      <x:c r="E896" s="22"/>
      <x:c r="F896" s="22"/>
      <x:c r="G896" s="22"/>
      <x:c r="L896" s="22"/>
      <x:c r="N896" s="24"/>
      <x:c r="O896" t="str">
        <x:f>IF(OR(D896="",G896=""),"",G896-D896)</x:f>
      </x:c>
    </x:row>
    <x:row r="897">
      <x:c r="D897" s="22"/>
      <x:c r="E897" s="22"/>
      <x:c r="F897" s="22"/>
      <x:c r="G897" s="22"/>
      <x:c r="L897" s="22"/>
      <x:c r="N897" s="24"/>
      <x:c r="O897" t="str">
        <x:f>IF(OR(D897="",G897=""),"",G897-D897)</x:f>
      </x:c>
    </x:row>
    <x:row r="898">
      <x:c r="D898" s="22"/>
      <x:c r="E898" s="22"/>
      <x:c r="F898" s="22"/>
      <x:c r="G898" s="22"/>
      <x:c r="L898" s="22"/>
      <x:c r="N898" s="24"/>
      <x:c r="O898" t="str">
        <x:f>IF(OR(D898="",G898=""),"",G898-D898)</x:f>
      </x:c>
    </x:row>
    <x:row r="899">
      <x:c r="D899" s="22"/>
      <x:c r="E899" s="22"/>
      <x:c r="F899" s="22"/>
      <x:c r="G899" s="22"/>
      <x:c r="L899" s="22"/>
      <x:c r="N899" s="24"/>
      <x:c r="O899" t="str">
        <x:f>IF(OR(D899="",G899=""),"",G899-D899)</x:f>
      </x:c>
    </x:row>
    <x:row r="900">
      <x:c r="D900" s="22"/>
      <x:c r="E900" s="22"/>
      <x:c r="F900" s="22"/>
      <x:c r="G900" s="22"/>
      <x:c r="L900" s="22"/>
      <x:c r="N900" s="24"/>
      <x:c r="O900" t="str">
        <x:f>IF(OR(D900="",G900=""),"",G900-D900)</x:f>
      </x:c>
    </x:row>
    <x:row r="901">
      <x:c r="D901" s="22"/>
      <x:c r="E901" s="22"/>
      <x:c r="F901" s="22"/>
      <x:c r="G901" s="22"/>
      <x:c r="L901" s="22"/>
      <x:c r="N901" s="24"/>
      <x:c r="O901" t="str">
        <x:f>IF(OR(D901="",G901=""),"",G901-D901)</x:f>
      </x:c>
    </x:row>
    <x:row r="902">
      <x:c r="D902" s="22"/>
      <x:c r="E902" s="22"/>
      <x:c r="F902" s="22"/>
      <x:c r="G902" s="22"/>
      <x:c r="L902" s="22"/>
      <x:c r="N902" s="24"/>
      <x:c r="O902" t="str">
        <x:f>IF(OR(D902="",G902=""),"",G902-D902)</x:f>
      </x:c>
    </x:row>
    <x:row r="903">
      <x:c r="D903" s="22"/>
      <x:c r="E903" s="22"/>
      <x:c r="F903" s="22"/>
      <x:c r="G903" s="22"/>
      <x:c r="L903" s="22"/>
      <x:c r="N903" s="24"/>
      <x:c r="O903" t="str">
        <x:f>IF(OR(D903="",G903=""),"",G903-D903)</x:f>
      </x:c>
    </x:row>
    <x:row r="904">
      <x:c r="D904" s="22"/>
      <x:c r="E904" s="22"/>
      <x:c r="F904" s="22"/>
      <x:c r="G904" s="22"/>
      <x:c r="L904" s="22"/>
      <x:c r="N904" s="24"/>
      <x:c r="O904" t="str">
        <x:f>IF(OR(D904="",G904=""),"",G904-D904)</x:f>
      </x:c>
    </x:row>
    <x:row r="905">
      <x:c r="D905" s="22"/>
      <x:c r="E905" s="22"/>
      <x:c r="F905" s="22"/>
      <x:c r="G905" s="22"/>
      <x:c r="L905" s="22"/>
      <x:c r="N905" s="24"/>
      <x:c r="O905" t="str">
        <x:f>IF(OR(D905="",G905=""),"",G905-D905)</x:f>
      </x:c>
    </x:row>
    <x:row r="906">
      <x:c r="D906" s="22"/>
      <x:c r="E906" s="22"/>
      <x:c r="F906" s="22"/>
      <x:c r="G906" s="22"/>
      <x:c r="L906" s="22"/>
      <x:c r="N906" s="24"/>
      <x:c r="O906" t="str">
        <x:f>IF(OR(D906="",G906=""),"",G906-D906)</x:f>
      </x:c>
    </x:row>
    <x:row r="907">
      <x:c r="D907" s="22"/>
      <x:c r="E907" s="22"/>
      <x:c r="F907" s="22"/>
      <x:c r="G907" s="22"/>
      <x:c r="L907" s="22"/>
      <x:c r="N907" s="24"/>
      <x:c r="O907" t="str">
        <x:f>IF(OR(D907="",G907=""),"",G907-D907)</x:f>
      </x:c>
    </x:row>
    <x:row r="908">
      <x:c r="D908" s="22"/>
      <x:c r="E908" s="22"/>
      <x:c r="F908" s="22"/>
      <x:c r="G908" s="22"/>
      <x:c r="L908" s="22"/>
      <x:c r="N908" s="24"/>
      <x:c r="O908" t="str">
        <x:f>IF(OR(D908="",G908=""),"",G908-D908)</x:f>
      </x:c>
    </x:row>
    <x:row r="909">
      <x:c r="D909" s="22"/>
      <x:c r="E909" s="22"/>
      <x:c r="F909" s="22"/>
      <x:c r="G909" s="22"/>
      <x:c r="L909" s="22"/>
      <x:c r="N909" s="24"/>
      <x:c r="O909" t="str">
        <x:f>IF(OR(D909="",G909=""),"",G909-D909)</x:f>
      </x:c>
    </x:row>
    <x:row r="910">
      <x:c r="D910" s="22"/>
      <x:c r="E910" s="22"/>
      <x:c r="F910" s="22"/>
      <x:c r="G910" s="22"/>
      <x:c r="L910" s="22"/>
      <x:c r="N910" s="24"/>
      <x:c r="O910" t="str">
        <x:f>IF(OR(D910="",G910=""),"",G910-D910)</x:f>
      </x:c>
    </x:row>
    <x:row r="911">
      <x:c r="D911" s="22"/>
      <x:c r="E911" s="22"/>
      <x:c r="F911" s="22"/>
      <x:c r="G911" s="22"/>
      <x:c r="L911" s="22"/>
      <x:c r="N911" s="24"/>
      <x:c r="O911" t="str">
        <x:f>IF(OR(D911="",G911=""),"",G911-D911)</x:f>
      </x:c>
    </x:row>
    <x:row r="912">
      <x:c r="D912" s="22"/>
      <x:c r="E912" s="22"/>
      <x:c r="F912" s="22"/>
      <x:c r="G912" s="22"/>
      <x:c r="L912" s="22"/>
      <x:c r="N912" s="24"/>
      <x:c r="O912" t="str">
        <x:f>IF(OR(D912="",G912=""),"",G912-D912)</x:f>
      </x:c>
    </x:row>
    <x:row r="913">
      <x:c r="D913" s="22"/>
      <x:c r="E913" s="22"/>
      <x:c r="F913" s="22"/>
      <x:c r="G913" s="22"/>
      <x:c r="L913" s="22"/>
      <x:c r="N913" s="24"/>
      <x:c r="O913" t="str">
        <x:f>IF(OR(D913="",G913=""),"",G913-D913)</x:f>
      </x:c>
    </x:row>
    <x:row r="914">
      <x:c r="D914" s="22"/>
      <x:c r="E914" s="22"/>
      <x:c r="F914" s="22"/>
      <x:c r="G914" s="22"/>
      <x:c r="L914" s="22"/>
      <x:c r="N914" s="24"/>
      <x:c r="O914" t="str">
        <x:f>IF(OR(D914="",G914=""),"",G914-D914)</x:f>
      </x:c>
    </x:row>
    <x:row r="915">
      <x:c r="D915" s="22"/>
      <x:c r="E915" s="22"/>
      <x:c r="F915" s="22"/>
      <x:c r="G915" s="22"/>
      <x:c r="L915" s="22"/>
      <x:c r="N915" s="24"/>
      <x:c r="O915" t="str">
        <x:f>IF(OR(D915="",G915=""),"",G915-D915)</x:f>
      </x:c>
    </x:row>
    <x:row r="916">
      <x:c r="D916" s="22"/>
      <x:c r="E916" s="22"/>
      <x:c r="F916" s="22"/>
      <x:c r="G916" s="22"/>
      <x:c r="L916" s="22"/>
      <x:c r="N916" s="24"/>
      <x:c r="O916" t="str">
        <x:f>IF(OR(D916="",G916=""),"",G916-D916)</x:f>
      </x:c>
    </x:row>
    <x:row r="917">
      <x:c r="D917" s="22"/>
      <x:c r="E917" s="22"/>
      <x:c r="F917" s="22"/>
      <x:c r="G917" s="22"/>
      <x:c r="L917" s="22"/>
      <x:c r="N917" s="24"/>
      <x:c r="O917" t="str">
        <x:f>IF(OR(D917="",G917=""),"",G917-D917)</x:f>
      </x:c>
    </x:row>
    <x:row r="918">
      <x:c r="D918" s="22"/>
      <x:c r="E918" s="22"/>
      <x:c r="F918" s="22"/>
      <x:c r="G918" s="22"/>
      <x:c r="L918" s="22"/>
      <x:c r="N918" s="24"/>
      <x:c r="O918" t="str">
        <x:f>IF(OR(D918="",G918=""),"",G918-D918)</x:f>
      </x:c>
    </x:row>
    <x:row r="919">
      <x:c r="D919" s="22"/>
      <x:c r="E919" s="22"/>
      <x:c r="F919" s="22"/>
      <x:c r="G919" s="22"/>
      <x:c r="L919" s="22"/>
      <x:c r="N919" s="24"/>
      <x:c r="O919" t="str">
        <x:f>IF(OR(D919="",G919=""),"",G919-D919)</x:f>
      </x:c>
    </x:row>
    <x:row r="920">
      <x:c r="D920" s="22"/>
      <x:c r="E920" s="22"/>
      <x:c r="F920" s="22"/>
      <x:c r="G920" s="22"/>
      <x:c r="L920" s="22"/>
      <x:c r="N920" s="24"/>
      <x:c r="O920" t="str">
        <x:f>IF(OR(D920="",G920=""),"",G920-D920)</x:f>
      </x:c>
    </x:row>
    <x:row r="921">
      <x:c r="D921" s="22"/>
      <x:c r="E921" s="22"/>
      <x:c r="F921" s="22"/>
      <x:c r="G921" s="22"/>
      <x:c r="L921" s="22"/>
      <x:c r="N921" s="24"/>
      <x:c r="O921" t="str">
        <x:f>IF(OR(D921="",G921=""),"",G921-D921)</x:f>
      </x:c>
    </x:row>
    <x:row r="922">
      <x:c r="D922" s="22"/>
      <x:c r="E922" s="22"/>
      <x:c r="F922" s="22"/>
      <x:c r="G922" s="22"/>
      <x:c r="L922" s="22"/>
      <x:c r="N922" s="24"/>
      <x:c r="O922" t="str">
        <x:f>IF(OR(D922="",G922=""),"",G922-D922)</x:f>
      </x:c>
    </x:row>
    <x:row r="923">
      <x:c r="D923" s="22"/>
      <x:c r="E923" s="22"/>
      <x:c r="F923" s="22"/>
      <x:c r="G923" s="22"/>
      <x:c r="L923" s="22"/>
      <x:c r="N923" s="24"/>
      <x:c r="O923" t="str">
        <x:f>IF(OR(D923="",G923=""),"",G923-D923)</x:f>
      </x:c>
    </x:row>
    <x:row r="924">
      <x:c r="D924" s="22"/>
      <x:c r="E924" s="22"/>
      <x:c r="F924" s="22"/>
      <x:c r="G924" s="22"/>
      <x:c r="L924" s="22"/>
      <x:c r="N924" s="24"/>
      <x:c r="O924" t="str">
        <x:f>IF(OR(D924="",G924=""),"",G924-D924)</x:f>
      </x:c>
    </x:row>
    <x:row r="925">
      <x:c r="D925" s="22"/>
      <x:c r="E925" s="22"/>
      <x:c r="F925" s="22"/>
      <x:c r="G925" s="22"/>
      <x:c r="L925" s="22"/>
      <x:c r="N925" s="24"/>
      <x:c r="O925" t="str">
        <x:f>IF(OR(D925="",G925=""),"",G925-D925)</x:f>
      </x:c>
    </x:row>
    <x:row r="926">
      <x:c r="D926" s="22"/>
      <x:c r="E926" s="22"/>
      <x:c r="F926" s="22"/>
      <x:c r="G926" s="22"/>
      <x:c r="L926" s="22"/>
      <x:c r="N926" s="24"/>
      <x:c r="O926" t="str">
        <x:f>IF(OR(D926="",G926=""),"",G926-D926)</x:f>
      </x:c>
    </x:row>
    <x:row r="927">
      <x:c r="D927" s="22"/>
      <x:c r="E927" s="22"/>
      <x:c r="F927" s="22"/>
      <x:c r="G927" s="22"/>
      <x:c r="L927" s="22"/>
      <x:c r="N927" s="24"/>
      <x:c r="O927" t="str">
        <x:f>IF(OR(D927="",G927=""),"",G927-D927)</x:f>
      </x:c>
    </x:row>
    <x:row r="928">
      <x:c r="D928" s="22"/>
      <x:c r="E928" s="22"/>
      <x:c r="F928" s="22"/>
      <x:c r="G928" s="22"/>
      <x:c r="L928" s="22"/>
      <x:c r="N928" s="24"/>
      <x:c r="O928" t="str">
        <x:f>IF(OR(D928="",G928=""),"",G928-D928)</x:f>
      </x:c>
    </x:row>
    <x:row r="929">
      <x:c r="D929" s="22"/>
      <x:c r="E929" s="22"/>
      <x:c r="F929" s="22"/>
      <x:c r="G929" s="22"/>
      <x:c r="L929" s="22"/>
      <x:c r="N929" s="24"/>
      <x:c r="O929" t="str">
        <x:f>IF(OR(D929="",G929=""),"",G929-D929)</x:f>
      </x:c>
    </x:row>
    <x:row r="930">
      <x:c r="D930" s="22"/>
      <x:c r="E930" s="22"/>
      <x:c r="F930" s="22"/>
      <x:c r="G930" s="22"/>
      <x:c r="L930" s="22"/>
      <x:c r="N930" s="24"/>
      <x:c r="O930" t="str">
        <x:f>IF(OR(D930="",G930=""),"",G930-D930)</x:f>
      </x:c>
    </x:row>
    <x:row r="931">
      <x:c r="D931" s="22"/>
      <x:c r="E931" s="22"/>
      <x:c r="F931" s="22"/>
      <x:c r="G931" s="22"/>
      <x:c r="L931" s="22"/>
      <x:c r="N931" s="24"/>
      <x:c r="O931" t="str">
        <x:f>IF(OR(D931="",G931=""),"",G931-D931)</x:f>
      </x:c>
    </x:row>
    <x:row r="932">
      <x:c r="D932" s="22"/>
      <x:c r="E932" s="22"/>
      <x:c r="F932" s="22"/>
      <x:c r="G932" s="22"/>
      <x:c r="L932" s="22"/>
      <x:c r="N932" s="24"/>
      <x:c r="O932" t="str">
        <x:f>IF(OR(D932="",G932=""),"",G932-D932)</x:f>
      </x:c>
    </x:row>
    <x:row r="933">
      <x:c r="D933" s="22"/>
      <x:c r="E933" s="22"/>
      <x:c r="F933" s="22"/>
      <x:c r="G933" s="22"/>
      <x:c r="L933" s="22"/>
      <x:c r="N933" s="24"/>
      <x:c r="O933" t="str">
        <x:f>IF(OR(D933="",G933=""),"",G933-D933)</x:f>
      </x:c>
    </x:row>
    <x:row r="934">
      <x:c r="D934" s="22"/>
      <x:c r="E934" s="22"/>
      <x:c r="F934" s="22"/>
      <x:c r="G934" s="22"/>
      <x:c r="L934" s="22"/>
      <x:c r="N934" s="24"/>
      <x:c r="O934" t="str">
        <x:f>IF(OR(D934="",G934=""),"",G934-D934)</x:f>
      </x:c>
    </x:row>
    <x:row r="935">
      <x:c r="D935" s="22"/>
      <x:c r="E935" s="22"/>
      <x:c r="F935" s="22"/>
      <x:c r="G935" s="22"/>
      <x:c r="L935" s="22"/>
      <x:c r="N935" s="24"/>
      <x:c r="O935" t="str">
        <x:f>IF(OR(D935="",G935=""),"",G935-D935)</x:f>
      </x:c>
    </x:row>
    <x:row r="936">
      <x:c r="D936" s="22"/>
      <x:c r="E936" s="22"/>
      <x:c r="F936" s="22"/>
      <x:c r="G936" s="22"/>
      <x:c r="L936" s="22"/>
      <x:c r="N936" s="24"/>
      <x:c r="O936" t="str">
        <x:f>IF(OR(D936="",G936=""),"",G936-D936)</x:f>
      </x:c>
    </x:row>
    <x:row r="937">
      <x:c r="D937" s="22"/>
      <x:c r="E937" s="22"/>
      <x:c r="F937" s="22"/>
      <x:c r="G937" s="22"/>
      <x:c r="L937" s="22"/>
      <x:c r="N937" s="24"/>
      <x:c r="O937" t="str">
        <x:f>IF(OR(D937="",G937=""),"",G937-D937)</x:f>
      </x:c>
    </x:row>
    <x:row r="938">
      <x:c r="D938" s="22"/>
      <x:c r="E938" s="22"/>
      <x:c r="F938" s="22"/>
      <x:c r="G938" s="22"/>
      <x:c r="L938" s="22"/>
      <x:c r="N938" s="24"/>
      <x:c r="O938" t="str">
        <x:f>IF(OR(D938="",G938=""),"",G938-D938)</x:f>
      </x:c>
    </x:row>
    <x:row r="939">
      <x:c r="D939" s="22"/>
      <x:c r="E939" s="22"/>
      <x:c r="F939" s="22"/>
      <x:c r="G939" s="22"/>
      <x:c r="L939" s="22"/>
      <x:c r="N939" s="24"/>
      <x:c r="O939" t="str">
        <x:f>IF(OR(D939="",G939=""),"",G939-D939)</x:f>
      </x:c>
    </x:row>
    <x:row r="940">
      <x:c r="D940" s="22"/>
      <x:c r="E940" s="22"/>
      <x:c r="F940" s="22"/>
      <x:c r="G940" s="22"/>
      <x:c r="L940" s="22"/>
      <x:c r="N940" s="24"/>
      <x:c r="O940" t="str">
        <x:f>IF(OR(D940="",G940=""),"",G940-D940)</x:f>
      </x:c>
    </x:row>
    <x:row r="941">
      <x:c r="D941" s="22"/>
      <x:c r="E941" s="22"/>
      <x:c r="F941" s="22"/>
      <x:c r="G941" s="22"/>
      <x:c r="L941" s="22"/>
      <x:c r="N941" s="24"/>
      <x:c r="O941" t="str">
        <x:f>IF(OR(D941="",G941=""),"",G941-D941)</x:f>
      </x:c>
    </x:row>
    <x:row r="942">
      <x:c r="D942" s="22"/>
      <x:c r="E942" s="22"/>
      <x:c r="F942" s="22"/>
      <x:c r="G942" s="22"/>
      <x:c r="L942" s="22"/>
      <x:c r="N942" s="24"/>
      <x:c r="O942" t="str">
        <x:f>IF(OR(D942="",G942=""),"",G942-D942)</x:f>
      </x:c>
    </x:row>
    <x:row r="943">
      <x:c r="D943" s="22"/>
      <x:c r="E943" s="22"/>
      <x:c r="F943" s="22"/>
      <x:c r="G943" s="22"/>
      <x:c r="L943" s="22"/>
      <x:c r="N943" s="24"/>
      <x:c r="O943" t="str">
        <x:f>IF(OR(D943="",G943=""),"",G943-D943)</x:f>
      </x:c>
    </x:row>
    <x:row r="944">
      <x:c r="D944" s="22"/>
      <x:c r="E944" s="22"/>
      <x:c r="F944" s="22"/>
      <x:c r="G944" s="22"/>
      <x:c r="L944" s="22"/>
      <x:c r="N944" s="24"/>
      <x:c r="O944" t="str">
        <x:f>IF(OR(D944="",G944=""),"",G944-D944)</x:f>
      </x:c>
    </x:row>
    <x:row r="945">
      <x:c r="D945" s="22"/>
      <x:c r="E945" s="22"/>
      <x:c r="F945" s="22"/>
      <x:c r="G945" s="22"/>
      <x:c r="L945" s="22"/>
      <x:c r="N945" s="24"/>
      <x:c r="O945" t="str">
        <x:f>IF(OR(D945="",G945=""),"",G945-D945)</x:f>
      </x:c>
    </x:row>
    <x:row r="946">
      <x:c r="D946" s="22"/>
      <x:c r="E946" s="22"/>
      <x:c r="F946" s="22"/>
      <x:c r="G946" s="22"/>
      <x:c r="L946" s="22"/>
      <x:c r="N946" s="24"/>
      <x:c r="O946" t="str">
        <x:f>IF(OR(D946="",G946=""),"",G946-D946)</x:f>
      </x:c>
    </x:row>
    <x:row r="947">
      <x:c r="D947" s="22"/>
      <x:c r="E947" s="22"/>
      <x:c r="F947" s="22"/>
      <x:c r="G947" s="22"/>
      <x:c r="L947" s="22"/>
      <x:c r="N947" s="24"/>
      <x:c r="O947" t="str">
        <x:f>IF(OR(D947="",G947=""),"",G947-D947)</x:f>
      </x:c>
    </x:row>
    <x:row r="948">
      <x:c r="D948" s="22"/>
      <x:c r="E948" s="22"/>
      <x:c r="F948" s="22"/>
      <x:c r="G948" s="22"/>
      <x:c r="L948" s="22"/>
      <x:c r="N948" s="24"/>
      <x:c r="O948" t="str">
        <x:f>IF(OR(D948="",G948=""),"",G948-D948)</x:f>
      </x:c>
    </x:row>
    <x:row r="949">
      <x:c r="D949" s="22"/>
      <x:c r="E949" s="22"/>
      <x:c r="F949" s="22"/>
      <x:c r="G949" s="22"/>
      <x:c r="L949" s="22"/>
      <x:c r="N949" s="24"/>
      <x:c r="O949" t="str">
        <x:f>IF(OR(D949="",G949=""),"",G949-D949)</x:f>
      </x:c>
    </x:row>
    <x:row r="950">
      <x:c r="D950" s="22"/>
      <x:c r="E950" s="22"/>
      <x:c r="F950" s="22"/>
      <x:c r="G950" s="22"/>
      <x:c r="L950" s="22"/>
      <x:c r="N950" s="24"/>
      <x:c r="O950" t="str">
        <x:f>IF(OR(D950="",G950=""),"",G950-D950)</x:f>
      </x:c>
    </x:row>
    <x:row r="951">
      <x:c r="D951" s="22"/>
      <x:c r="E951" s="22"/>
      <x:c r="F951" s="22"/>
      <x:c r="G951" s="22"/>
      <x:c r="L951" s="22"/>
      <x:c r="N951" s="24"/>
      <x:c r="O951" t="str">
        <x:f>IF(OR(D951="",G951=""),"",G951-D951)</x:f>
      </x:c>
    </x:row>
    <x:row r="952">
      <x:c r="D952" s="22"/>
      <x:c r="E952" s="22"/>
      <x:c r="F952" s="22"/>
      <x:c r="G952" s="22"/>
      <x:c r="L952" s="22"/>
      <x:c r="N952" s="24"/>
      <x:c r="O952" t="str">
        <x:f>IF(OR(D952="",G952=""),"",G952-D952)</x:f>
      </x:c>
    </x:row>
    <x:row r="953">
      <x:c r="D953" s="22"/>
      <x:c r="E953" s="22"/>
      <x:c r="F953" s="22"/>
      <x:c r="G953" s="22"/>
      <x:c r="L953" s="22"/>
      <x:c r="N953" s="24"/>
      <x:c r="O953" t="str">
        <x:f>IF(OR(D953="",G953=""),"",G953-D953)</x:f>
      </x:c>
    </x:row>
    <x:row r="954">
      <x:c r="D954" s="22"/>
      <x:c r="E954" s="22"/>
      <x:c r="F954" s="22"/>
      <x:c r="G954" s="22"/>
      <x:c r="L954" s="22"/>
      <x:c r="N954" s="24"/>
      <x:c r="O954" t="str">
        <x:f>IF(OR(D954="",G954=""),"",G954-D954)</x:f>
      </x:c>
    </x:row>
    <x:row r="955">
      <x:c r="D955" s="22"/>
      <x:c r="E955" s="22"/>
      <x:c r="F955" s="22"/>
      <x:c r="G955" s="22"/>
      <x:c r="L955" s="22"/>
      <x:c r="N955" s="24"/>
      <x:c r="O955" t="str">
        <x:f>IF(OR(D955="",G955=""),"",G955-D955)</x:f>
      </x:c>
    </x:row>
    <x:row r="956">
      <x:c r="D956" s="22"/>
      <x:c r="E956" s="22"/>
      <x:c r="F956" s="22"/>
      <x:c r="G956" s="22"/>
      <x:c r="L956" s="22"/>
      <x:c r="N956" s="24"/>
      <x:c r="O956" t="str">
        <x:f>IF(OR(D956="",G956=""),"",G956-D956)</x:f>
      </x:c>
    </x:row>
    <x:row r="957">
      <x:c r="D957" s="22"/>
      <x:c r="E957" s="22"/>
      <x:c r="F957" s="22"/>
      <x:c r="G957" s="22"/>
      <x:c r="L957" s="22"/>
      <x:c r="N957" s="24"/>
      <x:c r="O957" t="str">
        <x:f>IF(OR(D957="",G957=""),"",G957-D957)</x:f>
      </x:c>
    </x:row>
    <x:row r="958">
      <x:c r="D958" s="22"/>
      <x:c r="E958" s="22"/>
      <x:c r="F958" s="22"/>
      <x:c r="G958" s="22"/>
      <x:c r="L958" s="22"/>
      <x:c r="N958" s="24"/>
      <x:c r="O958" t="str">
        <x:f>IF(OR(D958="",G958=""),"",G958-D958)</x:f>
      </x:c>
    </x:row>
    <x:row r="959">
      <x:c r="D959" s="22"/>
      <x:c r="E959" s="22"/>
      <x:c r="F959" s="22"/>
      <x:c r="G959" s="22"/>
      <x:c r="L959" s="22"/>
      <x:c r="N959" s="24"/>
      <x:c r="O959" t="str">
        <x:f>IF(OR(D959="",G959=""),"",G959-D959)</x:f>
      </x:c>
    </x:row>
    <x:row r="960">
      <x:c r="D960" s="22"/>
      <x:c r="E960" s="22"/>
      <x:c r="F960" s="22"/>
      <x:c r="G960" s="22"/>
      <x:c r="L960" s="22"/>
      <x:c r="N960" s="24"/>
      <x:c r="O960" t="str">
        <x:f>IF(OR(D960="",G960=""),"",G960-D960)</x:f>
      </x:c>
    </x:row>
    <x:row r="961">
      <x:c r="D961" s="22"/>
      <x:c r="E961" s="22"/>
      <x:c r="F961" s="22"/>
      <x:c r="G961" s="22"/>
      <x:c r="L961" s="22"/>
      <x:c r="N961" s="24"/>
      <x:c r="O961" t="str">
        <x:f>IF(OR(D961="",G961=""),"",G961-D961)</x:f>
      </x:c>
    </x:row>
    <x:row r="962">
      <x:c r="D962" s="22"/>
      <x:c r="E962" s="22"/>
      <x:c r="F962" s="22"/>
      <x:c r="G962" s="22"/>
      <x:c r="L962" s="22"/>
      <x:c r="N962" s="24"/>
      <x:c r="O962" t="str">
        <x:f>IF(OR(D962="",G962=""),"",G962-D962)</x:f>
      </x:c>
    </x:row>
    <x:row r="963">
      <x:c r="D963" s="22"/>
      <x:c r="E963" s="22"/>
      <x:c r="F963" s="22"/>
      <x:c r="G963" s="22"/>
      <x:c r="L963" s="22"/>
      <x:c r="N963" s="24"/>
      <x:c r="O963" t="str">
        <x:f>IF(OR(D963="",G963=""),"",G963-D963)</x:f>
      </x:c>
    </x:row>
    <x:row r="964">
      <x:c r="D964" s="22"/>
      <x:c r="E964" s="22"/>
      <x:c r="F964" s="22"/>
      <x:c r="G964" s="22"/>
      <x:c r="L964" s="22"/>
      <x:c r="N964" s="24"/>
      <x:c r="O964" t="str">
        <x:f>IF(OR(D964="",G964=""),"",G964-D964)</x:f>
      </x:c>
    </x:row>
    <x:row r="965">
      <x:c r="D965" s="22"/>
      <x:c r="E965" s="22"/>
      <x:c r="F965" s="22"/>
      <x:c r="G965" s="22"/>
      <x:c r="L965" s="22"/>
      <x:c r="N965" s="24"/>
      <x:c r="O965" t="str">
        <x:f>IF(OR(D965="",G965=""),"",G965-D965)</x:f>
      </x:c>
    </x:row>
    <x:row r="966">
      <x:c r="D966" s="22"/>
      <x:c r="E966" s="22"/>
      <x:c r="F966" s="22"/>
      <x:c r="G966" s="22"/>
      <x:c r="L966" s="22"/>
      <x:c r="N966" s="24"/>
      <x:c r="O966" t="str">
        <x:f>IF(OR(D966="",G966=""),"",G966-D966)</x:f>
      </x:c>
    </x:row>
    <x:row r="967">
      <x:c r="D967" s="22"/>
      <x:c r="E967" s="22"/>
      <x:c r="F967" s="22"/>
      <x:c r="G967" s="22"/>
      <x:c r="L967" s="22"/>
      <x:c r="N967" s="24"/>
      <x:c r="O967" t="str">
        <x:f>IF(OR(D967="",G967=""),"",G967-D967)</x:f>
      </x:c>
    </x:row>
    <x:row r="968">
      <x:c r="D968" s="22"/>
      <x:c r="E968" s="22"/>
      <x:c r="F968" s="22"/>
      <x:c r="G968" s="22"/>
      <x:c r="L968" s="22"/>
      <x:c r="N968" s="24"/>
      <x:c r="O968" t="str">
        <x:f>IF(OR(D968="",G968=""),"",G968-D968)</x:f>
      </x:c>
    </x:row>
    <x:row r="969">
      <x:c r="D969" s="22"/>
      <x:c r="E969" s="22"/>
      <x:c r="F969" s="22"/>
      <x:c r="G969" s="22"/>
      <x:c r="L969" s="22"/>
      <x:c r="N969" s="24"/>
      <x:c r="O969" t="str">
        <x:f>IF(OR(D969="",G969=""),"",G969-D969)</x:f>
      </x:c>
    </x:row>
    <x:row r="970">
      <x:c r="D970" s="22"/>
      <x:c r="E970" s="22"/>
      <x:c r="F970" s="22"/>
      <x:c r="G970" s="22"/>
      <x:c r="L970" s="22"/>
      <x:c r="N970" s="24"/>
      <x:c r="O970" t="str">
        <x:f>IF(OR(D970="",G970=""),"",G970-D970)</x:f>
      </x:c>
    </x:row>
    <x:row r="971">
      <x:c r="D971" s="22"/>
      <x:c r="E971" s="22"/>
      <x:c r="F971" s="22"/>
      <x:c r="G971" s="22"/>
      <x:c r="L971" s="22"/>
      <x:c r="N971" s="24"/>
      <x:c r="O971" t="str">
        <x:f>IF(OR(D971="",G971=""),"",G971-D971)</x:f>
      </x:c>
    </x:row>
    <x:row r="972">
      <x:c r="D972" s="22"/>
      <x:c r="E972" s="22"/>
      <x:c r="F972" s="22"/>
      <x:c r="G972" s="22"/>
      <x:c r="L972" s="22"/>
      <x:c r="N972" s="24"/>
      <x:c r="O972" t="str">
        <x:f>IF(OR(D972="",G972=""),"",G972-D972)</x:f>
      </x:c>
    </x:row>
    <x:row r="973">
      <x:c r="D973" s="22"/>
      <x:c r="E973" s="22"/>
      <x:c r="F973" s="22"/>
      <x:c r="G973" s="22"/>
      <x:c r="L973" s="22"/>
      <x:c r="N973" s="24"/>
      <x:c r="O973" t="str">
        <x:f>IF(OR(D973="",G973=""),"",G973-D973)</x:f>
      </x:c>
    </x:row>
    <x:row r="974">
      <x:c r="D974" s="22"/>
      <x:c r="E974" s="22"/>
      <x:c r="F974" s="22"/>
      <x:c r="G974" s="22"/>
      <x:c r="L974" s="22"/>
      <x:c r="N974" s="24"/>
      <x:c r="O974" t="str">
        <x:f>IF(OR(D974="",G974=""),"",G974-D974)</x:f>
      </x:c>
    </x:row>
    <x:row r="975">
      <x:c r="D975" s="22"/>
      <x:c r="E975" s="22"/>
      <x:c r="F975" s="22"/>
      <x:c r="G975" s="22"/>
      <x:c r="L975" s="22"/>
      <x:c r="N975" s="24"/>
      <x:c r="O975" t="str">
        <x:f>IF(OR(D975="",G975=""),"",G975-D975)</x:f>
      </x:c>
    </x:row>
    <x:row r="976">
      <x:c r="D976" s="22"/>
      <x:c r="E976" s="22"/>
      <x:c r="F976" s="22"/>
      <x:c r="G976" s="22"/>
      <x:c r="L976" s="22"/>
      <x:c r="N976" s="24"/>
      <x:c r="O976" t="str">
        <x:f>IF(OR(D976="",G976=""),"",G976-D976)</x:f>
      </x:c>
    </x:row>
    <x:row r="977">
      <x:c r="D977" s="22"/>
      <x:c r="E977" s="22"/>
      <x:c r="F977" s="22"/>
      <x:c r="G977" s="22"/>
      <x:c r="L977" s="22"/>
      <x:c r="N977" s="24"/>
      <x:c r="O977" t="str">
        <x:f>IF(OR(D977="",G977=""),"",G977-D977)</x:f>
      </x:c>
    </x:row>
    <x:row r="978">
      <x:c r="D978" s="22"/>
      <x:c r="E978" s="22"/>
      <x:c r="F978" s="22"/>
      <x:c r="G978" s="22"/>
      <x:c r="L978" s="22"/>
      <x:c r="N978" s="24"/>
      <x:c r="O978" t="str">
        <x:f>IF(OR(D978="",G978=""),"",G978-D978)</x:f>
      </x:c>
    </x:row>
    <x:row r="979">
      <x:c r="D979" s="22"/>
      <x:c r="E979" s="22"/>
      <x:c r="F979" s="22"/>
      <x:c r="G979" s="22"/>
      <x:c r="L979" s="22"/>
      <x:c r="N979" s="24"/>
      <x:c r="O979" t="str">
        <x:f>IF(OR(D979="",G979=""),"",G979-D979)</x:f>
      </x:c>
    </x:row>
    <x:row r="980">
      <x:c r="D980" s="22"/>
      <x:c r="E980" s="22"/>
      <x:c r="F980" s="22"/>
      <x:c r="G980" s="22"/>
      <x:c r="L980" s="22"/>
      <x:c r="N980" s="24"/>
      <x:c r="O980" t="str">
        <x:f>IF(OR(D980="",G980=""),"",G980-D980)</x:f>
      </x:c>
    </x:row>
    <x:row r="981">
      <x:c r="D981" s="22"/>
      <x:c r="E981" s="22"/>
      <x:c r="F981" s="22"/>
      <x:c r="G981" s="22"/>
      <x:c r="L981" s="22"/>
      <x:c r="N981" s="24"/>
      <x:c r="O981" t="str">
        <x:f>IF(OR(D981="",G981=""),"",G981-D981)</x:f>
      </x:c>
    </x:row>
    <x:row r="982">
      <x:c r="D982" s="22"/>
      <x:c r="E982" s="22"/>
      <x:c r="F982" s="22"/>
      <x:c r="G982" s="22"/>
      <x:c r="L982" s="22"/>
      <x:c r="N982" s="24"/>
      <x:c r="O982" t="str">
        <x:f>IF(OR(D982="",G982=""),"",G982-D982)</x:f>
      </x:c>
    </x:row>
    <x:row r="983">
      <x:c r="D983" s="22"/>
      <x:c r="E983" s="22"/>
      <x:c r="F983" s="22"/>
      <x:c r="G983" s="22"/>
      <x:c r="L983" s="22"/>
      <x:c r="N983" s="24"/>
      <x:c r="O983" t="str">
        <x:f>IF(OR(D983="",G983=""),"",G983-D983)</x:f>
      </x:c>
    </x:row>
    <x:row r="984">
      <x:c r="D984" s="22"/>
      <x:c r="E984" s="22"/>
      <x:c r="F984" s="22"/>
      <x:c r="G984" s="22"/>
      <x:c r="L984" s="22"/>
      <x:c r="N984" s="24"/>
      <x:c r="O984" t="str">
        <x:f>IF(OR(D984="",G984=""),"",G984-D984)</x:f>
      </x:c>
    </x:row>
    <x:row r="985">
      <x:c r="D985" s="22"/>
      <x:c r="E985" s="22"/>
      <x:c r="F985" s="22"/>
      <x:c r="G985" s="22"/>
      <x:c r="L985" s="22"/>
      <x:c r="N985" s="24"/>
      <x:c r="O985" t="str">
        <x:f>IF(OR(D985="",G985=""),"",G985-D985)</x:f>
      </x:c>
    </x:row>
    <x:row r="986">
      <x:c r="D986" s="22"/>
      <x:c r="E986" s="22"/>
      <x:c r="F986" s="22"/>
      <x:c r="G986" s="22"/>
      <x:c r="L986" s="22"/>
      <x:c r="N986" s="24"/>
      <x:c r="O986" t="str">
        <x:f>IF(OR(D986="",G986=""),"",G986-D986)</x:f>
      </x:c>
    </x:row>
    <x:row r="987">
      <x:c r="D987" s="22"/>
      <x:c r="E987" s="22"/>
      <x:c r="F987" s="22"/>
      <x:c r="G987" s="22"/>
      <x:c r="L987" s="22"/>
      <x:c r="N987" s="24"/>
      <x:c r="O987" t="str">
        <x:f>IF(OR(D987="",G987=""),"",G987-D987)</x:f>
      </x:c>
    </x:row>
    <x:row r="988">
      <x:c r="D988" s="22"/>
      <x:c r="E988" s="22"/>
      <x:c r="F988" s="22"/>
      <x:c r="G988" s="22"/>
      <x:c r="L988" s="22"/>
      <x:c r="N988" s="24"/>
      <x:c r="O988" t="str">
        <x:f>IF(OR(D988="",G988=""),"",G988-D988)</x:f>
      </x:c>
    </x:row>
    <x:row r="989">
      <x:c r="D989" s="22"/>
      <x:c r="E989" s="22"/>
      <x:c r="F989" s="22"/>
      <x:c r="G989" s="22"/>
      <x:c r="L989" s="22"/>
      <x:c r="N989" s="24"/>
      <x:c r="O989" t="str">
        <x:f>IF(OR(D989="",G989=""),"",G989-D989)</x:f>
      </x:c>
    </x:row>
    <x:row r="990">
      <x:c r="D990" s="22"/>
      <x:c r="E990" s="22"/>
      <x:c r="F990" s="22"/>
      <x:c r="G990" s="22"/>
      <x:c r="L990" s="22"/>
      <x:c r="N990" s="24"/>
      <x:c r="O990" t="str">
        <x:f>IF(OR(D990="",G990=""),"",G990-D990)</x:f>
      </x:c>
    </x:row>
    <x:row r="991">
      <x:c r="D991" s="22"/>
      <x:c r="E991" s="22"/>
      <x:c r="F991" s="22"/>
      <x:c r="G991" s="22"/>
      <x:c r="L991" s="22"/>
      <x:c r="N991" s="24"/>
      <x:c r="O991" t="str">
        <x:f>IF(OR(D991="",G991=""),"",G991-D991)</x:f>
      </x:c>
    </x:row>
    <x:row r="992">
      <x:c r="D992" s="22"/>
      <x:c r="E992" s="22"/>
      <x:c r="F992" s="22"/>
      <x:c r="G992" s="22"/>
      <x:c r="L992" s="22"/>
      <x:c r="N992" s="24"/>
      <x:c r="O992" t="str">
        <x:f>IF(OR(D992="",G992=""),"",G992-D992)</x:f>
      </x:c>
    </x:row>
    <x:row r="993">
      <x:c r="D993" s="22"/>
      <x:c r="E993" s="22"/>
      <x:c r="F993" s="22"/>
      <x:c r="G993" s="22"/>
      <x:c r="L993" s="22"/>
      <x:c r="N993" s="24"/>
      <x:c r="O993" t="str">
        <x:f>IF(OR(D993="",G993=""),"",G993-D993)</x:f>
      </x:c>
    </x:row>
    <x:row r="994">
      <x:c r="D994" s="22"/>
      <x:c r="E994" s="22"/>
      <x:c r="F994" s="22"/>
      <x:c r="G994" s="22"/>
      <x:c r="L994" s="22"/>
      <x:c r="N994" s="24"/>
      <x:c r="O994" t="str">
        <x:f>IF(OR(D994="",G994=""),"",G994-D994)</x:f>
      </x:c>
    </x:row>
    <x:row r="995">
      <x:c r="D995" s="22"/>
      <x:c r="E995" s="22"/>
      <x:c r="F995" s="22"/>
      <x:c r="G995" s="22"/>
      <x:c r="L995" s="22"/>
      <x:c r="N995" s="24"/>
      <x:c r="O995" t="str">
        <x:f>IF(OR(D995="",G995=""),"",G995-D995)</x:f>
      </x:c>
    </x:row>
    <x:row r="996">
      <x:c r="D996" s="22"/>
      <x:c r="E996" s="22"/>
      <x:c r="F996" s="22"/>
      <x:c r="G996" s="22"/>
      <x:c r="L996" s="22"/>
      <x:c r="N996" s="24"/>
      <x:c r="O996" t="str">
        <x:f>IF(OR(D996="",G996=""),"",G996-D996)</x:f>
      </x:c>
    </x:row>
    <x:row r="997">
      <x:c r="D997" s="22"/>
      <x:c r="E997" s="22"/>
      <x:c r="F997" s="22"/>
      <x:c r="G997" s="22"/>
      <x:c r="L997" s="22"/>
      <x:c r="N997" s="24"/>
      <x:c r="O997" t="str">
        <x:f>IF(OR(D997="",G997=""),"",G997-D997)</x:f>
      </x:c>
    </x:row>
    <x:row r="998">
      <x:c r="D998" s="22"/>
      <x:c r="E998" s="22"/>
      <x:c r="F998" s="22"/>
      <x:c r="G998" s="22"/>
      <x:c r="L998" s="22"/>
      <x:c r="N998" s="24"/>
      <x:c r="O998" t="str">
        <x:f>IF(OR(D998="",G998=""),"",G998-D998)</x:f>
      </x:c>
    </x:row>
    <x:row r="999">
      <x:c r="D999" s="22"/>
      <x:c r="E999" s="22"/>
      <x:c r="F999" s="22"/>
      <x:c r="G999" s="22"/>
      <x:c r="L999" s="22"/>
      <x:c r="N999" s="24"/>
      <x:c r="O999" t="str">
        <x:f>IF(OR(D999="",G999=""),"",G999-D999)</x:f>
      </x:c>
    </x:row>
    <x:row r="1000">
      <x:c r="D1000" s="22"/>
      <x:c r="E1000" s="22"/>
      <x:c r="F1000" s="22"/>
      <x:c r="G1000" s="22"/>
      <x:c r="L1000" s="22"/>
      <x:c r="N1000" s="24"/>
      <x:c r="O1000" t="str">
        <x:f>IF(OR(D1000="",G1000=""),"",G1000-D1000)</x:f>
      </x:c>
    </x:row>
  </x:sheetData>
  <x:pageMargins left="0.7" right="0.7" top="0.75" bottom="0.75" header="0.3" footer="0.3"/>
  <x:tableParts count="1">
    <x:tablePart xmlns:r="http://schemas.openxmlformats.org/officeDocument/2006/relationships" r:id="Rc63f9d49089d4c60"/>
  </x:tableParts>
</x:worksheet>
</file>

<file path=xl/worksheets/sheet6.xml><?xml version="1.0" encoding="utf-8"?>
<x:worksheet xmlns:x="http://schemas.openxmlformats.org/spreadsheetml/2006/main">
  <x:sheetFormatPr defaultRowHeight="15"/>
  <x:cols>
    <x:col min="1" max="1" width="17" hidden="0" customWidth="1"/>
    <x:col min="2" max="2" width="16" hidden="0" customWidth="1"/>
    <x:col min="3" max="3" width="14" hidden="0" customWidth="1"/>
    <x:col min="4" max="4" width="38" hidden="0" customWidth="1"/>
    <x:col min="5" max="5" width="14" hidden="0" customWidth="1"/>
    <x:col min="6" max="6" width="25" hidden="0" customWidth="1"/>
    <x:col min="7" max="7" width="22" hidden="0" customWidth="1"/>
    <x:col min="8" max="8" width="55" hidden="0" customWidth="1"/>
    <x:col min="9" max="9" width="15" hidden="0" customWidth="1"/>
    <x:col min="10" max="10" width="16" hidden="0" customWidth="1"/>
    <x:col min="11" max="11" width="18" hidden="0" customWidth="1"/>
    <x:col min="12" max="12" width="20" hidden="0" customWidth="1"/>
    <x:col min="13" max="13" width="15" hidden="0" customWidth="1"/>
    <x:col min="14" max="14" width="15" hidden="0" customWidth="1"/>
    <x:col min="15" max="15" width="15" hidden="0" customWidth="1"/>
    <x:col min="16" max="16" width="15" hidden="0" customWidth="1"/>
    <x:col min="17" max="17" width="17" hidden="0" customWidth="1"/>
    <x:col min="18" max="18" width="20" hidden="0" customWidth="1"/>
    <x:col min="19" max="19" width="45" hidden="0" customWidth="1"/>
    <x:col min="20" max="20" width="52" hidden="0" customWidth="1"/>
  </x:cols>
  <x:sheetData>
    <x:row r="1">
      <x:c r="A1" s="14" t="str">
        <x:v>Util_ID</x:v>
      </x:c>
      <x:c r="B1" s="14" t="str">
        <x:v>IP_ID</x:v>
      </x:c>
      <x:c r="C1" s="14" t="str">
        <x:v>Project_ID</x:v>
      </x:c>
      <x:c r="D1" s="14" t="str">
        <x:v>Hình thức sử dụng</x:v>
      </x:c>
      <x:c r="E1" s="14" t="str">
        <x:v>Mức sử dụng (0-7)</x:v>
      </x:c>
      <x:c r="F1" s="14" t="str">
        <x:v>Đơn vị sử dụng</x:v>
      </x:c>
      <x:c r="G1" s="14" t="str">
        <x:v>Đối tác</x:v>
      </x:c>
      <x:c r="H1" s="14" t="str">
        <x:v>Bằng chứng sử dụng</x:v>
      </x:c>
      <x:c r="I1" s="14" t="str">
        <x:v>Ngày bắt đầu</x:v>
      </x:c>
      <x:c r="J1" s="14" t="str">
        <x:v>Doanh thu_VND</x:v>
      </x:c>
      <x:c r="K1" s="14" t="str">
        <x:v>Tiết kiệm chi phí_VND</x:v>
      </x:c>
      <x:c r="L1" s="14" t="str">
        <x:v>Số người dùng/đối tượng hưởng lợi</x:v>
      </x:c>
      <x:c r="M1" s="14" t="str">
        <x:v>Giá trị khoa học (0-3)</x:v>
      </x:c>
      <x:c r="N1" s="14" t="str">
        <x:v>Giá trị đào tạo (0-3)</x:v>
      </x:c>
      <x:c r="O1" s="14" t="str">
        <x:v>Giá trị công nghệ (0-3)</x:v>
      </x:c>
      <x:c r="P1" s="14" t="str">
        <x:v>Giá trị kinh tế (0-3)</x:v>
      </x:c>
      <x:c r="Q1" s="14" t="str">
        <x:v>Giá trị chiến lược (0-3)</x:v>
      </x:c>
      <x:c r="R1" s="14" t="str">
        <x:v>Tình trạng định giá</x:v>
      </x:c>
      <x:c r="S1" s="14" t="str">
        <x:v>Nguồn</x:v>
      </x:c>
      <x:c r="T1" s="14" t="str">
        <x:v>Ghi chú</x:v>
      </x:c>
    </x:row>
    <x:row r="2">
      <x:c r="A2" t="str">
        <x:v>U2023-08-A</x:v>
      </x:c>
      <x:c r="B2" t="str">
        <x:v>IP2023-08-A</x:v>
      </x:c>
      <x:c r="C2" t="str">
        <x:v>P2023-08</x:v>
      </x:c>
      <x:c r="D2" t="str">
        <x:v>Chuyển giao nội bộ cho Trường để thương mại hóa</x:v>
      </x:c>
      <x:c r="E2" t="n">
        <x:v>4</x:v>
      </x:c>
      <x:c r="F2" t="str">
        <x:v>Trường Đại học Thành Đô</x:v>
      </x:c>
      <x:c r="G2" t="str">
        <x:v>Chưa xác minh</x:v>
      </x:c>
      <x:c r="H2" t="str">
        <x:v>Dòng sản phẩm nghiệm thu ghi 'Sản phẩm chuyển giao công nghệ cho trường ĐHTĐ thương mại hóa'</x:v>
      </x:c>
      <x:c r="I2" s="22"/>
      <x:c r="J2" s="24"/>
      <x:c r="K2" s="24"/>
      <x:c r="L2"/>
      <x:c r="M2"/>
      <x:c r="N2"/>
      <x:c r="O2"/>
      <x:c r="P2"/>
      <x:c r="Q2"/>
      <x:c r="R2" t="str">
        <x:v>Chưa định giá</x:v>
      </x:c>
      <x:c r="S2" t="str">
        <x:v>Tổng hợp đề tài KHCN cấp cơ sở của GV 2021-2025.pdf</x:v>
      </x:c>
      <x:c r="T2" t="str">
        <x:v>Chưa đủ bằng chứng để kết luận đã có hợp đồng chuyển giao ra bên ngoài hoặc phát sinh doanh thu.</x:v>
      </x:c>
    </x:row>
    <x:row r="3">
      <x:c r="I3" s="22"/>
      <x:c r="J3" s="24"/>
      <x:c r="K3" s="24"/>
    </x:row>
    <x:row r="4">
      <x:c r="I4" s="22"/>
      <x:c r="J4" s="24"/>
      <x:c r="K4" s="24"/>
    </x:row>
    <x:row r="5">
      <x:c r="I5" s="22"/>
      <x:c r="J5" s="24"/>
      <x:c r="K5" s="24"/>
    </x:row>
    <x:row r="6">
      <x:c r="I6" s="22"/>
      <x:c r="J6" s="24"/>
      <x:c r="K6" s="24"/>
    </x:row>
    <x:row r="7">
      <x:c r="I7" s="22"/>
      <x:c r="J7" s="24"/>
      <x:c r="K7" s="24"/>
    </x:row>
    <x:row r="8">
      <x:c r="I8" s="22"/>
      <x:c r="J8" s="24"/>
      <x:c r="K8" s="24"/>
    </x:row>
    <x:row r="9">
      <x:c r="I9" s="22"/>
      <x:c r="J9" s="24"/>
      <x:c r="K9" s="24"/>
    </x:row>
    <x:row r="10">
      <x:c r="I10" s="22"/>
      <x:c r="J10" s="24"/>
      <x:c r="K10" s="24"/>
    </x:row>
    <x:row r="11">
      <x:c r="I11" s="22"/>
      <x:c r="J11" s="24"/>
      <x:c r="K11" s="24"/>
    </x:row>
    <x:row r="12">
      <x:c r="I12" s="22"/>
      <x:c r="J12" s="24"/>
      <x:c r="K12" s="24"/>
    </x:row>
    <x:row r="13">
      <x:c r="I13" s="22"/>
      <x:c r="J13" s="24"/>
      <x:c r="K13" s="24"/>
    </x:row>
    <x:row r="14">
      <x:c r="I14" s="22"/>
      <x:c r="J14" s="24"/>
      <x:c r="K14" s="24"/>
    </x:row>
    <x:row r="15">
      <x:c r="I15" s="22"/>
      <x:c r="J15" s="24"/>
      <x:c r="K15" s="24"/>
    </x:row>
    <x:row r="16">
      <x:c r="I16" s="22"/>
      <x:c r="J16" s="24"/>
      <x:c r="K16" s="24"/>
    </x:row>
    <x:row r="17">
      <x:c r="I17" s="22"/>
      <x:c r="J17" s="24"/>
      <x:c r="K17" s="24"/>
    </x:row>
    <x:row r="18">
      <x:c r="I18" s="22"/>
      <x:c r="J18" s="24"/>
      <x:c r="K18" s="24"/>
    </x:row>
    <x:row r="19">
      <x:c r="I19" s="22"/>
      <x:c r="J19" s="24"/>
      <x:c r="K19" s="24"/>
    </x:row>
    <x:row r="20">
      <x:c r="I20" s="22"/>
      <x:c r="J20" s="24"/>
      <x:c r="K20" s="24"/>
    </x:row>
    <x:row r="21">
      <x:c r="I21" s="22"/>
      <x:c r="J21" s="24"/>
      <x:c r="K21" s="24"/>
    </x:row>
    <x:row r="22">
      <x:c r="I22" s="22"/>
      <x:c r="J22" s="24"/>
      <x:c r="K22" s="24"/>
    </x:row>
    <x:row r="23">
      <x:c r="I23" s="22"/>
      <x:c r="J23" s="24"/>
      <x:c r="K23" s="24"/>
    </x:row>
    <x:row r="24">
      <x:c r="I24" s="22"/>
      <x:c r="J24" s="24"/>
      <x:c r="K24" s="24"/>
    </x:row>
    <x:row r="25">
      <x:c r="I25" s="22"/>
      <x:c r="J25" s="24"/>
      <x:c r="K25" s="24"/>
    </x:row>
    <x:row r="26">
      <x:c r="I26" s="22"/>
      <x:c r="J26" s="24"/>
      <x:c r="K26" s="24"/>
    </x:row>
    <x:row r="27">
      <x:c r="I27" s="22"/>
      <x:c r="J27" s="24"/>
      <x:c r="K27" s="24"/>
    </x:row>
    <x:row r="28">
      <x:c r="I28" s="22"/>
      <x:c r="J28" s="24"/>
      <x:c r="K28" s="24"/>
    </x:row>
    <x:row r="29">
      <x:c r="I29" s="22"/>
      <x:c r="J29" s="24"/>
      <x:c r="K29" s="24"/>
    </x:row>
    <x:row r="30">
      <x:c r="I30" s="22"/>
      <x:c r="J30" s="24"/>
      <x:c r="K30" s="24"/>
    </x:row>
    <x:row r="31">
      <x:c r="I31" s="22"/>
      <x:c r="J31" s="24"/>
      <x:c r="K31" s="24"/>
    </x:row>
    <x:row r="32">
      <x:c r="I32" s="22"/>
      <x:c r="J32" s="24"/>
      <x:c r="K32" s="24"/>
    </x:row>
    <x:row r="33">
      <x:c r="I33" s="22"/>
      <x:c r="J33" s="24"/>
      <x:c r="K33" s="24"/>
    </x:row>
    <x:row r="34">
      <x:c r="I34" s="22"/>
      <x:c r="J34" s="24"/>
      <x:c r="K34" s="24"/>
    </x:row>
    <x:row r="35">
      <x:c r="I35" s="22"/>
      <x:c r="J35" s="24"/>
      <x:c r="K35" s="24"/>
    </x:row>
    <x:row r="36">
      <x:c r="I36" s="22"/>
      <x:c r="J36" s="24"/>
      <x:c r="K36" s="24"/>
    </x:row>
    <x:row r="37">
      <x:c r="I37" s="22"/>
      <x:c r="J37" s="24"/>
      <x:c r="K37" s="24"/>
    </x:row>
    <x:row r="38">
      <x:c r="I38" s="22"/>
      <x:c r="J38" s="24"/>
      <x:c r="K38" s="24"/>
    </x:row>
    <x:row r="39">
      <x:c r="I39" s="22"/>
      <x:c r="J39" s="24"/>
      <x:c r="K39" s="24"/>
    </x:row>
    <x:row r="40">
      <x:c r="I40" s="22"/>
      <x:c r="J40" s="24"/>
      <x:c r="K40" s="24"/>
    </x:row>
    <x:row r="41">
      <x:c r="I41" s="22"/>
      <x:c r="J41" s="24"/>
      <x:c r="K41" s="24"/>
    </x:row>
    <x:row r="42">
      <x:c r="I42" s="22"/>
      <x:c r="J42" s="24"/>
      <x:c r="K42" s="24"/>
    </x:row>
    <x:row r="43">
      <x:c r="I43" s="22"/>
      <x:c r="J43" s="24"/>
      <x:c r="K43" s="24"/>
    </x:row>
    <x:row r="44">
      <x:c r="I44" s="22"/>
      <x:c r="J44" s="24"/>
      <x:c r="K44" s="24"/>
    </x:row>
    <x:row r="45">
      <x:c r="I45" s="22"/>
      <x:c r="J45" s="24"/>
      <x:c r="K45" s="24"/>
    </x:row>
    <x:row r="46">
      <x:c r="I46" s="22"/>
      <x:c r="J46" s="24"/>
      <x:c r="K46" s="24"/>
    </x:row>
    <x:row r="47">
      <x:c r="I47" s="22"/>
      <x:c r="J47" s="24"/>
      <x:c r="K47" s="24"/>
    </x:row>
    <x:row r="48">
      <x:c r="I48" s="22"/>
      <x:c r="J48" s="24"/>
      <x:c r="K48" s="24"/>
    </x:row>
    <x:row r="49">
      <x:c r="I49" s="22"/>
      <x:c r="J49" s="24"/>
      <x:c r="K49" s="24"/>
    </x:row>
    <x:row r="50">
      <x:c r="I50" s="22"/>
      <x:c r="J50" s="24"/>
      <x:c r="K50" s="24"/>
    </x:row>
    <x:row r="51">
      <x:c r="I51" s="22"/>
      <x:c r="J51" s="24"/>
      <x:c r="K51" s="24"/>
    </x:row>
    <x:row r="52">
      <x:c r="I52" s="22"/>
      <x:c r="J52" s="24"/>
      <x:c r="K52" s="24"/>
    </x:row>
    <x:row r="53">
      <x:c r="I53" s="22"/>
      <x:c r="J53" s="24"/>
      <x:c r="K53" s="24"/>
    </x:row>
    <x:row r="54">
      <x:c r="I54" s="22"/>
      <x:c r="J54" s="24"/>
      <x:c r="K54" s="24"/>
    </x:row>
    <x:row r="55">
      <x:c r="I55" s="22"/>
      <x:c r="J55" s="24"/>
      <x:c r="K55" s="24"/>
    </x:row>
    <x:row r="56">
      <x:c r="I56" s="22"/>
      <x:c r="J56" s="24"/>
      <x:c r="K56" s="24"/>
    </x:row>
    <x:row r="57">
      <x:c r="I57" s="22"/>
      <x:c r="J57" s="24"/>
      <x:c r="K57" s="24"/>
    </x:row>
    <x:row r="58">
      <x:c r="I58" s="22"/>
      <x:c r="J58" s="24"/>
      <x:c r="K58" s="24"/>
    </x:row>
    <x:row r="59">
      <x:c r="I59" s="22"/>
      <x:c r="J59" s="24"/>
      <x:c r="K59" s="24"/>
    </x:row>
    <x:row r="60">
      <x:c r="I60" s="22"/>
      <x:c r="J60" s="24"/>
      <x:c r="K60" s="24"/>
    </x:row>
    <x:row r="61">
      <x:c r="I61" s="22"/>
      <x:c r="J61" s="24"/>
      <x:c r="K61" s="24"/>
    </x:row>
    <x:row r="62">
      <x:c r="I62" s="22"/>
      <x:c r="J62" s="24"/>
      <x:c r="K62" s="24"/>
    </x:row>
    <x:row r="63">
      <x:c r="I63" s="22"/>
      <x:c r="J63" s="24"/>
      <x:c r="K63" s="24"/>
    </x:row>
    <x:row r="64">
      <x:c r="I64" s="22"/>
      <x:c r="J64" s="24"/>
      <x:c r="K64" s="24"/>
    </x:row>
    <x:row r="65">
      <x:c r="I65" s="22"/>
      <x:c r="J65" s="24"/>
      <x:c r="K65" s="24"/>
    </x:row>
    <x:row r="66">
      <x:c r="I66" s="22"/>
      <x:c r="J66" s="24"/>
      <x:c r="K66" s="24"/>
    </x:row>
    <x:row r="67">
      <x:c r="I67" s="22"/>
      <x:c r="J67" s="24"/>
      <x:c r="K67" s="24"/>
    </x:row>
    <x:row r="68">
      <x:c r="I68" s="22"/>
      <x:c r="J68" s="24"/>
      <x:c r="K68" s="24"/>
    </x:row>
    <x:row r="69">
      <x:c r="I69" s="22"/>
      <x:c r="J69" s="24"/>
      <x:c r="K69" s="24"/>
    </x:row>
    <x:row r="70">
      <x:c r="I70" s="22"/>
      <x:c r="J70" s="24"/>
      <x:c r="K70" s="24"/>
    </x:row>
    <x:row r="71">
      <x:c r="I71" s="22"/>
      <x:c r="J71" s="24"/>
      <x:c r="K71" s="24"/>
    </x:row>
    <x:row r="72">
      <x:c r="I72" s="22"/>
      <x:c r="J72" s="24"/>
      <x:c r="K72" s="24"/>
    </x:row>
    <x:row r="73">
      <x:c r="I73" s="22"/>
      <x:c r="J73" s="24"/>
      <x:c r="K73" s="24"/>
    </x:row>
    <x:row r="74">
      <x:c r="I74" s="22"/>
      <x:c r="J74" s="24"/>
      <x:c r="K74" s="24"/>
    </x:row>
    <x:row r="75">
      <x:c r="I75" s="22"/>
      <x:c r="J75" s="24"/>
      <x:c r="K75" s="24"/>
    </x:row>
    <x:row r="76">
      <x:c r="I76" s="22"/>
      <x:c r="J76" s="24"/>
      <x:c r="K76" s="24"/>
    </x:row>
    <x:row r="77">
      <x:c r="I77" s="22"/>
      <x:c r="J77" s="24"/>
      <x:c r="K77" s="24"/>
    </x:row>
    <x:row r="78">
      <x:c r="I78" s="22"/>
      <x:c r="J78" s="24"/>
      <x:c r="K78" s="24"/>
    </x:row>
    <x:row r="79">
      <x:c r="I79" s="22"/>
      <x:c r="J79" s="24"/>
      <x:c r="K79" s="24"/>
    </x:row>
    <x:row r="80">
      <x:c r="I80" s="22"/>
      <x:c r="J80" s="24"/>
      <x:c r="K80" s="24"/>
    </x:row>
    <x:row r="81">
      <x:c r="I81" s="22"/>
      <x:c r="J81" s="24"/>
      <x:c r="K81" s="24"/>
    </x:row>
    <x:row r="82">
      <x:c r="I82" s="22"/>
      <x:c r="J82" s="24"/>
      <x:c r="K82" s="24"/>
    </x:row>
    <x:row r="83">
      <x:c r="I83" s="22"/>
      <x:c r="J83" s="24"/>
      <x:c r="K83" s="24"/>
    </x:row>
    <x:row r="84">
      <x:c r="I84" s="22"/>
      <x:c r="J84" s="24"/>
      <x:c r="K84" s="24"/>
    </x:row>
    <x:row r="85">
      <x:c r="I85" s="22"/>
      <x:c r="J85" s="24"/>
      <x:c r="K85" s="24"/>
    </x:row>
    <x:row r="86">
      <x:c r="I86" s="22"/>
      <x:c r="J86" s="24"/>
      <x:c r="K86" s="24"/>
    </x:row>
    <x:row r="87">
      <x:c r="I87" s="22"/>
      <x:c r="J87" s="24"/>
      <x:c r="K87" s="24"/>
    </x:row>
    <x:row r="88">
      <x:c r="I88" s="22"/>
      <x:c r="J88" s="24"/>
      <x:c r="K88" s="24"/>
    </x:row>
    <x:row r="89">
      <x:c r="I89" s="22"/>
      <x:c r="J89" s="24"/>
      <x:c r="K89" s="24"/>
    </x:row>
    <x:row r="90">
      <x:c r="I90" s="22"/>
      <x:c r="J90" s="24"/>
      <x:c r="K90" s="24"/>
    </x:row>
    <x:row r="91">
      <x:c r="I91" s="22"/>
      <x:c r="J91" s="24"/>
      <x:c r="K91" s="24"/>
    </x:row>
    <x:row r="92">
      <x:c r="I92" s="22"/>
      <x:c r="J92" s="24"/>
      <x:c r="K92" s="24"/>
    </x:row>
    <x:row r="93">
      <x:c r="I93" s="22"/>
      <x:c r="J93" s="24"/>
      <x:c r="K93" s="24"/>
    </x:row>
    <x:row r="94">
      <x:c r="I94" s="22"/>
      <x:c r="J94" s="24"/>
      <x:c r="K94" s="24"/>
    </x:row>
    <x:row r="95">
      <x:c r="I95" s="22"/>
      <x:c r="J95" s="24"/>
      <x:c r="K95" s="24"/>
    </x:row>
    <x:row r="96">
      <x:c r="I96" s="22"/>
      <x:c r="J96" s="24"/>
      <x:c r="K96" s="24"/>
    </x:row>
    <x:row r="97">
      <x:c r="I97" s="22"/>
      <x:c r="J97" s="24"/>
      <x:c r="K97" s="24"/>
    </x:row>
    <x:row r="98">
      <x:c r="I98" s="22"/>
      <x:c r="J98" s="24"/>
      <x:c r="K98" s="24"/>
    </x:row>
    <x:row r="99">
      <x:c r="I99" s="22"/>
      <x:c r="J99" s="24"/>
      <x:c r="K99" s="24"/>
    </x:row>
    <x:row r="100">
      <x:c r="I100" s="22"/>
      <x:c r="J100" s="24"/>
      <x:c r="K100" s="24"/>
    </x:row>
    <x:row r="101">
      <x:c r="I101" s="22"/>
      <x:c r="J101" s="24"/>
      <x:c r="K101" s="24"/>
    </x:row>
    <x:row r="102">
      <x:c r="I102" s="22"/>
      <x:c r="J102" s="24"/>
      <x:c r="K102" s="24"/>
    </x:row>
    <x:row r="103">
      <x:c r="I103" s="22"/>
      <x:c r="J103" s="24"/>
      <x:c r="K103" s="24"/>
    </x:row>
    <x:row r="104">
      <x:c r="I104" s="22"/>
      <x:c r="J104" s="24"/>
      <x:c r="K104" s="24"/>
    </x:row>
    <x:row r="105">
      <x:c r="I105" s="22"/>
      <x:c r="J105" s="24"/>
      <x:c r="K105" s="24"/>
    </x:row>
    <x:row r="106">
      <x:c r="I106" s="22"/>
      <x:c r="J106" s="24"/>
      <x:c r="K106" s="24"/>
    </x:row>
    <x:row r="107">
      <x:c r="I107" s="22"/>
      <x:c r="J107" s="24"/>
      <x:c r="K107" s="24"/>
    </x:row>
    <x:row r="108">
      <x:c r="I108" s="22"/>
      <x:c r="J108" s="24"/>
      <x:c r="K108" s="24"/>
    </x:row>
    <x:row r="109">
      <x:c r="I109" s="22"/>
      <x:c r="J109" s="24"/>
      <x:c r="K109" s="24"/>
    </x:row>
    <x:row r="110">
      <x:c r="I110" s="22"/>
      <x:c r="J110" s="24"/>
      <x:c r="K110" s="24"/>
    </x:row>
    <x:row r="111">
      <x:c r="I111" s="22"/>
      <x:c r="J111" s="24"/>
      <x:c r="K111" s="24"/>
    </x:row>
    <x:row r="112">
      <x:c r="I112" s="22"/>
      <x:c r="J112" s="24"/>
      <x:c r="K112" s="24"/>
    </x:row>
    <x:row r="113">
      <x:c r="I113" s="22"/>
      <x:c r="J113" s="24"/>
      <x:c r="K113" s="24"/>
    </x:row>
    <x:row r="114">
      <x:c r="I114" s="22"/>
      <x:c r="J114" s="24"/>
      <x:c r="K114" s="24"/>
    </x:row>
    <x:row r="115">
      <x:c r="I115" s="22"/>
      <x:c r="J115" s="24"/>
      <x:c r="K115" s="24"/>
    </x:row>
    <x:row r="116">
      <x:c r="I116" s="22"/>
      <x:c r="J116" s="24"/>
      <x:c r="K116" s="24"/>
    </x:row>
    <x:row r="117">
      <x:c r="I117" s="22"/>
      <x:c r="J117" s="24"/>
      <x:c r="K117" s="24"/>
    </x:row>
    <x:row r="118">
      <x:c r="I118" s="22"/>
      <x:c r="J118" s="24"/>
      <x:c r="K118" s="24"/>
    </x:row>
    <x:row r="119">
      <x:c r="I119" s="22"/>
      <x:c r="J119" s="24"/>
      <x:c r="K119" s="24"/>
    </x:row>
    <x:row r="120">
      <x:c r="I120" s="22"/>
      <x:c r="J120" s="24"/>
      <x:c r="K120" s="24"/>
    </x:row>
    <x:row r="121">
      <x:c r="I121" s="22"/>
      <x:c r="J121" s="24"/>
      <x:c r="K121" s="24"/>
    </x:row>
    <x:row r="122">
      <x:c r="I122" s="22"/>
      <x:c r="J122" s="24"/>
      <x:c r="K122" s="24"/>
    </x:row>
    <x:row r="123">
      <x:c r="I123" s="22"/>
      <x:c r="J123" s="24"/>
      <x:c r="K123" s="24"/>
    </x:row>
    <x:row r="124">
      <x:c r="I124" s="22"/>
      <x:c r="J124" s="24"/>
      <x:c r="K124" s="24"/>
    </x:row>
    <x:row r="125">
      <x:c r="I125" s="22"/>
      <x:c r="J125" s="24"/>
      <x:c r="K125" s="24"/>
    </x:row>
    <x:row r="126">
      <x:c r="I126" s="22"/>
      <x:c r="J126" s="24"/>
      <x:c r="K126" s="24"/>
    </x:row>
    <x:row r="127">
      <x:c r="I127" s="22"/>
      <x:c r="J127" s="24"/>
      <x:c r="K127" s="24"/>
    </x:row>
    <x:row r="128">
      <x:c r="I128" s="22"/>
      <x:c r="J128" s="24"/>
      <x:c r="K128" s="24"/>
    </x:row>
    <x:row r="129">
      <x:c r="I129" s="22"/>
      <x:c r="J129" s="24"/>
      <x:c r="K129" s="24"/>
    </x:row>
    <x:row r="130">
      <x:c r="I130" s="22"/>
      <x:c r="J130" s="24"/>
      <x:c r="K130" s="24"/>
    </x:row>
    <x:row r="131">
      <x:c r="I131" s="22"/>
      <x:c r="J131" s="24"/>
      <x:c r="K131" s="24"/>
    </x:row>
    <x:row r="132">
      <x:c r="I132" s="22"/>
      <x:c r="J132" s="24"/>
      <x:c r="K132" s="24"/>
    </x:row>
    <x:row r="133">
      <x:c r="I133" s="22"/>
      <x:c r="J133" s="24"/>
      <x:c r="K133" s="24"/>
    </x:row>
    <x:row r="134">
      <x:c r="I134" s="22"/>
      <x:c r="J134" s="24"/>
      <x:c r="K134" s="24"/>
    </x:row>
    <x:row r="135">
      <x:c r="I135" s="22"/>
      <x:c r="J135" s="24"/>
      <x:c r="K135" s="24"/>
    </x:row>
    <x:row r="136">
      <x:c r="I136" s="22"/>
      <x:c r="J136" s="24"/>
      <x:c r="K136" s="24"/>
    </x:row>
    <x:row r="137">
      <x:c r="I137" s="22"/>
      <x:c r="J137" s="24"/>
      <x:c r="K137" s="24"/>
    </x:row>
    <x:row r="138">
      <x:c r="I138" s="22"/>
      <x:c r="J138" s="24"/>
      <x:c r="K138" s="24"/>
    </x:row>
    <x:row r="139">
      <x:c r="I139" s="22"/>
      <x:c r="J139" s="24"/>
      <x:c r="K139" s="24"/>
    </x:row>
    <x:row r="140">
      <x:c r="I140" s="22"/>
      <x:c r="J140" s="24"/>
      <x:c r="K140" s="24"/>
    </x:row>
    <x:row r="141">
      <x:c r="I141" s="22"/>
      <x:c r="J141" s="24"/>
      <x:c r="K141" s="24"/>
    </x:row>
    <x:row r="142">
      <x:c r="I142" s="22"/>
      <x:c r="J142" s="24"/>
      <x:c r="K142" s="24"/>
    </x:row>
    <x:row r="143">
      <x:c r="I143" s="22"/>
      <x:c r="J143" s="24"/>
      <x:c r="K143" s="24"/>
    </x:row>
    <x:row r="144">
      <x:c r="I144" s="22"/>
      <x:c r="J144" s="24"/>
      <x:c r="K144" s="24"/>
    </x:row>
    <x:row r="145">
      <x:c r="I145" s="22"/>
      <x:c r="J145" s="24"/>
      <x:c r="K145" s="24"/>
    </x:row>
    <x:row r="146">
      <x:c r="I146" s="22"/>
      <x:c r="J146" s="24"/>
      <x:c r="K146" s="24"/>
    </x:row>
    <x:row r="147">
      <x:c r="I147" s="22"/>
      <x:c r="J147" s="24"/>
      <x:c r="K147" s="24"/>
    </x:row>
    <x:row r="148">
      <x:c r="I148" s="22"/>
      <x:c r="J148" s="24"/>
      <x:c r="K148" s="24"/>
    </x:row>
    <x:row r="149">
      <x:c r="I149" s="22"/>
      <x:c r="J149" s="24"/>
      <x:c r="K149" s="24"/>
    </x:row>
    <x:row r="150">
      <x:c r="I150" s="22"/>
      <x:c r="J150" s="24"/>
      <x:c r="K150" s="24"/>
    </x:row>
    <x:row r="151">
      <x:c r="I151" s="22"/>
      <x:c r="J151" s="24"/>
      <x:c r="K151" s="24"/>
    </x:row>
    <x:row r="152">
      <x:c r="I152" s="22"/>
      <x:c r="J152" s="24"/>
      <x:c r="K152" s="24"/>
    </x:row>
    <x:row r="153">
      <x:c r="I153" s="22"/>
      <x:c r="J153" s="24"/>
      <x:c r="K153" s="24"/>
    </x:row>
    <x:row r="154">
      <x:c r="I154" s="22"/>
      <x:c r="J154" s="24"/>
      <x:c r="K154" s="24"/>
    </x:row>
    <x:row r="155">
      <x:c r="I155" s="22"/>
      <x:c r="J155" s="24"/>
      <x:c r="K155" s="24"/>
    </x:row>
    <x:row r="156">
      <x:c r="I156" s="22"/>
      <x:c r="J156" s="24"/>
      <x:c r="K156" s="24"/>
    </x:row>
    <x:row r="157">
      <x:c r="I157" s="22"/>
      <x:c r="J157" s="24"/>
      <x:c r="K157" s="24"/>
    </x:row>
    <x:row r="158">
      <x:c r="I158" s="22"/>
      <x:c r="J158" s="24"/>
      <x:c r="K158" s="24"/>
    </x:row>
    <x:row r="159">
      <x:c r="I159" s="22"/>
      <x:c r="J159" s="24"/>
      <x:c r="K159" s="24"/>
    </x:row>
    <x:row r="160">
      <x:c r="I160" s="22"/>
      <x:c r="J160" s="24"/>
      <x:c r="K160" s="24"/>
    </x:row>
    <x:row r="161">
      <x:c r="I161" s="22"/>
      <x:c r="J161" s="24"/>
      <x:c r="K161" s="24"/>
    </x:row>
    <x:row r="162">
      <x:c r="I162" s="22"/>
      <x:c r="J162" s="24"/>
      <x:c r="K162" s="24"/>
    </x:row>
    <x:row r="163">
      <x:c r="I163" s="22"/>
      <x:c r="J163" s="24"/>
      <x:c r="K163" s="24"/>
    </x:row>
    <x:row r="164">
      <x:c r="I164" s="22"/>
      <x:c r="J164" s="24"/>
      <x:c r="K164" s="24"/>
    </x:row>
    <x:row r="165">
      <x:c r="I165" s="22"/>
      <x:c r="J165" s="24"/>
      <x:c r="K165" s="24"/>
    </x:row>
    <x:row r="166">
      <x:c r="I166" s="22"/>
      <x:c r="J166" s="24"/>
      <x:c r="K166" s="24"/>
    </x:row>
    <x:row r="167">
      <x:c r="I167" s="22"/>
      <x:c r="J167" s="24"/>
      <x:c r="K167" s="24"/>
    </x:row>
    <x:row r="168">
      <x:c r="I168" s="22"/>
      <x:c r="J168" s="24"/>
      <x:c r="K168" s="24"/>
    </x:row>
    <x:row r="169">
      <x:c r="I169" s="22"/>
      <x:c r="J169" s="24"/>
      <x:c r="K169" s="24"/>
    </x:row>
    <x:row r="170">
      <x:c r="I170" s="22"/>
      <x:c r="J170" s="24"/>
      <x:c r="K170" s="24"/>
    </x:row>
    <x:row r="171">
      <x:c r="I171" s="22"/>
      <x:c r="J171" s="24"/>
      <x:c r="K171" s="24"/>
    </x:row>
    <x:row r="172">
      <x:c r="I172" s="22"/>
      <x:c r="J172" s="24"/>
      <x:c r="K172" s="24"/>
    </x:row>
    <x:row r="173">
      <x:c r="I173" s="22"/>
      <x:c r="J173" s="24"/>
      <x:c r="K173" s="24"/>
    </x:row>
    <x:row r="174">
      <x:c r="I174" s="22"/>
      <x:c r="J174" s="24"/>
      <x:c r="K174" s="24"/>
    </x:row>
    <x:row r="175">
      <x:c r="I175" s="22"/>
      <x:c r="J175" s="24"/>
      <x:c r="K175" s="24"/>
    </x:row>
    <x:row r="176">
      <x:c r="I176" s="22"/>
      <x:c r="J176" s="24"/>
      <x:c r="K176" s="24"/>
    </x:row>
    <x:row r="177">
      <x:c r="I177" s="22"/>
      <x:c r="J177" s="24"/>
      <x:c r="K177" s="24"/>
    </x:row>
    <x:row r="178">
      <x:c r="I178" s="22"/>
      <x:c r="J178" s="24"/>
      <x:c r="K178" s="24"/>
    </x:row>
    <x:row r="179">
      <x:c r="I179" s="22"/>
      <x:c r="J179" s="24"/>
      <x:c r="K179" s="24"/>
    </x:row>
    <x:row r="180">
      <x:c r="I180" s="22"/>
      <x:c r="J180" s="24"/>
      <x:c r="K180" s="24"/>
    </x:row>
    <x:row r="181">
      <x:c r="I181" s="22"/>
      <x:c r="J181" s="24"/>
      <x:c r="K181" s="24"/>
    </x:row>
    <x:row r="182">
      <x:c r="I182" s="22"/>
      <x:c r="J182" s="24"/>
      <x:c r="K182" s="24"/>
    </x:row>
    <x:row r="183">
      <x:c r="I183" s="22"/>
      <x:c r="J183" s="24"/>
      <x:c r="K183" s="24"/>
    </x:row>
    <x:row r="184">
      <x:c r="I184" s="22"/>
      <x:c r="J184" s="24"/>
      <x:c r="K184" s="24"/>
    </x:row>
    <x:row r="185">
      <x:c r="I185" s="22"/>
      <x:c r="J185" s="24"/>
      <x:c r="K185" s="24"/>
    </x:row>
    <x:row r="186">
      <x:c r="I186" s="22"/>
      <x:c r="J186" s="24"/>
      <x:c r="K186" s="24"/>
    </x:row>
    <x:row r="187">
      <x:c r="I187" s="22"/>
      <x:c r="J187" s="24"/>
      <x:c r="K187" s="24"/>
    </x:row>
    <x:row r="188">
      <x:c r="I188" s="22"/>
      <x:c r="J188" s="24"/>
      <x:c r="K188" s="24"/>
    </x:row>
    <x:row r="189">
      <x:c r="I189" s="22"/>
      <x:c r="J189" s="24"/>
      <x:c r="K189" s="24"/>
    </x:row>
    <x:row r="190">
      <x:c r="I190" s="22"/>
      <x:c r="J190" s="24"/>
      <x:c r="K190" s="24"/>
    </x:row>
    <x:row r="191">
      <x:c r="I191" s="22"/>
      <x:c r="J191" s="24"/>
      <x:c r="K191" s="24"/>
    </x:row>
    <x:row r="192">
      <x:c r="I192" s="22"/>
      <x:c r="J192" s="24"/>
      <x:c r="K192" s="24"/>
    </x:row>
    <x:row r="193">
      <x:c r="I193" s="22"/>
      <x:c r="J193" s="24"/>
      <x:c r="K193" s="24"/>
    </x:row>
    <x:row r="194">
      <x:c r="I194" s="22"/>
      <x:c r="J194" s="24"/>
      <x:c r="K194" s="24"/>
    </x:row>
    <x:row r="195">
      <x:c r="I195" s="22"/>
      <x:c r="J195" s="24"/>
      <x:c r="K195" s="24"/>
    </x:row>
    <x:row r="196">
      <x:c r="I196" s="22"/>
      <x:c r="J196" s="24"/>
      <x:c r="K196" s="24"/>
    </x:row>
    <x:row r="197">
      <x:c r="I197" s="22"/>
      <x:c r="J197" s="24"/>
      <x:c r="K197" s="24"/>
    </x:row>
    <x:row r="198">
      <x:c r="I198" s="22"/>
      <x:c r="J198" s="24"/>
      <x:c r="K198" s="24"/>
    </x:row>
    <x:row r="199">
      <x:c r="I199" s="22"/>
      <x:c r="J199" s="24"/>
      <x:c r="K199" s="24"/>
    </x:row>
    <x:row r="200">
      <x:c r="I200" s="22"/>
      <x:c r="J200" s="24"/>
      <x:c r="K200" s="24"/>
    </x:row>
    <x:row r="201">
      <x:c r="I201" s="22"/>
      <x:c r="J201" s="24"/>
      <x:c r="K201" s="24"/>
    </x:row>
    <x:row r="202">
      <x:c r="I202" s="22"/>
      <x:c r="J202" s="24"/>
      <x:c r="K202" s="24"/>
    </x:row>
    <x:row r="203">
      <x:c r="I203" s="22"/>
      <x:c r="J203" s="24"/>
      <x:c r="K203" s="24"/>
    </x:row>
    <x:row r="204">
      <x:c r="I204" s="22"/>
      <x:c r="J204" s="24"/>
      <x:c r="K204" s="24"/>
    </x:row>
    <x:row r="205">
      <x:c r="I205" s="22"/>
      <x:c r="J205" s="24"/>
      <x:c r="K205" s="24"/>
    </x:row>
    <x:row r="206">
      <x:c r="I206" s="22"/>
      <x:c r="J206" s="24"/>
      <x:c r="K206" s="24"/>
    </x:row>
    <x:row r="207">
      <x:c r="I207" s="22"/>
      <x:c r="J207" s="24"/>
      <x:c r="K207" s="24"/>
    </x:row>
    <x:row r="208">
      <x:c r="I208" s="22"/>
      <x:c r="J208" s="24"/>
      <x:c r="K208" s="24"/>
    </x:row>
    <x:row r="209">
      <x:c r="I209" s="22"/>
      <x:c r="J209" s="24"/>
      <x:c r="K209" s="24"/>
    </x:row>
    <x:row r="210">
      <x:c r="I210" s="22"/>
      <x:c r="J210" s="24"/>
      <x:c r="K210" s="24"/>
    </x:row>
    <x:row r="211">
      <x:c r="I211" s="22"/>
      <x:c r="J211" s="24"/>
      <x:c r="K211" s="24"/>
    </x:row>
    <x:row r="212">
      <x:c r="I212" s="22"/>
      <x:c r="J212" s="24"/>
      <x:c r="K212" s="24"/>
    </x:row>
    <x:row r="213">
      <x:c r="I213" s="22"/>
      <x:c r="J213" s="24"/>
      <x:c r="K213" s="24"/>
    </x:row>
    <x:row r="214">
      <x:c r="I214" s="22"/>
      <x:c r="J214" s="24"/>
      <x:c r="K214" s="24"/>
    </x:row>
    <x:row r="215">
      <x:c r="I215" s="22"/>
      <x:c r="J215" s="24"/>
      <x:c r="K215" s="24"/>
    </x:row>
    <x:row r="216">
      <x:c r="I216" s="22"/>
      <x:c r="J216" s="24"/>
      <x:c r="K216" s="24"/>
    </x:row>
    <x:row r="217">
      <x:c r="I217" s="22"/>
      <x:c r="J217" s="24"/>
      <x:c r="K217" s="24"/>
    </x:row>
    <x:row r="218">
      <x:c r="I218" s="22"/>
      <x:c r="J218" s="24"/>
      <x:c r="K218" s="24"/>
    </x:row>
    <x:row r="219">
      <x:c r="I219" s="22"/>
      <x:c r="J219" s="24"/>
      <x:c r="K219" s="24"/>
    </x:row>
    <x:row r="220">
      <x:c r="I220" s="22"/>
      <x:c r="J220" s="24"/>
      <x:c r="K220" s="24"/>
    </x:row>
    <x:row r="221">
      <x:c r="I221" s="22"/>
      <x:c r="J221" s="24"/>
      <x:c r="K221" s="24"/>
    </x:row>
    <x:row r="222">
      <x:c r="I222" s="22"/>
      <x:c r="J222" s="24"/>
      <x:c r="K222" s="24"/>
    </x:row>
    <x:row r="223">
      <x:c r="I223" s="22"/>
      <x:c r="J223" s="24"/>
      <x:c r="K223" s="24"/>
    </x:row>
    <x:row r="224">
      <x:c r="I224" s="22"/>
      <x:c r="J224" s="24"/>
      <x:c r="K224" s="24"/>
    </x:row>
    <x:row r="225">
      <x:c r="I225" s="22"/>
      <x:c r="J225" s="24"/>
      <x:c r="K225" s="24"/>
    </x:row>
    <x:row r="226">
      <x:c r="I226" s="22"/>
      <x:c r="J226" s="24"/>
      <x:c r="K226" s="24"/>
    </x:row>
    <x:row r="227">
      <x:c r="I227" s="22"/>
      <x:c r="J227" s="24"/>
      <x:c r="K227" s="24"/>
    </x:row>
    <x:row r="228">
      <x:c r="I228" s="22"/>
      <x:c r="J228" s="24"/>
      <x:c r="K228" s="24"/>
    </x:row>
    <x:row r="229">
      <x:c r="I229" s="22"/>
      <x:c r="J229" s="24"/>
      <x:c r="K229" s="24"/>
    </x:row>
    <x:row r="230">
      <x:c r="I230" s="22"/>
      <x:c r="J230" s="24"/>
      <x:c r="K230" s="24"/>
    </x:row>
    <x:row r="231">
      <x:c r="I231" s="22"/>
      <x:c r="J231" s="24"/>
      <x:c r="K231" s="24"/>
    </x:row>
    <x:row r="232">
      <x:c r="I232" s="22"/>
      <x:c r="J232" s="24"/>
      <x:c r="K232" s="24"/>
    </x:row>
    <x:row r="233">
      <x:c r="I233" s="22"/>
      <x:c r="J233" s="24"/>
      <x:c r="K233" s="24"/>
    </x:row>
    <x:row r="234">
      <x:c r="I234" s="22"/>
      <x:c r="J234" s="24"/>
      <x:c r="K234" s="24"/>
    </x:row>
    <x:row r="235">
      <x:c r="I235" s="22"/>
      <x:c r="J235" s="24"/>
      <x:c r="K235" s="24"/>
    </x:row>
    <x:row r="236">
      <x:c r="I236" s="22"/>
      <x:c r="J236" s="24"/>
      <x:c r="K236" s="24"/>
    </x:row>
    <x:row r="237">
      <x:c r="I237" s="22"/>
      <x:c r="J237" s="24"/>
      <x:c r="K237" s="24"/>
    </x:row>
    <x:row r="238">
      <x:c r="I238" s="22"/>
      <x:c r="J238" s="24"/>
      <x:c r="K238" s="24"/>
    </x:row>
    <x:row r="239">
      <x:c r="I239" s="22"/>
      <x:c r="J239" s="24"/>
      <x:c r="K239" s="24"/>
    </x:row>
    <x:row r="240">
      <x:c r="I240" s="22"/>
      <x:c r="J240" s="24"/>
      <x:c r="K240" s="24"/>
    </x:row>
    <x:row r="241">
      <x:c r="I241" s="22"/>
      <x:c r="J241" s="24"/>
      <x:c r="K241" s="24"/>
    </x:row>
    <x:row r="242">
      <x:c r="I242" s="22"/>
      <x:c r="J242" s="24"/>
      <x:c r="K242" s="24"/>
    </x:row>
    <x:row r="243">
      <x:c r="I243" s="22"/>
      <x:c r="J243" s="24"/>
      <x:c r="K243" s="24"/>
    </x:row>
    <x:row r="244">
      <x:c r="I244" s="22"/>
      <x:c r="J244" s="24"/>
      <x:c r="K244" s="24"/>
    </x:row>
    <x:row r="245">
      <x:c r="I245" s="22"/>
      <x:c r="J245" s="24"/>
      <x:c r="K245" s="24"/>
    </x:row>
    <x:row r="246">
      <x:c r="I246" s="22"/>
      <x:c r="J246" s="24"/>
      <x:c r="K246" s="24"/>
    </x:row>
    <x:row r="247">
      <x:c r="I247" s="22"/>
      <x:c r="J247" s="24"/>
      <x:c r="K247" s="24"/>
    </x:row>
    <x:row r="248">
      <x:c r="I248" s="22"/>
      <x:c r="J248" s="24"/>
      <x:c r="K248" s="24"/>
    </x:row>
    <x:row r="249">
      <x:c r="I249" s="22"/>
      <x:c r="J249" s="24"/>
      <x:c r="K249" s="24"/>
    </x:row>
    <x:row r="250">
      <x:c r="I250" s="22"/>
      <x:c r="J250" s="24"/>
      <x:c r="K250" s="24"/>
    </x:row>
    <x:row r="251">
      <x:c r="I251" s="22"/>
      <x:c r="J251" s="24"/>
      <x:c r="K251" s="24"/>
    </x:row>
    <x:row r="252">
      <x:c r="I252" s="22"/>
      <x:c r="J252" s="24"/>
      <x:c r="K252" s="24"/>
    </x:row>
    <x:row r="253">
      <x:c r="I253" s="22"/>
      <x:c r="J253" s="24"/>
      <x:c r="K253" s="24"/>
    </x:row>
    <x:row r="254">
      <x:c r="I254" s="22"/>
      <x:c r="J254" s="24"/>
      <x:c r="K254" s="24"/>
    </x:row>
    <x:row r="255">
      <x:c r="I255" s="22"/>
      <x:c r="J255" s="24"/>
      <x:c r="K255" s="24"/>
    </x:row>
    <x:row r="256">
      <x:c r="I256" s="22"/>
      <x:c r="J256" s="24"/>
      <x:c r="K256" s="24"/>
    </x:row>
    <x:row r="257">
      <x:c r="I257" s="22"/>
      <x:c r="J257" s="24"/>
      <x:c r="K257" s="24"/>
    </x:row>
    <x:row r="258">
      <x:c r="I258" s="22"/>
      <x:c r="J258" s="24"/>
      <x:c r="K258" s="24"/>
    </x:row>
    <x:row r="259">
      <x:c r="I259" s="22"/>
      <x:c r="J259" s="24"/>
      <x:c r="K259" s="24"/>
    </x:row>
    <x:row r="260">
      <x:c r="I260" s="22"/>
      <x:c r="J260" s="24"/>
      <x:c r="K260" s="24"/>
    </x:row>
    <x:row r="261">
      <x:c r="I261" s="22"/>
      <x:c r="J261" s="24"/>
      <x:c r="K261" s="24"/>
    </x:row>
    <x:row r="262">
      <x:c r="I262" s="22"/>
      <x:c r="J262" s="24"/>
      <x:c r="K262" s="24"/>
    </x:row>
    <x:row r="263">
      <x:c r="I263" s="22"/>
      <x:c r="J263" s="24"/>
      <x:c r="K263" s="24"/>
    </x:row>
    <x:row r="264">
      <x:c r="I264" s="22"/>
      <x:c r="J264" s="24"/>
      <x:c r="K264" s="24"/>
    </x:row>
    <x:row r="265">
      <x:c r="I265" s="22"/>
      <x:c r="J265" s="24"/>
      <x:c r="K265" s="24"/>
    </x:row>
    <x:row r="266">
      <x:c r="I266" s="22"/>
      <x:c r="J266" s="24"/>
      <x:c r="K266" s="24"/>
    </x:row>
    <x:row r="267">
      <x:c r="I267" s="22"/>
      <x:c r="J267" s="24"/>
      <x:c r="K267" s="24"/>
    </x:row>
    <x:row r="268">
      <x:c r="I268" s="22"/>
      <x:c r="J268" s="24"/>
      <x:c r="K268" s="24"/>
    </x:row>
    <x:row r="269">
      <x:c r="I269" s="22"/>
      <x:c r="J269" s="24"/>
      <x:c r="K269" s="24"/>
    </x:row>
    <x:row r="270">
      <x:c r="I270" s="22"/>
      <x:c r="J270" s="24"/>
      <x:c r="K270" s="24"/>
    </x:row>
    <x:row r="271">
      <x:c r="I271" s="22"/>
      <x:c r="J271" s="24"/>
      <x:c r="K271" s="24"/>
    </x:row>
    <x:row r="272">
      <x:c r="I272" s="22"/>
      <x:c r="J272" s="24"/>
      <x:c r="K272" s="24"/>
    </x:row>
    <x:row r="273">
      <x:c r="I273" s="22"/>
      <x:c r="J273" s="24"/>
      <x:c r="K273" s="24"/>
    </x:row>
    <x:row r="274">
      <x:c r="I274" s="22"/>
      <x:c r="J274" s="24"/>
      <x:c r="K274" s="24"/>
    </x:row>
    <x:row r="275">
      <x:c r="I275" s="22"/>
      <x:c r="J275" s="24"/>
      <x:c r="K275" s="24"/>
    </x:row>
    <x:row r="276">
      <x:c r="I276" s="22"/>
      <x:c r="J276" s="24"/>
      <x:c r="K276" s="24"/>
    </x:row>
    <x:row r="277">
      <x:c r="I277" s="22"/>
      <x:c r="J277" s="24"/>
      <x:c r="K277" s="24"/>
    </x:row>
    <x:row r="278">
      <x:c r="I278" s="22"/>
      <x:c r="J278" s="24"/>
      <x:c r="K278" s="24"/>
    </x:row>
    <x:row r="279">
      <x:c r="I279" s="22"/>
      <x:c r="J279" s="24"/>
      <x:c r="K279" s="24"/>
    </x:row>
    <x:row r="280">
      <x:c r="I280" s="22"/>
      <x:c r="J280" s="24"/>
      <x:c r="K280" s="24"/>
    </x:row>
    <x:row r="281">
      <x:c r="I281" s="22"/>
      <x:c r="J281" s="24"/>
      <x:c r="K281" s="24"/>
    </x:row>
    <x:row r="282">
      <x:c r="I282" s="22"/>
      <x:c r="J282" s="24"/>
      <x:c r="K282" s="24"/>
    </x:row>
    <x:row r="283">
      <x:c r="I283" s="22"/>
      <x:c r="J283" s="24"/>
      <x:c r="K283" s="24"/>
    </x:row>
    <x:row r="284">
      <x:c r="I284" s="22"/>
      <x:c r="J284" s="24"/>
      <x:c r="K284" s="24"/>
    </x:row>
    <x:row r="285">
      <x:c r="I285" s="22"/>
      <x:c r="J285" s="24"/>
      <x:c r="K285" s="24"/>
    </x:row>
    <x:row r="286">
      <x:c r="I286" s="22"/>
      <x:c r="J286" s="24"/>
      <x:c r="K286" s="24"/>
    </x:row>
    <x:row r="287">
      <x:c r="I287" s="22"/>
      <x:c r="J287" s="24"/>
      <x:c r="K287" s="24"/>
    </x:row>
    <x:row r="288">
      <x:c r="I288" s="22"/>
      <x:c r="J288" s="24"/>
      <x:c r="K288" s="24"/>
    </x:row>
    <x:row r="289">
      <x:c r="I289" s="22"/>
      <x:c r="J289" s="24"/>
      <x:c r="K289" s="24"/>
    </x:row>
    <x:row r="290">
      <x:c r="I290" s="22"/>
      <x:c r="J290" s="24"/>
      <x:c r="K290" s="24"/>
    </x:row>
    <x:row r="291">
      <x:c r="I291" s="22"/>
      <x:c r="J291" s="24"/>
      <x:c r="K291" s="24"/>
    </x:row>
    <x:row r="292">
      <x:c r="I292" s="22"/>
      <x:c r="J292" s="24"/>
      <x:c r="K292" s="24"/>
    </x:row>
    <x:row r="293">
      <x:c r="I293" s="22"/>
      <x:c r="J293" s="24"/>
      <x:c r="K293" s="24"/>
    </x:row>
    <x:row r="294">
      <x:c r="I294" s="22"/>
      <x:c r="J294" s="24"/>
      <x:c r="K294" s="24"/>
    </x:row>
    <x:row r="295">
      <x:c r="I295" s="22"/>
      <x:c r="J295" s="24"/>
      <x:c r="K295" s="24"/>
    </x:row>
    <x:row r="296">
      <x:c r="I296" s="22"/>
      <x:c r="J296" s="24"/>
      <x:c r="K296" s="24"/>
    </x:row>
    <x:row r="297">
      <x:c r="I297" s="22"/>
      <x:c r="J297" s="24"/>
      <x:c r="K297" s="24"/>
    </x:row>
    <x:row r="298">
      <x:c r="I298" s="22"/>
      <x:c r="J298" s="24"/>
      <x:c r="K298" s="24"/>
    </x:row>
    <x:row r="299">
      <x:c r="I299" s="22"/>
      <x:c r="J299" s="24"/>
      <x:c r="K299" s="24"/>
    </x:row>
    <x:row r="300">
      <x:c r="I300" s="22"/>
      <x:c r="J300" s="24"/>
      <x:c r="K300" s="24"/>
    </x:row>
    <x:row r="301">
      <x:c r="I301" s="22"/>
      <x:c r="J301" s="24"/>
      <x:c r="K301" s="24"/>
    </x:row>
    <x:row r="302">
      <x:c r="I302" s="22"/>
      <x:c r="J302" s="24"/>
      <x:c r="K302" s="24"/>
    </x:row>
    <x:row r="303">
      <x:c r="I303" s="22"/>
      <x:c r="J303" s="24"/>
      <x:c r="K303" s="24"/>
    </x:row>
    <x:row r="304">
      <x:c r="I304" s="22"/>
      <x:c r="J304" s="24"/>
      <x:c r="K304" s="24"/>
    </x:row>
    <x:row r="305">
      <x:c r="I305" s="22"/>
      <x:c r="J305" s="24"/>
      <x:c r="K305" s="24"/>
    </x:row>
    <x:row r="306">
      <x:c r="I306" s="22"/>
      <x:c r="J306" s="24"/>
      <x:c r="K306" s="24"/>
    </x:row>
    <x:row r="307">
      <x:c r="I307" s="22"/>
      <x:c r="J307" s="24"/>
      <x:c r="K307" s="24"/>
    </x:row>
    <x:row r="308">
      <x:c r="I308" s="22"/>
      <x:c r="J308" s="24"/>
      <x:c r="K308" s="24"/>
    </x:row>
    <x:row r="309">
      <x:c r="I309" s="22"/>
      <x:c r="J309" s="24"/>
      <x:c r="K309" s="24"/>
    </x:row>
    <x:row r="310">
      <x:c r="I310" s="22"/>
      <x:c r="J310" s="24"/>
      <x:c r="K310" s="24"/>
    </x:row>
    <x:row r="311">
      <x:c r="I311" s="22"/>
      <x:c r="J311" s="24"/>
      <x:c r="K311" s="24"/>
    </x:row>
    <x:row r="312">
      <x:c r="I312" s="22"/>
      <x:c r="J312" s="24"/>
      <x:c r="K312" s="24"/>
    </x:row>
    <x:row r="313">
      <x:c r="I313" s="22"/>
      <x:c r="J313" s="24"/>
      <x:c r="K313" s="24"/>
    </x:row>
    <x:row r="314">
      <x:c r="I314" s="22"/>
      <x:c r="J314" s="24"/>
      <x:c r="K314" s="24"/>
    </x:row>
    <x:row r="315">
      <x:c r="I315" s="22"/>
      <x:c r="J315" s="24"/>
      <x:c r="K315" s="24"/>
    </x:row>
    <x:row r="316">
      <x:c r="I316" s="22"/>
      <x:c r="J316" s="24"/>
      <x:c r="K316" s="24"/>
    </x:row>
    <x:row r="317">
      <x:c r="I317" s="22"/>
      <x:c r="J317" s="24"/>
      <x:c r="K317" s="24"/>
    </x:row>
    <x:row r="318">
      <x:c r="I318" s="22"/>
      <x:c r="J318" s="24"/>
      <x:c r="K318" s="24"/>
    </x:row>
    <x:row r="319">
      <x:c r="I319" s="22"/>
      <x:c r="J319" s="24"/>
      <x:c r="K319" s="24"/>
    </x:row>
    <x:row r="320">
      <x:c r="I320" s="22"/>
      <x:c r="J320" s="24"/>
      <x:c r="K320" s="24"/>
    </x:row>
    <x:row r="321">
      <x:c r="I321" s="22"/>
      <x:c r="J321" s="24"/>
      <x:c r="K321" s="24"/>
    </x:row>
    <x:row r="322">
      <x:c r="I322" s="22"/>
      <x:c r="J322" s="24"/>
      <x:c r="K322" s="24"/>
    </x:row>
    <x:row r="323">
      <x:c r="I323" s="22"/>
      <x:c r="J323" s="24"/>
      <x:c r="K323" s="24"/>
    </x:row>
    <x:row r="324">
      <x:c r="I324" s="22"/>
      <x:c r="J324" s="24"/>
      <x:c r="K324" s="24"/>
    </x:row>
    <x:row r="325">
      <x:c r="I325" s="22"/>
      <x:c r="J325" s="24"/>
      <x:c r="K325" s="24"/>
    </x:row>
    <x:row r="326">
      <x:c r="I326" s="22"/>
      <x:c r="J326" s="24"/>
      <x:c r="K326" s="24"/>
    </x:row>
    <x:row r="327">
      <x:c r="I327" s="22"/>
      <x:c r="J327" s="24"/>
      <x:c r="K327" s="24"/>
    </x:row>
    <x:row r="328">
      <x:c r="I328" s="22"/>
      <x:c r="J328" s="24"/>
      <x:c r="K328" s="24"/>
    </x:row>
    <x:row r="329">
      <x:c r="I329" s="22"/>
      <x:c r="J329" s="24"/>
      <x:c r="K329" s="24"/>
    </x:row>
    <x:row r="330">
      <x:c r="I330" s="22"/>
      <x:c r="J330" s="24"/>
      <x:c r="K330" s="24"/>
    </x:row>
    <x:row r="331">
      <x:c r="I331" s="22"/>
      <x:c r="J331" s="24"/>
      <x:c r="K331" s="24"/>
    </x:row>
    <x:row r="332">
      <x:c r="I332" s="22"/>
      <x:c r="J332" s="24"/>
      <x:c r="K332" s="24"/>
    </x:row>
    <x:row r="333">
      <x:c r="I333" s="22"/>
      <x:c r="J333" s="24"/>
      <x:c r="K333" s="24"/>
    </x:row>
    <x:row r="334">
      <x:c r="I334" s="22"/>
      <x:c r="J334" s="24"/>
      <x:c r="K334" s="24"/>
    </x:row>
    <x:row r="335">
      <x:c r="I335" s="22"/>
      <x:c r="J335" s="24"/>
      <x:c r="K335" s="24"/>
    </x:row>
    <x:row r="336">
      <x:c r="I336" s="22"/>
      <x:c r="J336" s="24"/>
      <x:c r="K336" s="24"/>
    </x:row>
    <x:row r="337">
      <x:c r="I337" s="22"/>
      <x:c r="J337" s="24"/>
      <x:c r="K337" s="24"/>
    </x:row>
    <x:row r="338">
      <x:c r="I338" s="22"/>
      <x:c r="J338" s="24"/>
      <x:c r="K338" s="24"/>
    </x:row>
    <x:row r="339">
      <x:c r="I339" s="22"/>
      <x:c r="J339" s="24"/>
      <x:c r="K339" s="24"/>
    </x:row>
    <x:row r="340">
      <x:c r="I340" s="22"/>
      <x:c r="J340" s="24"/>
      <x:c r="K340" s="24"/>
    </x:row>
    <x:row r="341">
      <x:c r="I341" s="22"/>
      <x:c r="J341" s="24"/>
      <x:c r="K341" s="24"/>
    </x:row>
    <x:row r="342">
      <x:c r="I342" s="22"/>
      <x:c r="J342" s="24"/>
      <x:c r="K342" s="24"/>
    </x:row>
    <x:row r="343">
      <x:c r="I343" s="22"/>
      <x:c r="J343" s="24"/>
      <x:c r="K343" s="24"/>
    </x:row>
    <x:row r="344">
      <x:c r="I344" s="22"/>
      <x:c r="J344" s="24"/>
      <x:c r="K344" s="24"/>
    </x:row>
    <x:row r="345">
      <x:c r="I345" s="22"/>
      <x:c r="J345" s="24"/>
      <x:c r="K345" s="24"/>
    </x:row>
    <x:row r="346">
      <x:c r="I346" s="22"/>
      <x:c r="J346" s="24"/>
      <x:c r="K346" s="24"/>
    </x:row>
    <x:row r="347">
      <x:c r="I347" s="22"/>
      <x:c r="J347" s="24"/>
      <x:c r="K347" s="24"/>
    </x:row>
    <x:row r="348">
      <x:c r="I348" s="22"/>
      <x:c r="J348" s="24"/>
      <x:c r="K348" s="24"/>
    </x:row>
    <x:row r="349">
      <x:c r="I349" s="22"/>
      <x:c r="J349" s="24"/>
      <x:c r="K349" s="24"/>
    </x:row>
    <x:row r="350">
      <x:c r="I350" s="22"/>
      <x:c r="J350" s="24"/>
      <x:c r="K350" s="24"/>
    </x:row>
    <x:row r="351">
      <x:c r="I351" s="22"/>
      <x:c r="J351" s="24"/>
      <x:c r="K351" s="24"/>
    </x:row>
    <x:row r="352">
      <x:c r="I352" s="22"/>
      <x:c r="J352" s="24"/>
      <x:c r="K352" s="24"/>
    </x:row>
    <x:row r="353">
      <x:c r="I353" s="22"/>
      <x:c r="J353" s="24"/>
      <x:c r="K353" s="24"/>
    </x:row>
    <x:row r="354">
      <x:c r="I354" s="22"/>
      <x:c r="J354" s="24"/>
      <x:c r="K354" s="24"/>
    </x:row>
    <x:row r="355">
      <x:c r="I355" s="22"/>
      <x:c r="J355" s="24"/>
      <x:c r="K355" s="24"/>
    </x:row>
    <x:row r="356">
      <x:c r="I356" s="22"/>
      <x:c r="J356" s="24"/>
      <x:c r="K356" s="24"/>
    </x:row>
    <x:row r="357">
      <x:c r="I357" s="22"/>
      <x:c r="J357" s="24"/>
      <x:c r="K357" s="24"/>
    </x:row>
    <x:row r="358">
      <x:c r="I358" s="22"/>
      <x:c r="J358" s="24"/>
      <x:c r="K358" s="24"/>
    </x:row>
    <x:row r="359">
      <x:c r="I359" s="22"/>
      <x:c r="J359" s="24"/>
      <x:c r="K359" s="24"/>
    </x:row>
    <x:row r="360">
      <x:c r="I360" s="22"/>
      <x:c r="J360" s="24"/>
      <x:c r="K360" s="24"/>
    </x:row>
    <x:row r="361">
      <x:c r="I361" s="22"/>
      <x:c r="J361" s="24"/>
      <x:c r="K361" s="24"/>
    </x:row>
    <x:row r="362">
      <x:c r="I362" s="22"/>
      <x:c r="J362" s="24"/>
      <x:c r="K362" s="24"/>
    </x:row>
    <x:row r="363">
      <x:c r="I363" s="22"/>
      <x:c r="J363" s="24"/>
      <x:c r="K363" s="24"/>
    </x:row>
    <x:row r="364">
      <x:c r="I364" s="22"/>
      <x:c r="J364" s="24"/>
      <x:c r="K364" s="24"/>
    </x:row>
    <x:row r="365">
      <x:c r="I365" s="22"/>
      <x:c r="J365" s="24"/>
      <x:c r="K365" s="24"/>
    </x:row>
    <x:row r="366">
      <x:c r="I366" s="22"/>
      <x:c r="J366" s="24"/>
      <x:c r="K366" s="24"/>
    </x:row>
    <x:row r="367">
      <x:c r="I367" s="22"/>
      <x:c r="J367" s="24"/>
      <x:c r="K367" s="24"/>
    </x:row>
    <x:row r="368">
      <x:c r="I368" s="22"/>
      <x:c r="J368" s="24"/>
      <x:c r="K368" s="24"/>
    </x:row>
    <x:row r="369">
      <x:c r="I369" s="22"/>
      <x:c r="J369" s="24"/>
      <x:c r="K369" s="24"/>
    </x:row>
    <x:row r="370">
      <x:c r="I370" s="22"/>
      <x:c r="J370" s="24"/>
      <x:c r="K370" s="24"/>
    </x:row>
    <x:row r="371">
      <x:c r="I371" s="22"/>
      <x:c r="J371" s="24"/>
      <x:c r="K371" s="24"/>
    </x:row>
    <x:row r="372">
      <x:c r="I372" s="22"/>
      <x:c r="J372" s="24"/>
      <x:c r="K372" s="24"/>
    </x:row>
    <x:row r="373">
      <x:c r="I373" s="22"/>
      <x:c r="J373" s="24"/>
      <x:c r="K373" s="24"/>
    </x:row>
    <x:row r="374">
      <x:c r="I374" s="22"/>
      <x:c r="J374" s="24"/>
      <x:c r="K374" s="24"/>
    </x:row>
    <x:row r="375">
      <x:c r="I375" s="22"/>
      <x:c r="J375" s="24"/>
      <x:c r="K375" s="24"/>
    </x:row>
    <x:row r="376">
      <x:c r="I376" s="22"/>
      <x:c r="J376" s="24"/>
      <x:c r="K376" s="24"/>
    </x:row>
    <x:row r="377">
      <x:c r="I377" s="22"/>
      <x:c r="J377" s="24"/>
      <x:c r="K377" s="24"/>
    </x:row>
    <x:row r="378">
      <x:c r="I378" s="22"/>
      <x:c r="J378" s="24"/>
      <x:c r="K378" s="24"/>
    </x:row>
    <x:row r="379">
      <x:c r="I379" s="22"/>
      <x:c r="J379" s="24"/>
      <x:c r="K379" s="24"/>
    </x:row>
    <x:row r="380">
      <x:c r="I380" s="22"/>
      <x:c r="J380" s="24"/>
      <x:c r="K380" s="24"/>
    </x:row>
    <x:row r="381">
      <x:c r="I381" s="22"/>
      <x:c r="J381" s="24"/>
      <x:c r="K381" s="24"/>
    </x:row>
    <x:row r="382">
      <x:c r="I382" s="22"/>
      <x:c r="J382" s="24"/>
      <x:c r="K382" s="24"/>
    </x:row>
    <x:row r="383">
      <x:c r="I383" s="22"/>
      <x:c r="J383" s="24"/>
      <x:c r="K383" s="24"/>
    </x:row>
    <x:row r="384">
      <x:c r="I384" s="22"/>
      <x:c r="J384" s="24"/>
      <x:c r="K384" s="24"/>
    </x:row>
    <x:row r="385">
      <x:c r="I385" s="22"/>
      <x:c r="J385" s="24"/>
      <x:c r="K385" s="24"/>
    </x:row>
    <x:row r="386">
      <x:c r="I386" s="22"/>
      <x:c r="J386" s="24"/>
      <x:c r="K386" s="24"/>
    </x:row>
    <x:row r="387">
      <x:c r="I387" s="22"/>
      <x:c r="J387" s="24"/>
      <x:c r="K387" s="24"/>
    </x:row>
    <x:row r="388">
      <x:c r="I388" s="22"/>
      <x:c r="J388" s="24"/>
      <x:c r="K388" s="24"/>
    </x:row>
    <x:row r="389">
      <x:c r="I389" s="22"/>
      <x:c r="J389" s="24"/>
      <x:c r="K389" s="24"/>
    </x:row>
    <x:row r="390">
      <x:c r="I390" s="22"/>
      <x:c r="J390" s="24"/>
      <x:c r="K390" s="24"/>
    </x:row>
    <x:row r="391">
      <x:c r="I391" s="22"/>
      <x:c r="J391" s="24"/>
      <x:c r="K391" s="24"/>
    </x:row>
    <x:row r="392">
      <x:c r="I392" s="22"/>
      <x:c r="J392" s="24"/>
      <x:c r="K392" s="24"/>
    </x:row>
    <x:row r="393">
      <x:c r="I393" s="22"/>
      <x:c r="J393" s="24"/>
      <x:c r="K393" s="24"/>
    </x:row>
    <x:row r="394">
      <x:c r="I394" s="22"/>
      <x:c r="J394" s="24"/>
      <x:c r="K394" s="24"/>
    </x:row>
    <x:row r="395">
      <x:c r="I395" s="22"/>
      <x:c r="J395" s="24"/>
      <x:c r="K395" s="24"/>
    </x:row>
    <x:row r="396">
      <x:c r="I396" s="22"/>
      <x:c r="J396" s="24"/>
      <x:c r="K396" s="24"/>
    </x:row>
    <x:row r="397">
      <x:c r="I397" s="22"/>
      <x:c r="J397" s="24"/>
      <x:c r="K397" s="24"/>
    </x:row>
    <x:row r="398">
      <x:c r="I398" s="22"/>
      <x:c r="J398" s="24"/>
      <x:c r="K398" s="24"/>
    </x:row>
    <x:row r="399">
      <x:c r="I399" s="22"/>
      <x:c r="J399" s="24"/>
      <x:c r="K399" s="24"/>
    </x:row>
    <x:row r="400">
      <x:c r="I400" s="22"/>
      <x:c r="J400" s="24"/>
      <x:c r="K400" s="24"/>
    </x:row>
    <x:row r="401">
      <x:c r="I401" s="22"/>
      <x:c r="J401" s="24"/>
      <x:c r="K401" s="24"/>
    </x:row>
    <x:row r="402">
      <x:c r="I402" s="22"/>
      <x:c r="J402" s="24"/>
      <x:c r="K402" s="24"/>
    </x:row>
    <x:row r="403">
      <x:c r="I403" s="22"/>
      <x:c r="J403" s="24"/>
      <x:c r="K403" s="24"/>
    </x:row>
    <x:row r="404">
      <x:c r="I404" s="22"/>
      <x:c r="J404" s="24"/>
      <x:c r="K404" s="24"/>
    </x:row>
    <x:row r="405">
      <x:c r="I405" s="22"/>
      <x:c r="J405" s="24"/>
      <x:c r="K405" s="24"/>
    </x:row>
    <x:row r="406">
      <x:c r="I406" s="22"/>
      <x:c r="J406" s="24"/>
      <x:c r="K406" s="24"/>
    </x:row>
    <x:row r="407">
      <x:c r="I407" s="22"/>
      <x:c r="J407" s="24"/>
      <x:c r="K407" s="24"/>
    </x:row>
    <x:row r="408">
      <x:c r="I408" s="22"/>
      <x:c r="J408" s="24"/>
      <x:c r="K408" s="24"/>
    </x:row>
    <x:row r="409">
      <x:c r="I409" s="22"/>
      <x:c r="J409" s="24"/>
      <x:c r="K409" s="24"/>
    </x:row>
    <x:row r="410">
      <x:c r="I410" s="22"/>
      <x:c r="J410" s="24"/>
      <x:c r="K410" s="24"/>
    </x:row>
    <x:row r="411">
      <x:c r="I411" s="22"/>
      <x:c r="J411" s="24"/>
      <x:c r="K411" s="24"/>
    </x:row>
    <x:row r="412">
      <x:c r="I412" s="22"/>
      <x:c r="J412" s="24"/>
      <x:c r="K412" s="24"/>
    </x:row>
    <x:row r="413">
      <x:c r="I413" s="22"/>
      <x:c r="J413" s="24"/>
      <x:c r="K413" s="24"/>
    </x:row>
    <x:row r="414">
      <x:c r="I414" s="22"/>
      <x:c r="J414" s="24"/>
      <x:c r="K414" s="24"/>
    </x:row>
    <x:row r="415">
      <x:c r="I415" s="22"/>
      <x:c r="J415" s="24"/>
      <x:c r="K415" s="24"/>
    </x:row>
    <x:row r="416">
      <x:c r="I416" s="22"/>
      <x:c r="J416" s="24"/>
      <x:c r="K416" s="24"/>
    </x:row>
    <x:row r="417">
      <x:c r="I417" s="22"/>
      <x:c r="J417" s="24"/>
      <x:c r="K417" s="24"/>
    </x:row>
    <x:row r="418">
      <x:c r="I418" s="22"/>
      <x:c r="J418" s="24"/>
      <x:c r="K418" s="24"/>
    </x:row>
    <x:row r="419">
      <x:c r="I419" s="22"/>
      <x:c r="J419" s="24"/>
      <x:c r="K419" s="24"/>
    </x:row>
    <x:row r="420">
      <x:c r="I420" s="22"/>
      <x:c r="J420" s="24"/>
      <x:c r="K420" s="24"/>
    </x:row>
    <x:row r="421">
      <x:c r="I421" s="22"/>
      <x:c r="J421" s="24"/>
      <x:c r="K421" s="24"/>
    </x:row>
    <x:row r="422">
      <x:c r="I422" s="22"/>
      <x:c r="J422" s="24"/>
      <x:c r="K422" s="24"/>
    </x:row>
    <x:row r="423">
      <x:c r="I423" s="22"/>
      <x:c r="J423" s="24"/>
      <x:c r="K423" s="24"/>
    </x:row>
    <x:row r="424">
      <x:c r="I424" s="22"/>
      <x:c r="J424" s="24"/>
      <x:c r="K424" s="24"/>
    </x:row>
    <x:row r="425">
      <x:c r="I425" s="22"/>
      <x:c r="J425" s="24"/>
      <x:c r="K425" s="24"/>
    </x:row>
    <x:row r="426">
      <x:c r="I426" s="22"/>
      <x:c r="J426" s="24"/>
      <x:c r="K426" s="24"/>
    </x:row>
    <x:row r="427">
      <x:c r="I427" s="22"/>
      <x:c r="J427" s="24"/>
      <x:c r="K427" s="24"/>
    </x:row>
    <x:row r="428">
      <x:c r="I428" s="22"/>
      <x:c r="J428" s="24"/>
      <x:c r="K428" s="24"/>
    </x:row>
    <x:row r="429">
      <x:c r="I429" s="22"/>
      <x:c r="J429" s="24"/>
      <x:c r="K429" s="24"/>
    </x:row>
    <x:row r="430">
      <x:c r="I430" s="22"/>
      <x:c r="J430" s="24"/>
      <x:c r="K430" s="24"/>
    </x:row>
    <x:row r="431">
      <x:c r="I431" s="22"/>
      <x:c r="J431" s="24"/>
      <x:c r="K431" s="24"/>
    </x:row>
    <x:row r="432">
      <x:c r="I432" s="22"/>
      <x:c r="J432" s="24"/>
      <x:c r="K432" s="24"/>
    </x:row>
    <x:row r="433">
      <x:c r="I433" s="22"/>
      <x:c r="J433" s="24"/>
      <x:c r="K433" s="24"/>
    </x:row>
    <x:row r="434">
      <x:c r="I434" s="22"/>
      <x:c r="J434" s="24"/>
      <x:c r="K434" s="24"/>
    </x:row>
    <x:row r="435">
      <x:c r="I435" s="22"/>
      <x:c r="J435" s="24"/>
      <x:c r="K435" s="24"/>
    </x:row>
    <x:row r="436">
      <x:c r="I436" s="22"/>
      <x:c r="J436" s="24"/>
      <x:c r="K436" s="24"/>
    </x:row>
    <x:row r="437">
      <x:c r="I437" s="22"/>
      <x:c r="J437" s="24"/>
      <x:c r="K437" s="24"/>
    </x:row>
    <x:row r="438">
      <x:c r="I438" s="22"/>
      <x:c r="J438" s="24"/>
      <x:c r="K438" s="24"/>
    </x:row>
    <x:row r="439">
      <x:c r="I439" s="22"/>
      <x:c r="J439" s="24"/>
      <x:c r="K439" s="24"/>
    </x:row>
    <x:row r="440">
      <x:c r="I440" s="22"/>
      <x:c r="J440" s="24"/>
      <x:c r="K440" s="24"/>
    </x:row>
    <x:row r="441">
      <x:c r="I441" s="22"/>
      <x:c r="J441" s="24"/>
      <x:c r="K441" s="24"/>
    </x:row>
    <x:row r="442">
      <x:c r="I442" s="22"/>
      <x:c r="J442" s="24"/>
      <x:c r="K442" s="24"/>
    </x:row>
    <x:row r="443">
      <x:c r="I443" s="22"/>
      <x:c r="J443" s="24"/>
      <x:c r="K443" s="24"/>
    </x:row>
    <x:row r="444">
      <x:c r="I444" s="22"/>
      <x:c r="J444" s="24"/>
      <x:c r="K444" s="24"/>
    </x:row>
    <x:row r="445">
      <x:c r="I445" s="22"/>
      <x:c r="J445" s="24"/>
      <x:c r="K445" s="24"/>
    </x:row>
    <x:row r="446">
      <x:c r="I446" s="22"/>
      <x:c r="J446" s="24"/>
      <x:c r="K446" s="24"/>
    </x:row>
    <x:row r="447">
      <x:c r="I447" s="22"/>
      <x:c r="J447" s="24"/>
      <x:c r="K447" s="24"/>
    </x:row>
    <x:row r="448">
      <x:c r="I448" s="22"/>
      <x:c r="J448" s="24"/>
      <x:c r="K448" s="24"/>
    </x:row>
    <x:row r="449">
      <x:c r="I449" s="22"/>
      <x:c r="J449" s="24"/>
      <x:c r="K449" s="24"/>
    </x:row>
    <x:row r="450">
      <x:c r="I450" s="22"/>
      <x:c r="J450" s="24"/>
      <x:c r="K450" s="24"/>
    </x:row>
    <x:row r="451">
      <x:c r="I451" s="22"/>
      <x:c r="J451" s="24"/>
      <x:c r="K451" s="24"/>
    </x:row>
    <x:row r="452">
      <x:c r="I452" s="22"/>
      <x:c r="J452" s="24"/>
      <x:c r="K452" s="24"/>
    </x:row>
    <x:row r="453">
      <x:c r="I453" s="22"/>
      <x:c r="J453" s="24"/>
      <x:c r="K453" s="24"/>
    </x:row>
    <x:row r="454">
      <x:c r="I454" s="22"/>
      <x:c r="J454" s="24"/>
      <x:c r="K454" s="24"/>
    </x:row>
    <x:row r="455">
      <x:c r="I455" s="22"/>
      <x:c r="J455" s="24"/>
      <x:c r="K455" s="24"/>
    </x:row>
    <x:row r="456">
      <x:c r="I456" s="22"/>
      <x:c r="J456" s="24"/>
      <x:c r="K456" s="24"/>
    </x:row>
    <x:row r="457">
      <x:c r="I457" s="22"/>
      <x:c r="J457" s="24"/>
      <x:c r="K457" s="24"/>
    </x:row>
    <x:row r="458">
      <x:c r="I458" s="22"/>
      <x:c r="J458" s="24"/>
      <x:c r="K458" s="24"/>
    </x:row>
    <x:row r="459">
      <x:c r="I459" s="22"/>
      <x:c r="J459" s="24"/>
      <x:c r="K459" s="24"/>
    </x:row>
    <x:row r="460">
      <x:c r="I460" s="22"/>
      <x:c r="J460" s="24"/>
      <x:c r="K460" s="24"/>
    </x:row>
    <x:row r="461">
      <x:c r="I461" s="22"/>
      <x:c r="J461" s="24"/>
      <x:c r="K461" s="24"/>
    </x:row>
    <x:row r="462">
      <x:c r="I462" s="22"/>
      <x:c r="J462" s="24"/>
      <x:c r="K462" s="24"/>
    </x:row>
    <x:row r="463">
      <x:c r="I463" s="22"/>
      <x:c r="J463" s="24"/>
      <x:c r="K463" s="24"/>
    </x:row>
    <x:row r="464">
      <x:c r="I464" s="22"/>
      <x:c r="J464" s="24"/>
      <x:c r="K464" s="24"/>
    </x:row>
    <x:row r="465">
      <x:c r="I465" s="22"/>
      <x:c r="J465" s="24"/>
      <x:c r="K465" s="24"/>
    </x:row>
    <x:row r="466">
      <x:c r="I466" s="22"/>
      <x:c r="J466" s="24"/>
      <x:c r="K466" s="24"/>
    </x:row>
    <x:row r="467">
      <x:c r="I467" s="22"/>
      <x:c r="J467" s="24"/>
      <x:c r="K467" s="24"/>
    </x:row>
    <x:row r="468">
      <x:c r="I468" s="22"/>
      <x:c r="J468" s="24"/>
      <x:c r="K468" s="24"/>
    </x:row>
    <x:row r="469">
      <x:c r="I469" s="22"/>
      <x:c r="J469" s="24"/>
      <x:c r="K469" s="24"/>
    </x:row>
    <x:row r="470">
      <x:c r="I470" s="22"/>
      <x:c r="J470" s="24"/>
      <x:c r="K470" s="24"/>
    </x:row>
    <x:row r="471">
      <x:c r="I471" s="22"/>
      <x:c r="J471" s="24"/>
      <x:c r="K471" s="24"/>
    </x:row>
    <x:row r="472">
      <x:c r="I472" s="22"/>
      <x:c r="J472" s="24"/>
      <x:c r="K472" s="24"/>
    </x:row>
    <x:row r="473">
      <x:c r="I473" s="22"/>
      <x:c r="J473" s="24"/>
      <x:c r="K473" s="24"/>
    </x:row>
    <x:row r="474">
      <x:c r="I474" s="22"/>
      <x:c r="J474" s="24"/>
      <x:c r="K474" s="24"/>
    </x:row>
    <x:row r="475">
      <x:c r="I475" s="22"/>
      <x:c r="J475" s="24"/>
      <x:c r="K475" s="24"/>
    </x:row>
    <x:row r="476">
      <x:c r="I476" s="22"/>
      <x:c r="J476" s="24"/>
      <x:c r="K476" s="24"/>
    </x:row>
    <x:row r="477">
      <x:c r="I477" s="22"/>
      <x:c r="J477" s="24"/>
      <x:c r="K477" s="24"/>
    </x:row>
    <x:row r="478">
      <x:c r="I478" s="22"/>
      <x:c r="J478" s="24"/>
      <x:c r="K478" s="24"/>
    </x:row>
    <x:row r="479">
      <x:c r="I479" s="22"/>
      <x:c r="J479" s="24"/>
      <x:c r="K479" s="24"/>
    </x:row>
    <x:row r="480">
      <x:c r="I480" s="22"/>
      <x:c r="J480" s="24"/>
      <x:c r="K480" s="24"/>
    </x:row>
    <x:row r="481">
      <x:c r="I481" s="22"/>
      <x:c r="J481" s="24"/>
      <x:c r="K481" s="24"/>
    </x:row>
    <x:row r="482">
      <x:c r="I482" s="22"/>
      <x:c r="J482" s="24"/>
      <x:c r="K482" s="24"/>
    </x:row>
    <x:row r="483">
      <x:c r="I483" s="22"/>
      <x:c r="J483" s="24"/>
      <x:c r="K483" s="24"/>
    </x:row>
    <x:row r="484">
      <x:c r="I484" s="22"/>
      <x:c r="J484" s="24"/>
      <x:c r="K484" s="24"/>
    </x:row>
    <x:row r="485">
      <x:c r="I485" s="22"/>
      <x:c r="J485" s="24"/>
      <x:c r="K485" s="24"/>
    </x:row>
    <x:row r="486">
      <x:c r="I486" s="22"/>
      <x:c r="J486" s="24"/>
      <x:c r="K486" s="24"/>
    </x:row>
    <x:row r="487">
      <x:c r="I487" s="22"/>
      <x:c r="J487" s="24"/>
      <x:c r="K487" s="24"/>
    </x:row>
    <x:row r="488">
      <x:c r="I488" s="22"/>
      <x:c r="J488" s="24"/>
      <x:c r="K488" s="24"/>
    </x:row>
    <x:row r="489">
      <x:c r="I489" s="22"/>
      <x:c r="J489" s="24"/>
      <x:c r="K489" s="24"/>
    </x:row>
    <x:row r="490">
      <x:c r="I490" s="22"/>
      <x:c r="J490" s="24"/>
      <x:c r="K490" s="24"/>
    </x:row>
    <x:row r="491">
      <x:c r="I491" s="22"/>
      <x:c r="J491" s="24"/>
      <x:c r="K491" s="24"/>
    </x:row>
    <x:row r="492">
      <x:c r="I492" s="22"/>
      <x:c r="J492" s="24"/>
      <x:c r="K492" s="24"/>
    </x:row>
    <x:row r="493">
      <x:c r="I493" s="22"/>
      <x:c r="J493" s="24"/>
      <x:c r="K493" s="24"/>
    </x:row>
    <x:row r="494">
      <x:c r="I494" s="22"/>
      <x:c r="J494" s="24"/>
      <x:c r="K494" s="24"/>
    </x:row>
    <x:row r="495">
      <x:c r="I495" s="22"/>
      <x:c r="J495" s="24"/>
      <x:c r="K495" s="24"/>
    </x:row>
    <x:row r="496">
      <x:c r="I496" s="22"/>
      <x:c r="J496" s="24"/>
      <x:c r="K496" s="24"/>
    </x:row>
    <x:row r="497">
      <x:c r="I497" s="22"/>
      <x:c r="J497" s="24"/>
      <x:c r="K497" s="24"/>
    </x:row>
    <x:row r="498">
      <x:c r="I498" s="22"/>
      <x:c r="J498" s="24"/>
      <x:c r="K498" s="24"/>
    </x:row>
    <x:row r="499">
      <x:c r="I499" s="22"/>
      <x:c r="J499" s="24"/>
      <x:c r="K499" s="24"/>
    </x:row>
    <x:row r="500">
      <x:c r="I500" s="22"/>
      <x:c r="J500" s="24"/>
      <x:c r="K500" s="24"/>
    </x:row>
    <x:row r="501">
      <x:c r="I501" s="22"/>
      <x:c r="J501" s="24"/>
      <x:c r="K501" s="24"/>
    </x:row>
    <x:row r="502">
      <x:c r="I502" s="22"/>
      <x:c r="J502" s="24"/>
      <x:c r="K502" s="24"/>
    </x:row>
    <x:row r="503">
      <x:c r="I503" s="22"/>
      <x:c r="J503" s="24"/>
      <x:c r="K503" s="24"/>
    </x:row>
    <x:row r="504">
      <x:c r="I504" s="22"/>
      <x:c r="J504" s="24"/>
      <x:c r="K504" s="24"/>
    </x:row>
    <x:row r="505">
      <x:c r="I505" s="22"/>
      <x:c r="J505" s="24"/>
      <x:c r="K505" s="24"/>
    </x:row>
    <x:row r="506">
      <x:c r="I506" s="22"/>
      <x:c r="J506" s="24"/>
      <x:c r="K506" s="24"/>
    </x:row>
    <x:row r="507">
      <x:c r="I507" s="22"/>
      <x:c r="J507" s="24"/>
      <x:c r="K507" s="24"/>
    </x:row>
    <x:row r="508">
      <x:c r="I508" s="22"/>
      <x:c r="J508" s="24"/>
      <x:c r="K508" s="24"/>
    </x:row>
    <x:row r="509">
      <x:c r="I509" s="22"/>
      <x:c r="J509" s="24"/>
      <x:c r="K509" s="24"/>
    </x:row>
    <x:row r="510">
      <x:c r="I510" s="22"/>
      <x:c r="J510" s="24"/>
      <x:c r="K510" s="24"/>
    </x:row>
    <x:row r="511">
      <x:c r="I511" s="22"/>
      <x:c r="J511" s="24"/>
      <x:c r="K511" s="24"/>
    </x:row>
    <x:row r="512">
      <x:c r="I512" s="22"/>
      <x:c r="J512" s="24"/>
      <x:c r="K512" s="24"/>
    </x:row>
    <x:row r="513">
      <x:c r="I513" s="22"/>
      <x:c r="J513" s="24"/>
      <x:c r="K513" s="24"/>
    </x:row>
    <x:row r="514">
      <x:c r="I514" s="22"/>
      <x:c r="J514" s="24"/>
      <x:c r="K514" s="24"/>
    </x:row>
    <x:row r="515">
      <x:c r="I515" s="22"/>
      <x:c r="J515" s="24"/>
      <x:c r="K515" s="24"/>
    </x:row>
    <x:row r="516">
      <x:c r="I516" s="22"/>
      <x:c r="J516" s="24"/>
      <x:c r="K516" s="24"/>
    </x:row>
    <x:row r="517">
      <x:c r="I517" s="22"/>
      <x:c r="J517" s="24"/>
      <x:c r="K517" s="24"/>
    </x:row>
    <x:row r="518">
      <x:c r="I518" s="22"/>
      <x:c r="J518" s="24"/>
      <x:c r="K518" s="24"/>
    </x:row>
    <x:row r="519">
      <x:c r="I519" s="22"/>
      <x:c r="J519" s="24"/>
      <x:c r="K519" s="24"/>
    </x:row>
    <x:row r="520">
      <x:c r="I520" s="22"/>
      <x:c r="J520" s="24"/>
      <x:c r="K520" s="24"/>
    </x:row>
    <x:row r="521">
      <x:c r="I521" s="22"/>
      <x:c r="J521" s="24"/>
      <x:c r="K521" s="24"/>
    </x:row>
    <x:row r="522">
      <x:c r="I522" s="22"/>
      <x:c r="J522" s="24"/>
      <x:c r="K522" s="24"/>
    </x:row>
    <x:row r="523">
      <x:c r="I523" s="22"/>
      <x:c r="J523" s="24"/>
      <x:c r="K523" s="24"/>
    </x:row>
    <x:row r="524">
      <x:c r="I524" s="22"/>
      <x:c r="J524" s="24"/>
      <x:c r="K524" s="24"/>
    </x:row>
    <x:row r="525">
      <x:c r="I525" s="22"/>
      <x:c r="J525" s="24"/>
      <x:c r="K525" s="24"/>
    </x:row>
    <x:row r="526">
      <x:c r="I526" s="22"/>
      <x:c r="J526" s="24"/>
      <x:c r="K526" s="24"/>
    </x:row>
    <x:row r="527">
      <x:c r="I527" s="22"/>
      <x:c r="J527" s="24"/>
      <x:c r="K527" s="24"/>
    </x:row>
    <x:row r="528">
      <x:c r="I528" s="22"/>
      <x:c r="J528" s="24"/>
      <x:c r="K528" s="24"/>
    </x:row>
    <x:row r="529">
      <x:c r="I529" s="22"/>
      <x:c r="J529" s="24"/>
      <x:c r="K529" s="24"/>
    </x:row>
    <x:row r="530">
      <x:c r="I530" s="22"/>
      <x:c r="J530" s="24"/>
      <x:c r="K530" s="24"/>
    </x:row>
    <x:row r="531">
      <x:c r="I531" s="22"/>
      <x:c r="J531" s="24"/>
      <x:c r="K531" s="24"/>
    </x:row>
    <x:row r="532">
      <x:c r="I532" s="22"/>
      <x:c r="J532" s="24"/>
      <x:c r="K532" s="24"/>
    </x:row>
    <x:row r="533">
      <x:c r="I533" s="22"/>
      <x:c r="J533" s="24"/>
      <x:c r="K533" s="24"/>
    </x:row>
    <x:row r="534">
      <x:c r="I534" s="22"/>
      <x:c r="J534" s="24"/>
      <x:c r="K534" s="24"/>
    </x:row>
    <x:row r="535">
      <x:c r="I535" s="22"/>
      <x:c r="J535" s="24"/>
      <x:c r="K535" s="24"/>
    </x:row>
    <x:row r="536">
      <x:c r="I536" s="22"/>
      <x:c r="J536" s="24"/>
      <x:c r="K536" s="24"/>
    </x:row>
    <x:row r="537">
      <x:c r="I537" s="22"/>
      <x:c r="J537" s="24"/>
      <x:c r="K537" s="24"/>
    </x:row>
    <x:row r="538">
      <x:c r="I538" s="22"/>
      <x:c r="J538" s="24"/>
      <x:c r="K538" s="24"/>
    </x:row>
    <x:row r="539">
      <x:c r="I539" s="22"/>
      <x:c r="J539" s="24"/>
      <x:c r="K539" s="24"/>
    </x:row>
    <x:row r="540">
      <x:c r="I540" s="22"/>
      <x:c r="J540" s="24"/>
      <x:c r="K540" s="24"/>
    </x:row>
    <x:row r="541">
      <x:c r="I541" s="22"/>
      <x:c r="J541" s="24"/>
      <x:c r="K541" s="24"/>
    </x:row>
    <x:row r="542">
      <x:c r="I542" s="22"/>
      <x:c r="J542" s="24"/>
      <x:c r="K542" s="24"/>
    </x:row>
    <x:row r="543">
      <x:c r="I543" s="22"/>
      <x:c r="J543" s="24"/>
      <x:c r="K543" s="24"/>
    </x:row>
    <x:row r="544">
      <x:c r="I544" s="22"/>
      <x:c r="J544" s="24"/>
      <x:c r="K544" s="24"/>
    </x:row>
    <x:row r="545">
      <x:c r="I545" s="22"/>
      <x:c r="J545" s="24"/>
      <x:c r="K545" s="24"/>
    </x:row>
    <x:row r="546">
      <x:c r="I546" s="22"/>
      <x:c r="J546" s="24"/>
      <x:c r="K546" s="24"/>
    </x:row>
    <x:row r="547">
      <x:c r="I547" s="22"/>
      <x:c r="J547" s="24"/>
      <x:c r="K547" s="24"/>
    </x:row>
    <x:row r="548">
      <x:c r="I548" s="22"/>
      <x:c r="J548" s="24"/>
      <x:c r="K548" s="24"/>
    </x:row>
    <x:row r="549">
      <x:c r="I549" s="22"/>
      <x:c r="J549" s="24"/>
      <x:c r="K549" s="24"/>
    </x:row>
    <x:row r="550">
      <x:c r="I550" s="22"/>
      <x:c r="J550" s="24"/>
      <x:c r="K550" s="24"/>
    </x:row>
    <x:row r="551">
      <x:c r="I551" s="22"/>
      <x:c r="J551" s="24"/>
      <x:c r="K551" s="24"/>
    </x:row>
    <x:row r="552">
      <x:c r="I552" s="22"/>
      <x:c r="J552" s="24"/>
      <x:c r="K552" s="24"/>
    </x:row>
    <x:row r="553">
      <x:c r="I553" s="22"/>
      <x:c r="J553" s="24"/>
      <x:c r="K553" s="24"/>
    </x:row>
    <x:row r="554">
      <x:c r="I554" s="22"/>
      <x:c r="J554" s="24"/>
      <x:c r="K554" s="24"/>
    </x:row>
    <x:row r="555">
      <x:c r="I555" s="22"/>
      <x:c r="J555" s="24"/>
      <x:c r="K555" s="24"/>
    </x:row>
    <x:row r="556">
      <x:c r="I556" s="22"/>
      <x:c r="J556" s="24"/>
      <x:c r="K556" s="24"/>
    </x:row>
    <x:row r="557">
      <x:c r="I557" s="22"/>
      <x:c r="J557" s="24"/>
      <x:c r="K557" s="24"/>
    </x:row>
    <x:row r="558">
      <x:c r="I558" s="22"/>
      <x:c r="J558" s="24"/>
      <x:c r="K558" s="24"/>
    </x:row>
    <x:row r="559">
      <x:c r="I559" s="22"/>
      <x:c r="J559" s="24"/>
      <x:c r="K559" s="24"/>
    </x:row>
    <x:row r="560">
      <x:c r="I560" s="22"/>
      <x:c r="J560" s="24"/>
      <x:c r="K560" s="24"/>
    </x:row>
    <x:row r="561">
      <x:c r="I561" s="22"/>
      <x:c r="J561" s="24"/>
      <x:c r="K561" s="24"/>
    </x:row>
    <x:row r="562">
      <x:c r="I562" s="22"/>
      <x:c r="J562" s="24"/>
      <x:c r="K562" s="24"/>
    </x:row>
    <x:row r="563">
      <x:c r="I563" s="22"/>
      <x:c r="J563" s="24"/>
      <x:c r="K563" s="24"/>
    </x:row>
    <x:row r="564">
      <x:c r="I564" s="22"/>
      <x:c r="J564" s="24"/>
      <x:c r="K564" s="24"/>
    </x:row>
    <x:row r="565">
      <x:c r="I565" s="22"/>
      <x:c r="J565" s="24"/>
      <x:c r="K565" s="24"/>
    </x:row>
    <x:row r="566">
      <x:c r="I566" s="22"/>
      <x:c r="J566" s="24"/>
      <x:c r="K566" s="24"/>
    </x:row>
    <x:row r="567">
      <x:c r="I567" s="22"/>
      <x:c r="J567" s="24"/>
      <x:c r="K567" s="24"/>
    </x:row>
    <x:row r="568">
      <x:c r="I568" s="22"/>
      <x:c r="J568" s="24"/>
      <x:c r="K568" s="24"/>
    </x:row>
    <x:row r="569">
      <x:c r="I569" s="22"/>
      <x:c r="J569" s="24"/>
      <x:c r="K569" s="24"/>
    </x:row>
    <x:row r="570">
      <x:c r="I570" s="22"/>
      <x:c r="J570" s="24"/>
      <x:c r="K570" s="24"/>
    </x:row>
    <x:row r="571">
      <x:c r="I571" s="22"/>
      <x:c r="J571" s="24"/>
      <x:c r="K571" s="24"/>
    </x:row>
    <x:row r="572">
      <x:c r="I572" s="22"/>
      <x:c r="J572" s="24"/>
      <x:c r="K572" s="24"/>
    </x:row>
    <x:row r="573">
      <x:c r="I573" s="22"/>
      <x:c r="J573" s="24"/>
      <x:c r="K573" s="24"/>
    </x:row>
    <x:row r="574">
      <x:c r="I574" s="22"/>
      <x:c r="J574" s="24"/>
      <x:c r="K574" s="24"/>
    </x:row>
    <x:row r="575">
      <x:c r="I575" s="22"/>
      <x:c r="J575" s="24"/>
      <x:c r="K575" s="24"/>
    </x:row>
    <x:row r="576">
      <x:c r="I576" s="22"/>
      <x:c r="J576" s="24"/>
      <x:c r="K576" s="24"/>
    </x:row>
    <x:row r="577">
      <x:c r="I577" s="22"/>
      <x:c r="J577" s="24"/>
      <x:c r="K577" s="24"/>
    </x:row>
    <x:row r="578">
      <x:c r="I578" s="22"/>
      <x:c r="J578" s="24"/>
      <x:c r="K578" s="24"/>
    </x:row>
    <x:row r="579">
      <x:c r="I579" s="22"/>
      <x:c r="J579" s="24"/>
      <x:c r="K579" s="24"/>
    </x:row>
    <x:row r="580">
      <x:c r="I580" s="22"/>
      <x:c r="J580" s="24"/>
      <x:c r="K580" s="24"/>
    </x:row>
    <x:row r="581">
      <x:c r="I581" s="22"/>
      <x:c r="J581" s="24"/>
      <x:c r="K581" s="24"/>
    </x:row>
    <x:row r="582">
      <x:c r="I582" s="22"/>
      <x:c r="J582" s="24"/>
      <x:c r="K582" s="24"/>
    </x:row>
    <x:row r="583">
      <x:c r="I583" s="22"/>
      <x:c r="J583" s="24"/>
      <x:c r="K583" s="24"/>
    </x:row>
    <x:row r="584">
      <x:c r="I584" s="22"/>
      <x:c r="J584" s="24"/>
      <x:c r="K584" s="24"/>
    </x:row>
    <x:row r="585">
      <x:c r="I585" s="22"/>
      <x:c r="J585" s="24"/>
      <x:c r="K585" s="24"/>
    </x:row>
    <x:row r="586">
      <x:c r="I586" s="22"/>
      <x:c r="J586" s="24"/>
      <x:c r="K586" s="24"/>
    </x:row>
    <x:row r="587">
      <x:c r="I587" s="22"/>
      <x:c r="J587" s="24"/>
      <x:c r="K587" s="24"/>
    </x:row>
    <x:row r="588">
      <x:c r="I588" s="22"/>
      <x:c r="J588" s="24"/>
      <x:c r="K588" s="24"/>
    </x:row>
    <x:row r="589">
      <x:c r="I589" s="22"/>
      <x:c r="J589" s="24"/>
      <x:c r="K589" s="24"/>
    </x:row>
    <x:row r="590">
      <x:c r="I590" s="22"/>
      <x:c r="J590" s="24"/>
      <x:c r="K590" s="24"/>
    </x:row>
    <x:row r="591">
      <x:c r="I591" s="22"/>
      <x:c r="J591" s="24"/>
      <x:c r="K591" s="24"/>
    </x:row>
    <x:row r="592">
      <x:c r="I592" s="22"/>
      <x:c r="J592" s="24"/>
      <x:c r="K592" s="24"/>
    </x:row>
    <x:row r="593">
      <x:c r="I593" s="22"/>
      <x:c r="J593" s="24"/>
      <x:c r="K593" s="24"/>
    </x:row>
    <x:row r="594">
      <x:c r="I594" s="22"/>
      <x:c r="J594" s="24"/>
      <x:c r="K594" s="24"/>
    </x:row>
    <x:row r="595">
      <x:c r="I595" s="22"/>
      <x:c r="J595" s="24"/>
      <x:c r="K595" s="24"/>
    </x:row>
    <x:row r="596">
      <x:c r="I596" s="22"/>
      <x:c r="J596" s="24"/>
      <x:c r="K596" s="24"/>
    </x:row>
    <x:row r="597">
      <x:c r="I597" s="22"/>
      <x:c r="J597" s="24"/>
      <x:c r="K597" s="24"/>
    </x:row>
    <x:row r="598">
      <x:c r="I598" s="22"/>
      <x:c r="J598" s="24"/>
      <x:c r="K598" s="24"/>
    </x:row>
    <x:row r="599">
      <x:c r="I599" s="22"/>
      <x:c r="J599" s="24"/>
      <x:c r="K599" s="24"/>
    </x:row>
    <x:row r="600">
      <x:c r="I600" s="22"/>
      <x:c r="J600" s="24"/>
      <x:c r="K600" s="24"/>
    </x:row>
    <x:row r="601">
      <x:c r="I601" s="22"/>
      <x:c r="J601" s="24"/>
      <x:c r="K601" s="24"/>
    </x:row>
    <x:row r="602">
      <x:c r="I602" s="22"/>
      <x:c r="J602" s="24"/>
      <x:c r="K602" s="24"/>
    </x:row>
    <x:row r="603">
      <x:c r="I603" s="22"/>
      <x:c r="J603" s="24"/>
      <x:c r="K603" s="24"/>
    </x:row>
    <x:row r="604">
      <x:c r="I604" s="22"/>
      <x:c r="J604" s="24"/>
      <x:c r="K604" s="24"/>
    </x:row>
    <x:row r="605">
      <x:c r="I605" s="22"/>
      <x:c r="J605" s="24"/>
      <x:c r="K605" s="24"/>
    </x:row>
    <x:row r="606">
      <x:c r="I606" s="22"/>
      <x:c r="J606" s="24"/>
      <x:c r="K606" s="24"/>
    </x:row>
    <x:row r="607">
      <x:c r="I607" s="22"/>
      <x:c r="J607" s="24"/>
      <x:c r="K607" s="24"/>
    </x:row>
    <x:row r="608">
      <x:c r="I608" s="22"/>
      <x:c r="J608" s="24"/>
      <x:c r="K608" s="24"/>
    </x:row>
    <x:row r="609">
      <x:c r="I609" s="22"/>
      <x:c r="J609" s="24"/>
      <x:c r="K609" s="24"/>
    </x:row>
    <x:row r="610">
      <x:c r="I610" s="22"/>
      <x:c r="J610" s="24"/>
      <x:c r="K610" s="24"/>
    </x:row>
    <x:row r="611">
      <x:c r="I611" s="22"/>
      <x:c r="J611" s="24"/>
      <x:c r="K611" s="24"/>
    </x:row>
    <x:row r="612">
      <x:c r="I612" s="22"/>
      <x:c r="J612" s="24"/>
      <x:c r="K612" s="24"/>
    </x:row>
    <x:row r="613">
      <x:c r="I613" s="22"/>
      <x:c r="J613" s="24"/>
      <x:c r="K613" s="24"/>
    </x:row>
    <x:row r="614">
      <x:c r="I614" s="22"/>
      <x:c r="J614" s="24"/>
      <x:c r="K614" s="24"/>
    </x:row>
    <x:row r="615">
      <x:c r="I615" s="22"/>
      <x:c r="J615" s="24"/>
      <x:c r="K615" s="24"/>
    </x:row>
    <x:row r="616">
      <x:c r="I616" s="22"/>
      <x:c r="J616" s="24"/>
      <x:c r="K616" s="24"/>
    </x:row>
    <x:row r="617">
      <x:c r="I617" s="22"/>
      <x:c r="J617" s="24"/>
      <x:c r="K617" s="24"/>
    </x:row>
    <x:row r="618">
      <x:c r="I618" s="22"/>
      <x:c r="J618" s="24"/>
      <x:c r="K618" s="24"/>
    </x:row>
    <x:row r="619">
      <x:c r="I619" s="22"/>
      <x:c r="J619" s="24"/>
      <x:c r="K619" s="24"/>
    </x:row>
    <x:row r="620">
      <x:c r="I620" s="22"/>
      <x:c r="J620" s="24"/>
      <x:c r="K620" s="24"/>
    </x:row>
    <x:row r="621">
      <x:c r="I621" s="22"/>
      <x:c r="J621" s="24"/>
      <x:c r="K621" s="24"/>
    </x:row>
    <x:row r="622">
      <x:c r="I622" s="22"/>
      <x:c r="J622" s="24"/>
      <x:c r="K622" s="24"/>
    </x:row>
    <x:row r="623">
      <x:c r="I623" s="22"/>
      <x:c r="J623" s="24"/>
      <x:c r="K623" s="24"/>
    </x:row>
    <x:row r="624">
      <x:c r="I624" s="22"/>
      <x:c r="J624" s="24"/>
      <x:c r="K624" s="24"/>
    </x:row>
    <x:row r="625">
      <x:c r="I625" s="22"/>
      <x:c r="J625" s="24"/>
      <x:c r="K625" s="24"/>
    </x:row>
    <x:row r="626">
      <x:c r="I626" s="22"/>
      <x:c r="J626" s="24"/>
      <x:c r="K626" s="24"/>
    </x:row>
    <x:row r="627">
      <x:c r="I627" s="22"/>
      <x:c r="J627" s="24"/>
      <x:c r="K627" s="24"/>
    </x:row>
    <x:row r="628">
      <x:c r="I628" s="22"/>
      <x:c r="J628" s="24"/>
      <x:c r="K628" s="24"/>
    </x:row>
    <x:row r="629">
      <x:c r="I629" s="22"/>
      <x:c r="J629" s="24"/>
      <x:c r="K629" s="24"/>
    </x:row>
    <x:row r="630">
      <x:c r="I630" s="22"/>
      <x:c r="J630" s="24"/>
      <x:c r="K630" s="24"/>
    </x:row>
    <x:row r="631">
      <x:c r="I631" s="22"/>
      <x:c r="J631" s="24"/>
      <x:c r="K631" s="24"/>
    </x:row>
    <x:row r="632">
      <x:c r="I632" s="22"/>
      <x:c r="J632" s="24"/>
      <x:c r="K632" s="24"/>
    </x:row>
    <x:row r="633">
      <x:c r="I633" s="22"/>
      <x:c r="J633" s="24"/>
      <x:c r="K633" s="24"/>
    </x:row>
    <x:row r="634">
      <x:c r="I634" s="22"/>
      <x:c r="J634" s="24"/>
      <x:c r="K634" s="24"/>
    </x:row>
    <x:row r="635">
      <x:c r="I635" s="22"/>
      <x:c r="J635" s="24"/>
      <x:c r="K635" s="24"/>
    </x:row>
    <x:row r="636">
      <x:c r="I636" s="22"/>
      <x:c r="J636" s="24"/>
      <x:c r="K636" s="24"/>
    </x:row>
    <x:row r="637">
      <x:c r="I637" s="22"/>
      <x:c r="J637" s="24"/>
      <x:c r="K637" s="24"/>
    </x:row>
    <x:row r="638">
      <x:c r="I638" s="22"/>
      <x:c r="J638" s="24"/>
      <x:c r="K638" s="24"/>
    </x:row>
    <x:row r="639">
      <x:c r="I639" s="22"/>
      <x:c r="J639" s="24"/>
      <x:c r="K639" s="24"/>
    </x:row>
    <x:row r="640">
      <x:c r="I640" s="22"/>
      <x:c r="J640" s="24"/>
      <x:c r="K640" s="24"/>
    </x:row>
    <x:row r="641">
      <x:c r="I641" s="22"/>
      <x:c r="J641" s="24"/>
      <x:c r="K641" s="24"/>
    </x:row>
    <x:row r="642">
      <x:c r="I642" s="22"/>
      <x:c r="J642" s="24"/>
      <x:c r="K642" s="24"/>
    </x:row>
    <x:row r="643">
      <x:c r="I643" s="22"/>
      <x:c r="J643" s="24"/>
      <x:c r="K643" s="24"/>
    </x:row>
    <x:row r="644">
      <x:c r="I644" s="22"/>
      <x:c r="J644" s="24"/>
      <x:c r="K644" s="24"/>
    </x:row>
    <x:row r="645">
      <x:c r="I645" s="22"/>
      <x:c r="J645" s="24"/>
      <x:c r="K645" s="24"/>
    </x:row>
    <x:row r="646">
      <x:c r="I646" s="22"/>
      <x:c r="J646" s="24"/>
      <x:c r="K646" s="24"/>
    </x:row>
    <x:row r="647">
      <x:c r="I647" s="22"/>
      <x:c r="J647" s="24"/>
      <x:c r="K647" s="24"/>
    </x:row>
    <x:row r="648">
      <x:c r="I648" s="22"/>
      <x:c r="J648" s="24"/>
      <x:c r="K648" s="24"/>
    </x:row>
    <x:row r="649">
      <x:c r="I649" s="22"/>
      <x:c r="J649" s="24"/>
      <x:c r="K649" s="24"/>
    </x:row>
    <x:row r="650">
      <x:c r="I650" s="22"/>
      <x:c r="J650" s="24"/>
      <x:c r="K650" s="24"/>
    </x:row>
    <x:row r="651">
      <x:c r="I651" s="22"/>
      <x:c r="J651" s="24"/>
      <x:c r="K651" s="24"/>
    </x:row>
    <x:row r="652">
      <x:c r="I652" s="22"/>
      <x:c r="J652" s="24"/>
      <x:c r="K652" s="24"/>
    </x:row>
    <x:row r="653">
      <x:c r="I653" s="22"/>
      <x:c r="J653" s="24"/>
      <x:c r="K653" s="24"/>
    </x:row>
    <x:row r="654">
      <x:c r="I654" s="22"/>
      <x:c r="J654" s="24"/>
      <x:c r="K654" s="24"/>
    </x:row>
    <x:row r="655">
      <x:c r="I655" s="22"/>
      <x:c r="J655" s="24"/>
      <x:c r="K655" s="24"/>
    </x:row>
    <x:row r="656">
      <x:c r="I656" s="22"/>
      <x:c r="J656" s="24"/>
      <x:c r="K656" s="24"/>
    </x:row>
    <x:row r="657">
      <x:c r="I657" s="22"/>
      <x:c r="J657" s="24"/>
      <x:c r="K657" s="24"/>
    </x:row>
    <x:row r="658">
      <x:c r="I658" s="22"/>
      <x:c r="J658" s="24"/>
      <x:c r="K658" s="24"/>
    </x:row>
    <x:row r="659">
      <x:c r="I659" s="22"/>
      <x:c r="J659" s="24"/>
      <x:c r="K659" s="24"/>
    </x:row>
    <x:row r="660">
      <x:c r="I660" s="22"/>
      <x:c r="J660" s="24"/>
      <x:c r="K660" s="24"/>
    </x:row>
    <x:row r="661">
      <x:c r="I661" s="22"/>
      <x:c r="J661" s="24"/>
      <x:c r="K661" s="24"/>
    </x:row>
    <x:row r="662">
      <x:c r="I662" s="22"/>
      <x:c r="J662" s="24"/>
      <x:c r="K662" s="24"/>
    </x:row>
    <x:row r="663">
      <x:c r="I663" s="22"/>
      <x:c r="J663" s="24"/>
      <x:c r="K663" s="24"/>
    </x:row>
    <x:row r="664">
      <x:c r="I664" s="22"/>
      <x:c r="J664" s="24"/>
      <x:c r="K664" s="24"/>
    </x:row>
    <x:row r="665">
      <x:c r="I665" s="22"/>
      <x:c r="J665" s="24"/>
      <x:c r="K665" s="24"/>
    </x:row>
    <x:row r="666">
      <x:c r="I666" s="22"/>
      <x:c r="J666" s="24"/>
      <x:c r="K666" s="24"/>
    </x:row>
    <x:row r="667">
      <x:c r="I667" s="22"/>
      <x:c r="J667" s="24"/>
      <x:c r="K667" s="24"/>
    </x:row>
    <x:row r="668">
      <x:c r="I668" s="22"/>
      <x:c r="J668" s="24"/>
      <x:c r="K668" s="24"/>
    </x:row>
    <x:row r="669">
      <x:c r="I669" s="22"/>
      <x:c r="J669" s="24"/>
      <x:c r="K669" s="24"/>
    </x:row>
    <x:row r="670">
      <x:c r="I670" s="22"/>
      <x:c r="J670" s="24"/>
      <x:c r="K670" s="24"/>
    </x:row>
    <x:row r="671">
      <x:c r="I671" s="22"/>
      <x:c r="J671" s="24"/>
      <x:c r="K671" s="24"/>
    </x:row>
    <x:row r="672">
      <x:c r="I672" s="22"/>
      <x:c r="J672" s="24"/>
      <x:c r="K672" s="24"/>
    </x:row>
    <x:row r="673">
      <x:c r="I673" s="22"/>
      <x:c r="J673" s="24"/>
      <x:c r="K673" s="24"/>
    </x:row>
    <x:row r="674">
      <x:c r="I674" s="22"/>
      <x:c r="J674" s="24"/>
      <x:c r="K674" s="24"/>
    </x:row>
    <x:row r="675">
      <x:c r="I675" s="22"/>
      <x:c r="J675" s="24"/>
      <x:c r="K675" s="24"/>
    </x:row>
    <x:row r="676">
      <x:c r="I676" s="22"/>
      <x:c r="J676" s="24"/>
      <x:c r="K676" s="24"/>
    </x:row>
    <x:row r="677">
      <x:c r="I677" s="22"/>
      <x:c r="J677" s="24"/>
      <x:c r="K677" s="24"/>
    </x:row>
    <x:row r="678">
      <x:c r="I678" s="22"/>
      <x:c r="J678" s="24"/>
      <x:c r="K678" s="24"/>
    </x:row>
    <x:row r="679">
      <x:c r="I679" s="22"/>
      <x:c r="J679" s="24"/>
      <x:c r="K679" s="24"/>
    </x:row>
    <x:row r="680">
      <x:c r="I680" s="22"/>
      <x:c r="J680" s="24"/>
      <x:c r="K680" s="24"/>
    </x:row>
    <x:row r="681">
      <x:c r="I681" s="22"/>
      <x:c r="J681" s="24"/>
      <x:c r="K681" s="24"/>
    </x:row>
    <x:row r="682">
      <x:c r="I682" s="22"/>
      <x:c r="J682" s="24"/>
      <x:c r="K682" s="24"/>
    </x:row>
    <x:row r="683">
      <x:c r="I683" s="22"/>
      <x:c r="J683" s="24"/>
      <x:c r="K683" s="24"/>
    </x:row>
    <x:row r="684">
      <x:c r="I684" s="22"/>
      <x:c r="J684" s="24"/>
      <x:c r="K684" s="24"/>
    </x:row>
    <x:row r="685">
      <x:c r="I685" s="22"/>
      <x:c r="J685" s="24"/>
      <x:c r="K685" s="24"/>
    </x:row>
    <x:row r="686">
      <x:c r="I686" s="22"/>
      <x:c r="J686" s="24"/>
      <x:c r="K686" s="24"/>
    </x:row>
    <x:row r="687">
      <x:c r="I687" s="22"/>
      <x:c r="J687" s="24"/>
      <x:c r="K687" s="24"/>
    </x:row>
    <x:row r="688">
      <x:c r="I688" s="22"/>
      <x:c r="J688" s="24"/>
      <x:c r="K688" s="24"/>
    </x:row>
    <x:row r="689">
      <x:c r="I689" s="22"/>
      <x:c r="J689" s="24"/>
      <x:c r="K689" s="24"/>
    </x:row>
    <x:row r="690">
      <x:c r="I690" s="22"/>
      <x:c r="J690" s="24"/>
      <x:c r="K690" s="24"/>
    </x:row>
    <x:row r="691">
      <x:c r="I691" s="22"/>
      <x:c r="J691" s="24"/>
      <x:c r="K691" s="24"/>
    </x:row>
    <x:row r="692">
      <x:c r="I692" s="22"/>
      <x:c r="J692" s="24"/>
      <x:c r="K692" s="24"/>
    </x:row>
    <x:row r="693">
      <x:c r="I693" s="22"/>
      <x:c r="J693" s="24"/>
      <x:c r="K693" s="24"/>
    </x:row>
    <x:row r="694">
      <x:c r="I694" s="22"/>
      <x:c r="J694" s="24"/>
      <x:c r="K694" s="24"/>
    </x:row>
    <x:row r="695">
      <x:c r="I695" s="22"/>
      <x:c r="J695" s="24"/>
      <x:c r="K695" s="24"/>
    </x:row>
    <x:row r="696">
      <x:c r="I696" s="22"/>
      <x:c r="J696" s="24"/>
      <x:c r="K696" s="24"/>
    </x:row>
    <x:row r="697">
      <x:c r="I697" s="22"/>
      <x:c r="J697" s="24"/>
      <x:c r="K697" s="24"/>
    </x:row>
    <x:row r="698">
      <x:c r="I698" s="22"/>
      <x:c r="J698" s="24"/>
      <x:c r="K698" s="24"/>
    </x:row>
    <x:row r="699">
      <x:c r="I699" s="22"/>
      <x:c r="J699" s="24"/>
      <x:c r="K699" s="24"/>
    </x:row>
    <x:row r="700">
      <x:c r="I700" s="22"/>
      <x:c r="J700" s="24"/>
      <x:c r="K700" s="24"/>
    </x:row>
    <x:row r="701">
      <x:c r="I701" s="22"/>
      <x:c r="J701" s="24"/>
      <x:c r="K701" s="24"/>
    </x:row>
    <x:row r="702">
      <x:c r="I702" s="22"/>
      <x:c r="J702" s="24"/>
      <x:c r="K702" s="24"/>
    </x:row>
    <x:row r="703">
      <x:c r="I703" s="22"/>
      <x:c r="J703" s="24"/>
      <x:c r="K703" s="24"/>
    </x:row>
    <x:row r="704">
      <x:c r="I704" s="22"/>
      <x:c r="J704" s="24"/>
      <x:c r="K704" s="24"/>
    </x:row>
    <x:row r="705">
      <x:c r="I705" s="22"/>
      <x:c r="J705" s="24"/>
      <x:c r="K705" s="24"/>
    </x:row>
    <x:row r="706">
      <x:c r="I706" s="22"/>
      <x:c r="J706" s="24"/>
      <x:c r="K706" s="24"/>
    </x:row>
    <x:row r="707">
      <x:c r="I707" s="22"/>
      <x:c r="J707" s="24"/>
      <x:c r="K707" s="24"/>
    </x:row>
    <x:row r="708">
      <x:c r="I708" s="22"/>
      <x:c r="J708" s="24"/>
      <x:c r="K708" s="24"/>
    </x:row>
    <x:row r="709">
      <x:c r="I709" s="22"/>
      <x:c r="J709" s="24"/>
      <x:c r="K709" s="24"/>
    </x:row>
    <x:row r="710">
      <x:c r="I710" s="22"/>
      <x:c r="J710" s="24"/>
      <x:c r="K710" s="24"/>
    </x:row>
    <x:row r="711">
      <x:c r="I711" s="22"/>
      <x:c r="J711" s="24"/>
      <x:c r="K711" s="24"/>
    </x:row>
    <x:row r="712">
      <x:c r="I712" s="22"/>
      <x:c r="J712" s="24"/>
      <x:c r="K712" s="24"/>
    </x:row>
    <x:row r="713">
      <x:c r="I713" s="22"/>
      <x:c r="J713" s="24"/>
      <x:c r="K713" s="24"/>
    </x:row>
    <x:row r="714">
      <x:c r="I714" s="22"/>
      <x:c r="J714" s="24"/>
      <x:c r="K714" s="24"/>
    </x:row>
    <x:row r="715">
      <x:c r="I715" s="22"/>
      <x:c r="J715" s="24"/>
      <x:c r="K715" s="24"/>
    </x:row>
    <x:row r="716">
      <x:c r="I716" s="22"/>
      <x:c r="J716" s="24"/>
      <x:c r="K716" s="24"/>
    </x:row>
    <x:row r="717">
      <x:c r="I717" s="22"/>
      <x:c r="J717" s="24"/>
      <x:c r="K717" s="24"/>
    </x:row>
    <x:row r="718">
      <x:c r="I718" s="22"/>
      <x:c r="J718" s="24"/>
      <x:c r="K718" s="24"/>
    </x:row>
    <x:row r="719">
      <x:c r="I719" s="22"/>
      <x:c r="J719" s="24"/>
      <x:c r="K719" s="24"/>
    </x:row>
    <x:row r="720">
      <x:c r="I720" s="22"/>
      <x:c r="J720" s="24"/>
      <x:c r="K720" s="24"/>
    </x:row>
    <x:row r="721">
      <x:c r="I721" s="22"/>
      <x:c r="J721" s="24"/>
      <x:c r="K721" s="24"/>
    </x:row>
    <x:row r="722">
      <x:c r="I722" s="22"/>
      <x:c r="J722" s="24"/>
      <x:c r="K722" s="24"/>
    </x:row>
    <x:row r="723">
      <x:c r="I723" s="22"/>
      <x:c r="J723" s="24"/>
      <x:c r="K723" s="24"/>
    </x:row>
    <x:row r="724">
      <x:c r="I724" s="22"/>
      <x:c r="J724" s="24"/>
      <x:c r="K724" s="24"/>
    </x:row>
    <x:row r="725">
      <x:c r="I725" s="22"/>
      <x:c r="J725" s="24"/>
      <x:c r="K725" s="24"/>
    </x:row>
    <x:row r="726">
      <x:c r="I726" s="22"/>
      <x:c r="J726" s="24"/>
      <x:c r="K726" s="24"/>
    </x:row>
    <x:row r="727">
      <x:c r="I727" s="22"/>
      <x:c r="J727" s="24"/>
      <x:c r="K727" s="24"/>
    </x:row>
    <x:row r="728">
      <x:c r="I728" s="22"/>
      <x:c r="J728" s="24"/>
      <x:c r="K728" s="24"/>
    </x:row>
    <x:row r="729">
      <x:c r="I729" s="22"/>
      <x:c r="J729" s="24"/>
      <x:c r="K729" s="24"/>
    </x:row>
    <x:row r="730">
      <x:c r="I730" s="22"/>
      <x:c r="J730" s="24"/>
      <x:c r="K730" s="24"/>
    </x:row>
    <x:row r="731">
      <x:c r="I731" s="22"/>
      <x:c r="J731" s="24"/>
      <x:c r="K731" s="24"/>
    </x:row>
    <x:row r="732">
      <x:c r="I732" s="22"/>
      <x:c r="J732" s="24"/>
      <x:c r="K732" s="24"/>
    </x:row>
    <x:row r="733">
      <x:c r="I733" s="22"/>
      <x:c r="J733" s="24"/>
      <x:c r="K733" s="24"/>
    </x:row>
    <x:row r="734">
      <x:c r="I734" s="22"/>
      <x:c r="J734" s="24"/>
      <x:c r="K734" s="24"/>
    </x:row>
    <x:row r="735">
      <x:c r="I735" s="22"/>
      <x:c r="J735" s="24"/>
      <x:c r="K735" s="24"/>
    </x:row>
    <x:row r="736">
      <x:c r="I736" s="22"/>
      <x:c r="J736" s="24"/>
      <x:c r="K736" s="24"/>
    </x:row>
    <x:row r="737">
      <x:c r="I737" s="22"/>
      <x:c r="J737" s="24"/>
      <x:c r="K737" s="24"/>
    </x:row>
    <x:row r="738">
      <x:c r="I738" s="22"/>
      <x:c r="J738" s="24"/>
      <x:c r="K738" s="24"/>
    </x:row>
    <x:row r="739">
      <x:c r="I739" s="22"/>
      <x:c r="J739" s="24"/>
      <x:c r="K739" s="24"/>
    </x:row>
    <x:row r="740">
      <x:c r="I740" s="22"/>
      <x:c r="J740" s="24"/>
      <x:c r="K740" s="24"/>
    </x:row>
    <x:row r="741">
      <x:c r="I741" s="22"/>
      <x:c r="J741" s="24"/>
      <x:c r="K741" s="24"/>
    </x:row>
    <x:row r="742">
      <x:c r="I742" s="22"/>
      <x:c r="J742" s="24"/>
      <x:c r="K742" s="24"/>
    </x:row>
    <x:row r="743">
      <x:c r="I743" s="22"/>
      <x:c r="J743" s="24"/>
      <x:c r="K743" s="24"/>
    </x:row>
    <x:row r="744">
      <x:c r="I744" s="22"/>
      <x:c r="J744" s="24"/>
      <x:c r="K744" s="24"/>
    </x:row>
    <x:row r="745">
      <x:c r="I745" s="22"/>
      <x:c r="J745" s="24"/>
      <x:c r="K745" s="24"/>
    </x:row>
    <x:row r="746">
      <x:c r="I746" s="22"/>
      <x:c r="J746" s="24"/>
      <x:c r="K746" s="24"/>
    </x:row>
    <x:row r="747">
      <x:c r="I747" s="22"/>
      <x:c r="J747" s="24"/>
      <x:c r="K747" s="24"/>
    </x:row>
    <x:row r="748">
      <x:c r="I748" s="22"/>
      <x:c r="J748" s="24"/>
      <x:c r="K748" s="24"/>
    </x:row>
    <x:row r="749">
      <x:c r="I749" s="22"/>
      <x:c r="J749" s="24"/>
      <x:c r="K749" s="24"/>
    </x:row>
    <x:row r="750">
      <x:c r="I750" s="22"/>
      <x:c r="J750" s="24"/>
      <x:c r="K750" s="24"/>
    </x:row>
    <x:row r="751">
      <x:c r="I751" s="22"/>
      <x:c r="J751" s="24"/>
      <x:c r="K751" s="24"/>
    </x:row>
    <x:row r="752">
      <x:c r="I752" s="22"/>
      <x:c r="J752" s="24"/>
      <x:c r="K752" s="24"/>
    </x:row>
    <x:row r="753">
      <x:c r="I753" s="22"/>
      <x:c r="J753" s="24"/>
      <x:c r="K753" s="24"/>
    </x:row>
    <x:row r="754">
      <x:c r="I754" s="22"/>
      <x:c r="J754" s="24"/>
      <x:c r="K754" s="24"/>
    </x:row>
    <x:row r="755">
      <x:c r="I755" s="22"/>
      <x:c r="J755" s="24"/>
      <x:c r="K755" s="24"/>
    </x:row>
    <x:row r="756">
      <x:c r="I756" s="22"/>
      <x:c r="J756" s="24"/>
      <x:c r="K756" s="24"/>
    </x:row>
    <x:row r="757">
      <x:c r="I757" s="22"/>
      <x:c r="J757" s="24"/>
      <x:c r="K757" s="24"/>
    </x:row>
    <x:row r="758">
      <x:c r="I758" s="22"/>
      <x:c r="J758" s="24"/>
      <x:c r="K758" s="24"/>
    </x:row>
    <x:row r="759">
      <x:c r="I759" s="22"/>
      <x:c r="J759" s="24"/>
      <x:c r="K759" s="24"/>
    </x:row>
    <x:row r="760">
      <x:c r="I760" s="22"/>
      <x:c r="J760" s="24"/>
      <x:c r="K760" s="24"/>
    </x:row>
    <x:row r="761">
      <x:c r="I761" s="22"/>
      <x:c r="J761" s="24"/>
      <x:c r="K761" s="24"/>
    </x:row>
    <x:row r="762">
      <x:c r="I762" s="22"/>
      <x:c r="J762" s="24"/>
      <x:c r="K762" s="24"/>
    </x:row>
    <x:row r="763">
      <x:c r="I763" s="22"/>
      <x:c r="J763" s="24"/>
      <x:c r="K763" s="24"/>
    </x:row>
    <x:row r="764">
      <x:c r="I764" s="22"/>
      <x:c r="J764" s="24"/>
      <x:c r="K764" s="24"/>
    </x:row>
    <x:row r="765">
      <x:c r="I765" s="22"/>
      <x:c r="J765" s="24"/>
      <x:c r="K765" s="24"/>
    </x:row>
    <x:row r="766">
      <x:c r="I766" s="22"/>
      <x:c r="J766" s="24"/>
      <x:c r="K766" s="24"/>
    </x:row>
    <x:row r="767">
      <x:c r="I767" s="22"/>
      <x:c r="J767" s="24"/>
      <x:c r="K767" s="24"/>
    </x:row>
    <x:row r="768">
      <x:c r="I768" s="22"/>
      <x:c r="J768" s="24"/>
      <x:c r="K768" s="24"/>
    </x:row>
    <x:row r="769">
      <x:c r="I769" s="22"/>
      <x:c r="J769" s="24"/>
      <x:c r="K769" s="24"/>
    </x:row>
    <x:row r="770">
      <x:c r="I770" s="22"/>
      <x:c r="J770" s="24"/>
      <x:c r="K770" s="24"/>
    </x:row>
    <x:row r="771">
      <x:c r="I771" s="22"/>
      <x:c r="J771" s="24"/>
      <x:c r="K771" s="24"/>
    </x:row>
    <x:row r="772">
      <x:c r="I772" s="22"/>
      <x:c r="J772" s="24"/>
      <x:c r="K772" s="24"/>
    </x:row>
    <x:row r="773">
      <x:c r="I773" s="22"/>
      <x:c r="J773" s="24"/>
      <x:c r="K773" s="24"/>
    </x:row>
    <x:row r="774">
      <x:c r="I774" s="22"/>
      <x:c r="J774" s="24"/>
      <x:c r="K774" s="24"/>
    </x:row>
    <x:row r="775">
      <x:c r="I775" s="22"/>
      <x:c r="J775" s="24"/>
      <x:c r="K775" s="24"/>
    </x:row>
    <x:row r="776">
      <x:c r="I776" s="22"/>
      <x:c r="J776" s="24"/>
      <x:c r="K776" s="24"/>
    </x:row>
    <x:row r="777">
      <x:c r="I777" s="22"/>
      <x:c r="J777" s="24"/>
      <x:c r="K777" s="24"/>
    </x:row>
    <x:row r="778">
      <x:c r="I778" s="22"/>
      <x:c r="J778" s="24"/>
      <x:c r="K778" s="24"/>
    </x:row>
    <x:row r="779">
      <x:c r="I779" s="22"/>
      <x:c r="J779" s="24"/>
      <x:c r="K779" s="24"/>
    </x:row>
    <x:row r="780">
      <x:c r="I780" s="22"/>
      <x:c r="J780" s="24"/>
      <x:c r="K780" s="24"/>
    </x:row>
    <x:row r="781">
      <x:c r="I781" s="22"/>
      <x:c r="J781" s="24"/>
      <x:c r="K781" s="24"/>
    </x:row>
    <x:row r="782">
      <x:c r="I782" s="22"/>
      <x:c r="J782" s="24"/>
      <x:c r="K782" s="24"/>
    </x:row>
    <x:row r="783">
      <x:c r="I783" s="22"/>
      <x:c r="J783" s="24"/>
      <x:c r="K783" s="24"/>
    </x:row>
    <x:row r="784">
      <x:c r="I784" s="22"/>
      <x:c r="J784" s="24"/>
      <x:c r="K784" s="24"/>
    </x:row>
    <x:row r="785">
      <x:c r="I785" s="22"/>
      <x:c r="J785" s="24"/>
      <x:c r="K785" s="24"/>
    </x:row>
    <x:row r="786">
      <x:c r="I786" s="22"/>
      <x:c r="J786" s="24"/>
      <x:c r="K786" s="24"/>
    </x:row>
    <x:row r="787">
      <x:c r="I787" s="22"/>
      <x:c r="J787" s="24"/>
      <x:c r="K787" s="24"/>
    </x:row>
    <x:row r="788">
      <x:c r="I788" s="22"/>
      <x:c r="J788" s="24"/>
      <x:c r="K788" s="24"/>
    </x:row>
    <x:row r="789">
      <x:c r="I789" s="22"/>
      <x:c r="J789" s="24"/>
      <x:c r="K789" s="24"/>
    </x:row>
    <x:row r="790">
      <x:c r="I790" s="22"/>
      <x:c r="J790" s="24"/>
      <x:c r="K790" s="24"/>
    </x:row>
    <x:row r="791">
      <x:c r="I791" s="22"/>
      <x:c r="J791" s="24"/>
      <x:c r="K791" s="24"/>
    </x:row>
    <x:row r="792">
      <x:c r="I792" s="22"/>
      <x:c r="J792" s="24"/>
      <x:c r="K792" s="24"/>
    </x:row>
    <x:row r="793">
      <x:c r="I793" s="22"/>
      <x:c r="J793" s="24"/>
      <x:c r="K793" s="24"/>
    </x:row>
    <x:row r="794">
      <x:c r="I794" s="22"/>
      <x:c r="J794" s="24"/>
      <x:c r="K794" s="24"/>
    </x:row>
    <x:row r="795">
      <x:c r="I795" s="22"/>
      <x:c r="J795" s="24"/>
      <x:c r="K795" s="24"/>
    </x:row>
    <x:row r="796">
      <x:c r="I796" s="22"/>
      <x:c r="J796" s="24"/>
      <x:c r="K796" s="24"/>
    </x:row>
    <x:row r="797">
      <x:c r="I797" s="22"/>
      <x:c r="J797" s="24"/>
      <x:c r="K797" s="24"/>
    </x:row>
    <x:row r="798">
      <x:c r="I798" s="22"/>
      <x:c r="J798" s="24"/>
      <x:c r="K798" s="24"/>
    </x:row>
    <x:row r="799">
      <x:c r="I799" s="22"/>
      <x:c r="J799" s="24"/>
      <x:c r="K799" s="24"/>
    </x:row>
    <x:row r="800">
      <x:c r="I800" s="22"/>
      <x:c r="J800" s="24"/>
      <x:c r="K800" s="24"/>
    </x:row>
    <x:row r="801">
      <x:c r="I801" s="22"/>
      <x:c r="J801" s="24"/>
      <x:c r="K801" s="24"/>
    </x:row>
    <x:row r="802">
      <x:c r="I802" s="22"/>
      <x:c r="J802" s="24"/>
      <x:c r="K802" s="24"/>
    </x:row>
    <x:row r="803">
      <x:c r="I803" s="22"/>
      <x:c r="J803" s="24"/>
      <x:c r="K803" s="24"/>
    </x:row>
    <x:row r="804">
      <x:c r="I804" s="22"/>
      <x:c r="J804" s="24"/>
      <x:c r="K804" s="24"/>
    </x:row>
    <x:row r="805">
      <x:c r="I805" s="22"/>
      <x:c r="J805" s="24"/>
      <x:c r="K805" s="24"/>
    </x:row>
    <x:row r="806">
      <x:c r="I806" s="22"/>
      <x:c r="J806" s="24"/>
      <x:c r="K806" s="24"/>
    </x:row>
    <x:row r="807">
      <x:c r="I807" s="22"/>
      <x:c r="J807" s="24"/>
      <x:c r="K807" s="24"/>
    </x:row>
    <x:row r="808">
      <x:c r="I808" s="22"/>
      <x:c r="J808" s="24"/>
      <x:c r="K808" s="24"/>
    </x:row>
    <x:row r="809">
      <x:c r="I809" s="22"/>
      <x:c r="J809" s="24"/>
      <x:c r="K809" s="24"/>
    </x:row>
    <x:row r="810">
      <x:c r="I810" s="22"/>
      <x:c r="J810" s="24"/>
      <x:c r="K810" s="24"/>
    </x:row>
    <x:row r="811">
      <x:c r="I811" s="22"/>
      <x:c r="J811" s="24"/>
      <x:c r="K811" s="24"/>
    </x:row>
    <x:row r="812">
      <x:c r="I812" s="22"/>
      <x:c r="J812" s="24"/>
      <x:c r="K812" s="24"/>
    </x:row>
    <x:row r="813">
      <x:c r="I813" s="22"/>
      <x:c r="J813" s="24"/>
      <x:c r="K813" s="24"/>
    </x:row>
    <x:row r="814">
      <x:c r="I814" s="22"/>
      <x:c r="J814" s="24"/>
      <x:c r="K814" s="24"/>
    </x:row>
    <x:row r="815">
      <x:c r="I815" s="22"/>
      <x:c r="J815" s="24"/>
      <x:c r="K815" s="24"/>
    </x:row>
    <x:row r="816">
      <x:c r="I816" s="22"/>
      <x:c r="J816" s="24"/>
      <x:c r="K816" s="24"/>
    </x:row>
    <x:row r="817">
      <x:c r="I817" s="22"/>
      <x:c r="J817" s="24"/>
      <x:c r="K817" s="24"/>
    </x:row>
    <x:row r="818">
      <x:c r="I818" s="22"/>
      <x:c r="J818" s="24"/>
      <x:c r="K818" s="24"/>
    </x:row>
    <x:row r="819">
      <x:c r="I819" s="22"/>
      <x:c r="J819" s="24"/>
      <x:c r="K819" s="24"/>
    </x:row>
    <x:row r="820">
      <x:c r="I820" s="22"/>
      <x:c r="J820" s="24"/>
      <x:c r="K820" s="24"/>
    </x:row>
    <x:row r="821">
      <x:c r="I821" s="22"/>
      <x:c r="J821" s="24"/>
      <x:c r="K821" s="24"/>
    </x:row>
    <x:row r="822">
      <x:c r="I822" s="22"/>
      <x:c r="J822" s="24"/>
      <x:c r="K822" s="24"/>
    </x:row>
    <x:row r="823">
      <x:c r="I823" s="22"/>
      <x:c r="J823" s="24"/>
      <x:c r="K823" s="24"/>
    </x:row>
    <x:row r="824">
      <x:c r="I824" s="22"/>
      <x:c r="J824" s="24"/>
      <x:c r="K824" s="24"/>
    </x:row>
    <x:row r="825">
      <x:c r="I825" s="22"/>
      <x:c r="J825" s="24"/>
      <x:c r="K825" s="24"/>
    </x:row>
    <x:row r="826">
      <x:c r="I826" s="22"/>
      <x:c r="J826" s="24"/>
      <x:c r="K826" s="24"/>
    </x:row>
    <x:row r="827">
      <x:c r="I827" s="22"/>
      <x:c r="J827" s="24"/>
      <x:c r="K827" s="24"/>
    </x:row>
    <x:row r="828">
      <x:c r="I828" s="22"/>
      <x:c r="J828" s="24"/>
      <x:c r="K828" s="24"/>
    </x:row>
    <x:row r="829">
      <x:c r="I829" s="22"/>
      <x:c r="J829" s="24"/>
      <x:c r="K829" s="24"/>
    </x:row>
    <x:row r="830">
      <x:c r="I830" s="22"/>
      <x:c r="J830" s="24"/>
      <x:c r="K830" s="24"/>
    </x:row>
    <x:row r="831">
      <x:c r="I831" s="22"/>
      <x:c r="J831" s="24"/>
      <x:c r="K831" s="24"/>
    </x:row>
    <x:row r="832">
      <x:c r="I832" s="22"/>
      <x:c r="J832" s="24"/>
      <x:c r="K832" s="24"/>
    </x:row>
    <x:row r="833">
      <x:c r="I833" s="22"/>
      <x:c r="J833" s="24"/>
      <x:c r="K833" s="24"/>
    </x:row>
    <x:row r="834">
      <x:c r="I834" s="22"/>
      <x:c r="J834" s="24"/>
      <x:c r="K834" s="24"/>
    </x:row>
    <x:row r="835">
      <x:c r="I835" s="22"/>
      <x:c r="J835" s="24"/>
      <x:c r="K835" s="24"/>
    </x:row>
    <x:row r="836">
      <x:c r="I836" s="22"/>
      <x:c r="J836" s="24"/>
      <x:c r="K836" s="24"/>
    </x:row>
    <x:row r="837">
      <x:c r="I837" s="22"/>
      <x:c r="J837" s="24"/>
      <x:c r="K837" s="24"/>
    </x:row>
    <x:row r="838">
      <x:c r="I838" s="22"/>
      <x:c r="J838" s="24"/>
      <x:c r="K838" s="24"/>
    </x:row>
    <x:row r="839">
      <x:c r="I839" s="22"/>
      <x:c r="J839" s="24"/>
      <x:c r="K839" s="24"/>
    </x:row>
    <x:row r="840">
      <x:c r="I840" s="22"/>
      <x:c r="J840" s="24"/>
      <x:c r="K840" s="24"/>
    </x:row>
    <x:row r="841">
      <x:c r="I841" s="22"/>
      <x:c r="J841" s="24"/>
      <x:c r="K841" s="24"/>
    </x:row>
    <x:row r="842">
      <x:c r="I842" s="22"/>
      <x:c r="J842" s="24"/>
      <x:c r="K842" s="24"/>
    </x:row>
    <x:row r="843">
      <x:c r="I843" s="22"/>
      <x:c r="J843" s="24"/>
      <x:c r="K843" s="24"/>
    </x:row>
    <x:row r="844">
      <x:c r="I844" s="22"/>
      <x:c r="J844" s="24"/>
      <x:c r="K844" s="24"/>
    </x:row>
    <x:row r="845">
      <x:c r="I845" s="22"/>
      <x:c r="J845" s="24"/>
      <x:c r="K845" s="24"/>
    </x:row>
    <x:row r="846">
      <x:c r="I846" s="22"/>
      <x:c r="J846" s="24"/>
      <x:c r="K846" s="24"/>
    </x:row>
    <x:row r="847">
      <x:c r="I847" s="22"/>
      <x:c r="J847" s="24"/>
      <x:c r="K847" s="24"/>
    </x:row>
    <x:row r="848">
      <x:c r="I848" s="22"/>
      <x:c r="J848" s="24"/>
      <x:c r="K848" s="24"/>
    </x:row>
    <x:row r="849">
      <x:c r="I849" s="22"/>
      <x:c r="J849" s="24"/>
      <x:c r="K849" s="24"/>
    </x:row>
    <x:row r="850">
      <x:c r="I850" s="22"/>
      <x:c r="J850" s="24"/>
      <x:c r="K850" s="24"/>
    </x:row>
    <x:row r="851">
      <x:c r="I851" s="22"/>
      <x:c r="J851" s="24"/>
      <x:c r="K851" s="24"/>
    </x:row>
    <x:row r="852">
      <x:c r="I852" s="22"/>
      <x:c r="J852" s="24"/>
      <x:c r="K852" s="24"/>
    </x:row>
    <x:row r="853">
      <x:c r="I853" s="22"/>
      <x:c r="J853" s="24"/>
      <x:c r="K853" s="24"/>
    </x:row>
    <x:row r="854">
      <x:c r="I854" s="22"/>
      <x:c r="J854" s="24"/>
      <x:c r="K854" s="24"/>
    </x:row>
    <x:row r="855">
      <x:c r="I855" s="22"/>
      <x:c r="J855" s="24"/>
      <x:c r="K855" s="24"/>
    </x:row>
    <x:row r="856">
      <x:c r="I856" s="22"/>
      <x:c r="J856" s="24"/>
      <x:c r="K856" s="24"/>
    </x:row>
    <x:row r="857">
      <x:c r="I857" s="22"/>
      <x:c r="J857" s="24"/>
      <x:c r="K857" s="24"/>
    </x:row>
    <x:row r="858">
      <x:c r="I858" s="22"/>
      <x:c r="J858" s="24"/>
      <x:c r="K858" s="24"/>
    </x:row>
    <x:row r="859">
      <x:c r="I859" s="22"/>
      <x:c r="J859" s="24"/>
      <x:c r="K859" s="24"/>
    </x:row>
    <x:row r="860">
      <x:c r="I860" s="22"/>
      <x:c r="J860" s="24"/>
      <x:c r="K860" s="24"/>
    </x:row>
    <x:row r="861">
      <x:c r="I861" s="22"/>
      <x:c r="J861" s="24"/>
      <x:c r="K861" s="24"/>
    </x:row>
    <x:row r="862">
      <x:c r="I862" s="22"/>
      <x:c r="J862" s="24"/>
      <x:c r="K862" s="24"/>
    </x:row>
    <x:row r="863">
      <x:c r="I863" s="22"/>
      <x:c r="J863" s="24"/>
      <x:c r="K863" s="24"/>
    </x:row>
    <x:row r="864">
      <x:c r="I864" s="22"/>
      <x:c r="J864" s="24"/>
      <x:c r="K864" s="24"/>
    </x:row>
    <x:row r="865">
      <x:c r="I865" s="22"/>
      <x:c r="J865" s="24"/>
      <x:c r="K865" s="24"/>
    </x:row>
    <x:row r="866">
      <x:c r="I866" s="22"/>
      <x:c r="J866" s="24"/>
      <x:c r="K866" s="24"/>
    </x:row>
    <x:row r="867">
      <x:c r="I867" s="22"/>
      <x:c r="J867" s="24"/>
      <x:c r="K867" s="24"/>
    </x:row>
    <x:row r="868">
      <x:c r="I868" s="22"/>
      <x:c r="J868" s="24"/>
      <x:c r="K868" s="24"/>
    </x:row>
    <x:row r="869">
      <x:c r="I869" s="22"/>
      <x:c r="J869" s="24"/>
      <x:c r="K869" s="24"/>
    </x:row>
    <x:row r="870">
      <x:c r="I870" s="22"/>
      <x:c r="J870" s="24"/>
      <x:c r="K870" s="24"/>
    </x:row>
    <x:row r="871">
      <x:c r="I871" s="22"/>
      <x:c r="J871" s="24"/>
      <x:c r="K871" s="24"/>
    </x:row>
    <x:row r="872">
      <x:c r="I872" s="22"/>
      <x:c r="J872" s="24"/>
      <x:c r="K872" s="24"/>
    </x:row>
    <x:row r="873">
      <x:c r="I873" s="22"/>
      <x:c r="J873" s="24"/>
      <x:c r="K873" s="24"/>
    </x:row>
    <x:row r="874">
      <x:c r="I874" s="22"/>
      <x:c r="J874" s="24"/>
      <x:c r="K874" s="24"/>
    </x:row>
    <x:row r="875">
      <x:c r="I875" s="22"/>
      <x:c r="J875" s="24"/>
      <x:c r="K875" s="24"/>
    </x:row>
    <x:row r="876">
      <x:c r="I876" s="22"/>
      <x:c r="J876" s="24"/>
      <x:c r="K876" s="24"/>
    </x:row>
    <x:row r="877">
      <x:c r="I877" s="22"/>
      <x:c r="J877" s="24"/>
      <x:c r="K877" s="24"/>
    </x:row>
    <x:row r="878">
      <x:c r="I878" s="22"/>
      <x:c r="J878" s="24"/>
      <x:c r="K878" s="24"/>
    </x:row>
    <x:row r="879">
      <x:c r="I879" s="22"/>
      <x:c r="J879" s="24"/>
      <x:c r="K879" s="24"/>
    </x:row>
    <x:row r="880">
      <x:c r="I880" s="22"/>
      <x:c r="J880" s="24"/>
      <x:c r="K880" s="24"/>
    </x:row>
    <x:row r="881">
      <x:c r="I881" s="22"/>
      <x:c r="J881" s="24"/>
      <x:c r="K881" s="24"/>
    </x:row>
    <x:row r="882">
      <x:c r="I882" s="22"/>
      <x:c r="J882" s="24"/>
      <x:c r="K882" s="24"/>
    </x:row>
    <x:row r="883">
      <x:c r="I883" s="22"/>
      <x:c r="J883" s="24"/>
      <x:c r="K883" s="24"/>
    </x:row>
    <x:row r="884">
      <x:c r="I884" s="22"/>
      <x:c r="J884" s="24"/>
      <x:c r="K884" s="24"/>
    </x:row>
    <x:row r="885">
      <x:c r="I885" s="22"/>
      <x:c r="J885" s="24"/>
      <x:c r="K885" s="24"/>
    </x:row>
    <x:row r="886">
      <x:c r="I886" s="22"/>
      <x:c r="J886" s="24"/>
      <x:c r="K886" s="24"/>
    </x:row>
    <x:row r="887">
      <x:c r="I887" s="22"/>
      <x:c r="J887" s="24"/>
      <x:c r="K887" s="24"/>
    </x:row>
    <x:row r="888">
      <x:c r="I888" s="22"/>
      <x:c r="J888" s="24"/>
      <x:c r="K888" s="24"/>
    </x:row>
    <x:row r="889">
      <x:c r="I889" s="22"/>
      <x:c r="J889" s="24"/>
      <x:c r="K889" s="24"/>
    </x:row>
    <x:row r="890">
      <x:c r="I890" s="22"/>
      <x:c r="J890" s="24"/>
      <x:c r="K890" s="24"/>
    </x:row>
    <x:row r="891">
      <x:c r="I891" s="22"/>
      <x:c r="J891" s="24"/>
      <x:c r="K891" s="24"/>
    </x:row>
    <x:row r="892">
      <x:c r="I892" s="22"/>
      <x:c r="J892" s="24"/>
      <x:c r="K892" s="24"/>
    </x:row>
    <x:row r="893">
      <x:c r="I893" s="22"/>
      <x:c r="J893" s="24"/>
      <x:c r="K893" s="24"/>
    </x:row>
    <x:row r="894">
      <x:c r="I894" s="22"/>
      <x:c r="J894" s="24"/>
      <x:c r="K894" s="24"/>
    </x:row>
    <x:row r="895">
      <x:c r="I895" s="22"/>
      <x:c r="J895" s="24"/>
      <x:c r="K895" s="24"/>
    </x:row>
    <x:row r="896">
      <x:c r="I896" s="22"/>
      <x:c r="J896" s="24"/>
      <x:c r="K896" s="24"/>
    </x:row>
    <x:row r="897">
      <x:c r="I897" s="22"/>
      <x:c r="J897" s="24"/>
      <x:c r="K897" s="24"/>
    </x:row>
    <x:row r="898">
      <x:c r="I898" s="22"/>
      <x:c r="J898" s="24"/>
      <x:c r="K898" s="24"/>
    </x:row>
    <x:row r="899">
      <x:c r="I899" s="22"/>
      <x:c r="J899" s="24"/>
      <x:c r="K899" s="24"/>
    </x:row>
    <x:row r="900">
      <x:c r="I900" s="22"/>
      <x:c r="J900" s="24"/>
      <x:c r="K900" s="24"/>
    </x:row>
    <x:row r="901">
      <x:c r="I901" s="22"/>
      <x:c r="J901" s="24"/>
      <x:c r="K901" s="24"/>
    </x:row>
    <x:row r="902">
      <x:c r="I902" s="22"/>
      <x:c r="J902" s="24"/>
      <x:c r="K902" s="24"/>
    </x:row>
    <x:row r="903">
      <x:c r="I903" s="22"/>
      <x:c r="J903" s="24"/>
      <x:c r="K903" s="24"/>
    </x:row>
    <x:row r="904">
      <x:c r="I904" s="22"/>
      <x:c r="J904" s="24"/>
      <x:c r="K904" s="24"/>
    </x:row>
    <x:row r="905">
      <x:c r="I905" s="22"/>
      <x:c r="J905" s="24"/>
      <x:c r="K905" s="24"/>
    </x:row>
    <x:row r="906">
      <x:c r="I906" s="22"/>
      <x:c r="J906" s="24"/>
      <x:c r="K906" s="24"/>
    </x:row>
    <x:row r="907">
      <x:c r="I907" s="22"/>
      <x:c r="J907" s="24"/>
      <x:c r="K907" s="24"/>
    </x:row>
    <x:row r="908">
      <x:c r="I908" s="22"/>
      <x:c r="J908" s="24"/>
      <x:c r="K908" s="24"/>
    </x:row>
    <x:row r="909">
      <x:c r="I909" s="22"/>
      <x:c r="J909" s="24"/>
      <x:c r="K909" s="24"/>
    </x:row>
    <x:row r="910">
      <x:c r="I910" s="22"/>
      <x:c r="J910" s="24"/>
      <x:c r="K910" s="24"/>
    </x:row>
    <x:row r="911">
      <x:c r="I911" s="22"/>
      <x:c r="J911" s="24"/>
      <x:c r="K911" s="24"/>
    </x:row>
    <x:row r="912">
      <x:c r="I912" s="22"/>
      <x:c r="J912" s="24"/>
      <x:c r="K912" s="24"/>
    </x:row>
    <x:row r="913">
      <x:c r="I913" s="22"/>
      <x:c r="J913" s="24"/>
      <x:c r="K913" s="24"/>
    </x:row>
    <x:row r="914">
      <x:c r="I914" s="22"/>
      <x:c r="J914" s="24"/>
      <x:c r="K914" s="24"/>
    </x:row>
    <x:row r="915">
      <x:c r="I915" s="22"/>
      <x:c r="J915" s="24"/>
      <x:c r="K915" s="24"/>
    </x:row>
    <x:row r="916">
      <x:c r="I916" s="22"/>
      <x:c r="J916" s="24"/>
      <x:c r="K916" s="24"/>
    </x:row>
    <x:row r="917">
      <x:c r="I917" s="22"/>
      <x:c r="J917" s="24"/>
      <x:c r="K917" s="24"/>
    </x:row>
    <x:row r="918">
      <x:c r="I918" s="22"/>
      <x:c r="J918" s="24"/>
      <x:c r="K918" s="24"/>
    </x:row>
    <x:row r="919">
      <x:c r="I919" s="22"/>
      <x:c r="J919" s="24"/>
      <x:c r="K919" s="24"/>
    </x:row>
    <x:row r="920">
      <x:c r="I920" s="22"/>
      <x:c r="J920" s="24"/>
      <x:c r="K920" s="24"/>
    </x:row>
    <x:row r="921">
      <x:c r="I921" s="22"/>
      <x:c r="J921" s="24"/>
      <x:c r="K921" s="24"/>
    </x:row>
    <x:row r="922">
      <x:c r="I922" s="22"/>
      <x:c r="J922" s="24"/>
      <x:c r="K922" s="24"/>
    </x:row>
    <x:row r="923">
      <x:c r="I923" s="22"/>
      <x:c r="J923" s="24"/>
      <x:c r="K923" s="24"/>
    </x:row>
    <x:row r="924">
      <x:c r="I924" s="22"/>
      <x:c r="J924" s="24"/>
      <x:c r="K924" s="24"/>
    </x:row>
    <x:row r="925">
      <x:c r="I925" s="22"/>
      <x:c r="J925" s="24"/>
      <x:c r="K925" s="24"/>
    </x:row>
    <x:row r="926">
      <x:c r="I926" s="22"/>
      <x:c r="J926" s="24"/>
      <x:c r="K926" s="24"/>
    </x:row>
    <x:row r="927">
      <x:c r="I927" s="22"/>
      <x:c r="J927" s="24"/>
      <x:c r="K927" s="24"/>
    </x:row>
    <x:row r="928">
      <x:c r="I928" s="22"/>
      <x:c r="J928" s="24"/>
      <x:c r="K928" s="24"/>
    </x:row>
    <x:row r="929">
      <x:c r="I929" s="22"/>
      <x:c r="J929" s="24"/>
      <x:c r="K929" s="24"/>
    </x:row>
    <x:row r="930">
      <x:c r="I930" s="22"/>
      <x:c r="J930" s="24"/>
      <x:c r="K930" s="24"/>
    </x:row>
    <x:row r="931">
      <x:c r="I931" s="22"/>
      <x:c r="J931" s="24"/>
      <x:c r="K931" s="24"/>
    </x:row>
    <x:row r="932">
      <x:c r="I932" s="22"/>
      <x:c r="J932" s="24"/>
      <x:c r="K932" s="24"/>
    </x:row>
    <x:row r="933">
      <x:c r="I933" s="22"/>
      <x:c r="J933" s="24"/>
      <x:c r="K933" s="24"/>
    </x:row>
    <x:row r="934">
      <x:c r="I934" s="22"/>
      <x:c r="J934" s="24"/>
      <x:c r="K934" s="24"/>
    </x:row>
    <x:row r="935">
      <x:c r="I935" s="22"/>
      <x:c r="J935" s="24"/>
      <x:c r="K935" s="24"/>
    </x:row>
    <x:row r="936">
      <x:c r="I936" s="22"/>
      <x:c r="J936" s="24"/>
      <x:c r="K936" s="24"/>
    </x:row>
    <x:row r="937">
      <x:c r="I937" s="22"/>
      <x:c r="J937" s="24"/>
      <x:c r="K937" s="24"/>
    </x:row>
    <x:row r="938">
      <x:c r="I938" s="22"/>
      <x:c r="J938" s="24"/>
      <x:c r="K938" s="24"/>
    </x:row>
    <x:row r="939">
      <x:c r="I939" s="22"/>
      <x:c r="J939" s="24"/>
      <x:c r="K939" s="24"/>
    </x:row>
    <x:row r="940">
      <x:c r="I940" s="22"/>
      <x:c r="J940" s="24"/>
      <x:c r="K940" s="24"/>
    </x:row>
    <x:row r="941">
      <x:c r="I941" s="22"/>
      <x:c r="J941" s="24"/>
      <x:c r="K941" s="24"/>
    </x:row>
    <x:row r="942">
      <x:c r="I942" s="22"/>
      <x:c r="J942" s="24"/>
      <x:c r="K942" s="24"/>
    </x:row>
    <x:row r="943">
      <x:c r="I943" s="22"/>
      <x:c r="J943" s="24"/>
      <x:c r="K943" s="24"/>
    </x:row>
    <x:row r="944">
      <x:c r="I944" s="22"/>
      <x:c r="J944" s="24"/>
      <x:c r="K944" s="24"/>
    </x:row>
    <x:row r="945">
      <x:c r="I945" s="22"/>
      <x:c r="J945" s="24"/>
      <x:c r="K945" s="24"/>
    </x:row>
    <x:row r="946">
      <x:c r="I946" s="22"/>
      <x:c r="J946" s="24"/>
      <x:c r="K946" s="24"/>
    </x:row>
    <x:row r="947">
      <x:c r="I947" s="22"/>
      <x:c r="J947" s="24"/>
      <x:c r="K947" s="24"/>
    </x:row>
    <x:row r="948">
      <x:c r="I948" s="22"/>
      <x:c r="J948" s="24"/>
      <x:c r="K948" s="24"/>
    </x:row>
    <x:row r="949">
      <x:c r="I949" s="22"/>
      <x:c r="J949" s="24"/>
      <x:c r="K949" s="24"/>
    </x:row>
    <x:row r="950">
      <x:c r="I950" s="22"/>
      <x:c r="J950" s="24"/>
      <x:c r="K950" s="24"/>
    </x:row>
    <x:row r="951">
      <x:c r="I951" s="22"/>
      <x:c r="J951" s="24"/>
      <x:c r="K951" s="24"/>
    </x:row>
    <x:row r="952">
      <x:c r="I952" s="22"/>
      <x:c r="J952" s="24"/>
      <x:c r="K952" s="24"/>
    </x:row>
    <x:row r="953">
      <x:c r="I953" s="22"/>
      <x:c r="J953" s="24"/>
      <x:c r="K953" s="24"/>
    </x:row>
    <x:row r="954">
      <x:c r="I954" s="22"/>
      <x:c r="J954" s="24"/>
      <x:c r="K954" s="24"/>
    </x:row>
    <x:row r="955">
      <x:c r="I955" s="22"/>
      <x:c r="J955" s="24"/>
      <x:c r="K955" s="24"/>
    </x:row>
    <x:row r="956">
      <x:c r="I956" s="22"/>
      <x:c r="J956" s="24"/>
      <x:c r="K956" s="24"/>
    </x:row>
    <x:row r="957">
      <x:c r="I957" s="22"/>
      <x:c r="J957" s="24"/>
      <x:c r="K957" s="24"/>
    </x:row>
    <x:row r="958">
      <x:c r="I958" s="22"/>
      <x:c r="J958" s="24"/>
      <x:c r="K958" s="24"/>
    </x:row>
    <x:row r="959">
      <x:c r="I959" s="22"/>
      <x:c r="J959" s="24"/>
      <x:c r="K959" s="24"/>
    </x:row>
    <x:row r="960">
      <x:c r="I960" s="22"/>
      <x:c r="J960" s="24"/>
      <x:c r="K960" s="24"/>
    </x:row>
    <x:row r="961">
      <x:c r="I961" s="22"/>
      <x:c r="J961" s="24"/>
      <x:c r="K961" s="24"/>
    </x:row>
    <x:row r="962">
      <x:c r="I962" s="22"/>
      <x:c r="J962" s="24"/>
      <x:c r="K962" s="24"/>
    </x:row>
    <x:row r="963">
      <x:c r="I963" s="22"/>
      <x:c r="J963" s="24"/>
      <x:c r="K963" s="24"/>
    </x:row>
    <x:row r="964">
      <x:c r="I964" s="22"/>
      <x:c r="J964" s="24"/>
      <x:c r="K964" s="24"/>
    </x:row>
    <x:row r="965">
      <x:c r="I965" s="22"/>
      <x:c r="J965" s="24"/>
      <x:c r="K965" s="24"/>
    </x:row>
    <x:row r="966">
      <x:c r="I966" s="22"/>
      <x:c r="J966" s="24"/>
      <x:c r="K966" s="24"/>
    </x:row>
    <x:row r="967">
      <x:c r="I967" s="22"/>
      <x:c r="J967" s="24"/>
      <x:c r="K967" s="24"/>
    </x:row>
    <x:row r="968">
      <x:c r="I968" s="22"/>
      <x:c r="J968" s="24"/>
      <x:c r="K968" s="24"/>
    </x:row>
    <x:row r="969">
      <x:c r="I969" s="22"/>
      <x:c r="J969" s="24"/>
      <x:c r="K969" s="24"/>
    </x:row>
    <x:row r="970">
      <x:c r="I970" s="22"/>
      <x:c r="J970" s="24"/>
      <x:c r="K970" s="24"/>
    </x:row>
    <x:row r="971">
      <x:c r="I971" s="22"/>
      <x:c r="J971" s="24"/>
      <x:c r="K971" s="24"/>
    </x:row>
    <x:row r="972">
      <x:c r="I972" s="22"/>
      <x:c r="J972" s="24"/>
      <x:c r="K972" s="24"/>
    </x:row>
    <x:row r="973">
      <x:c r="I973" s="22"/>
      <x:c r="J973" s="24"/>
      <x:c r="K973" s="24"/>
    </x:row>
    <x:row r="974">
      <x:c r="I974" s="22"/>
      <x:c r="J974" s="24"/>
      <x:c r="K974" s="24"/>
    </x:row>
    <x:row r="975">
      <x:c r="I975" s="22"/>
      <x:c r="J975" s="24"/>
      <x:c r="K975" s="24"/>
    </x:row>
    <x:row r="976">
      <x:c r="I976" s="22"/>
      <x:c r="J976" s="24"/>
      <x:c r="K976" s="24"/>
    </x:row>
    <x:row r="977">
      <x:c r="I977" s="22"/>
      <x:c r="J977" s="24"/>
      <x:c r="K977" s="24"/>
    </x:row>
    <x:row r="978">
      <x:c r="I978" s="22"/>
      <x:c r="J978" s="24"/>
      <x:c r="K978" s="24"/>
    </x:row>
    <x:row r="979">
      <x:c r="I979" s="22"/>
      <x:c r="J979" s="24"/>
      <x:c r="K979" s="24"/>
    </x:row>
    <x:row r="980">
      <x:c r="I980" s="22"/>
      <x:c r="J980" s="24"/>
      <x:c r="K980" s="24"/>
    </x:row>
    <x:row r="981">
      <x:c r="I981" s="22"/>
      <x:c r="J981" s="24"/>
      <x:c r="K981" s="24"/>
    </x:row>
    <x:row r="982">
      <x:c r="I982" s="22"/>
      <x:c r="J982" s="24"/>
      <x:c r="K982" s="24"/>
    </x:row>
    <x:row r="983">
      <x:c r="I983" s="22"/>
      <x:c r="J983" s="24"/>
      <x:c r="K983" s="24"/>
    </x:row>
    <x:row r="984">
      <x:c r="I984" s="22"/>
      <x:c r="J984" s="24"/>
      <x:c r="K984" s="24"/>
    </x:row>
    <x:row r="985">
      <x:c r="I985" s="22"/>
      <x:c r="J985" s="24"/>
      <x:c r="K985" s="24"/>
    </x:row>
    <x:row r="986">
      <x:c r="I986" s="22"/>
      <x:c r="J986" s="24"/>
      <x:c r="K986" s="24"/>
    </x:row>
    <x:row r="987">
      <x:c r="I987" s="22"/>
      <x:c r="J987" s="24"/>
      <x:c r="K987" s="24"/>
    </x:row>
    <x:row r="988">
      <x:c r="I988" s="22"/>
      <x:c r="J988" s="24"/>
      <x:c r="K988" s="24"/>
    </x:row>
    <x:row r="989">
      <x:c r="I989" s="22"/>
      <x:c r="J989" s="24"/>
      <x:c r="K989" s="24"/>
    </x:row>
    <x:row r="990">
      <x:c r="I990" s="22"/>
      <x:c r="J990" s="24"/>
      <x:c r="K990" s="24"/>
    </x:row>
    <x:row r="991">
      <x:c r="I991" s="22"/>
      <x:c r="J991" s="24"/>
      <x:c r="K991" s="24"/>
    </x:row>
    <x:row r="992">
      <x:c r="I992" s="22"/>
      <x:c r="J992" s="24"/>
      <x:c r="K992" s="24"/>
    </x:row>
    <x:row r="993">
      <x:c r="I993" s="22"/>
      <x:c r="J993" s="24"/>
      <x:c r="K993" s="24"/>
    </x:row>
    <x:row r="994">
      <x:c r="I994" s="22"/>
      <x:c r="J994" s="24"/>
      <x:c r="K994" s="24"/>
    </x:row>
    <x:row r="995">
      <x:c r="I995" s="22"/>
      <x:c r="J995" s="24"/>
      <x:c r="K995" s="24"/>
    </x:row>
    <x:row r="996">
      <x:c r="I996" s="22"/>
      <x:c r="J996" s="24"/>
      <x:c r="K996" s="24"/>
    </x:row>
    <x:row r="997">
      <x:c r="I997" s="22"/>
      <x:c r="J997" s="24"/>
      <x:c r="K997" s="24"/>
    </x:row>
    <x:row r="998">
      <x:c r="I998" s="22"/>
      <x:c r="J998" s="24"/>
      <x:c r="K998" s="24"/>
    </x:row>
    <x:row r="999">
      <x:c r="I999" s="22"/>
      <x:c r="J999" s="24"/>
      <x:c r="K999" s="24"/>
    </x:row>
    <x:row r="1000">
      <x:c r="I1000" s="22"/>
      <x:c r="J1000" s="24"/>
      <x:c r="K1000" s="24"/>
    </x:row>
  </x:sheetData>
  <x:dataValidations count="2">
    <x:dataValidation type="list" sqref="E2:E1000">
      <x:formula1>"0,1,2,3,4,5,6,7"</x:formula1>
    </x:dataValidation>
    <x:dataValidation type="list" sqref="M2:Q1000">
      <x:formula1>"0,1,2,3"</x:formula1>
    </x:dataValidation>
  </x:dataValidations>
  <x:pageMargins left="0.7" right="0.7" top="0.75" bottom="0.75" header="0.3" footer="0.3"/>
  <x:tableParts count="1">
    <x:tablePart xmlns:r="http://schemas.openxmlformats.org/officeDocument/2006/relationships" r:id="R2ec20559ffaf47c1"/>
  </x:tableParts>
</x:worksheet>
</file>

<file path=xl/worksheets/sheet7.xml><?xml version="1.0" encoding="utf-8"?>
<x:worksheet xmlns:x="http://schemas.openxmlformats.org/spreadsheetml/2006/main">
  <x:sheetFormatPr defaultRowHeight="15"/>
  <x:cols>
    <x:col min="1" max="1" width="10" hidden="0" customWidth="1"/>
    <x:col min="2" max="2" width="24" hidden="0" customWidth="1"/>
    <x:col min="3" max="3" width="58" hidden="0" customWidth="1"/>
    <x:col min="4" max="4" width="32" hidden="0" customWidth="1"/>
    <x:col min="5" max="5" width="45" hidden="0" customWidth="1"/>
    <x:col min="6" max="6" width="45" hidden="0" customWidth="1"/>
    <x:col min="7" max="7" width="16" hidden="0" customWidth="1"/>
    <x:col min="8" max="8" width="15" hidden="0" customWidth="1"/>
    <x:col min="9" max="9" width="45" hidden="0" customWidth="1"/>
    <x:col min="10" max="10" width="38" hidden="0" customWidth="1"/>
    <x:col min="11" max="11" width="48" hidden="0" customWidth="1"/>
  </x:cols>
  <x:sheetData>
    <x:row r="1">
      <x:c r="A1" s="14" t="str">
        <x:v>Gap_ID</x:v>
      </x:c>
      <x:c r="B1" s="14" t="str">
        <x:v>Khâu quản trị</x:v>
      </x:c>
      <x:c r="C1" s="14" t="str">
        <x:v>Yêu cầu/quy định nội bộ</x:v>
      </x:c>
      <x:c r="D1" s="14" t="str">
        <x:v>Nguồn quy định</x:v>
      </x:c>
      <x:c r="E1" s="14" t="str">
        <x:v>Bằng chứng thực tế cần thu</x:v>
      </x:c>
      <x:c r="F1" s="14" t="str">
        <x:v>Bằng chứng hiện có</x:v>
      </x:c>
      <x:c r="G1" s="14" t="str">
        <x:v>Mức tuân thủ (0-2)</x:v>
      </x:c>
      <x:c r="H1" s="14" t="str">
        <x:v>Mức độ rủi ro</x:v>
      </x:c>
      <x:c r="I1" s="14" t="str">
        <x:v>Khoảng cách sơ bộ</x:v>
      </x:c>
      <x:c r="J1" s="14" t="str">
        <x:v>Dữ liệu cần xin thêm</x:v>
      </x:c>
      <x:c r="K1" s="14" t="str">
        <x:v>Khuyến nghị kiểm tra</x:v>
      </x:c>
    </x:row>
    <x:row r="2">
      <x:c r="A2" t="str">
        <x:v>G01</x:v>
      </x:c>
      <x:c r="B2" t="str">
        <x:v>Nhận diện và kiểm kê TSTT</x:v>
      </x:c>
      <x:c r="C2" t="str">
        <x:v>Quy chế quản trị TSTT bao quát tạo lập, xác lập, bảo vệ và khai thác thương mại TSTT; cần có cơ chế nhận diện TSTT phát sinh.</x:v>
      </x:c>
      <x:c r="D2" t="str">
        <x:v>QC SHTT ĐHTĐ.docx</x:v>
      </x:c>
      <x:c r="E2" t="str">
        <x:v>Sổ/CSDL TSTT, phiếu khai báo, hồ sơ nhận diện</x:v>
      </x:c>
      <x:c r="F2" t="str">
        <x:v>Người dùng xác nhận hiện không có phiếu khai báo/biên bản nhận diện hoặc sổ/CSDL tương đương.</x:v>
      </x:c>
      <x:c r="G2"/>
      <x:c r="H2" t="str">
        <x:v>Cao</x:v>
      </x:c>
      <x:c r="I2" t="str">
        <x:v>Khoảng trống về tài liệu hóa và khả năng truy vết khâu nhận diện; chưa đủ căn cứ để kết luận hoạt động nhận diện không diễn ra.</x:v>
      </x:c>
      <x:c r="J2" t="str">
        <x:v>CSDL/sổ đăng ký TSTT</x:v>
      </x:c>
      <x:c r="K2" t="str">
        <x:v>Kiểm tra có danh mục TSTT tập trung và thời điểm ghi nhận.</x:v>
      </x:c>
    </x:row>
    <x:row r="3">
      <x:c r="A3" t="str">
        <x:v>G02</x:v>
      </x:c>
      <x:c r="B3" t="str">
        <x:v>Xác định chủ sở hữu</x:v>
      </x:c>
      <x:c r="C3" t="str">
        <x:v>Quy chế KHCN 2021 quy định quyền SHTT đối với kết quả nghiên cứu đề tài thuộc Trường; tác giả hưởng quyền tác giả và các bên thỏa thuận quyền nộp đơn/phân chia lợi ích.</x:v>
      </x:c>
      <x:c r="D3" t="str">
        <x:v>QĐ 213/QĐ-ĐHTĐ 2021</x:v>
      </x:c>
      <x:c r="E3" t="str">
        <x:v>Hợp đồng/thuyết minh/biên bản xác định chủ sở hữu từng đề tài</x:v>
      </x:c>
      <x:c r="F3" t="str">
        <x:v>Có quy định chung; chưa đối chiếu hồ sơ từng dự án</x:v>
      </x:c>
      <x:c r="G3"/>
      <x:c r="H3" t="str">
        <x:v>Cao</x:v>
      </x:c>
      <x:c r="I3" t="str">
        <x:v>Có nguy cơ gap giữa quy định chung và hồ sơ cụ thể</x:v>
      </x:c>
      <x:c r="J3" t="str">
        <x:v>Hợp đồng đề tài; thỏa thuận đồng sở hữu</x:v>
      </x:c>
      <x:c r="K3" t="str">
        <x:v>Lấy mẫu 10–20 đề tài có sản phẩm ứng dụng để audit.</x:v>
      </x:c>
    </x:row>
    <x:row r="4">
      <x:c r="A4" t="str">
        <x:v>G03</x:v>
      </x:c>
      <x:c r="B4" t="str">
        <x:v>Bảo mật trước công bố</x:v>
      </x:c>
      <x:c r="C4" t="str">
        <x:v>Quy chế KHCN 2021 yêu cầu bảo mật kết quả; phổ biến/sử dụng phải có thỏa thuận bằng văn bản trong trường hợp thuộc phạm vi điều chỉnh.</x:v>
      </x:c>
      <x:c r="D4" t="str">
        <x:v>QĐ 213/QĐ-ĐHTĐ 2021</x:v>
      </x:c>
      <x:c r="E4" t="str">
        <x:v>Ngày công bố bài báo vs ngày sàng lọc/nộp đơn</x:v>
      </x:c>
      <x:c r="F4" t="str">
        <x:v>Có các đề tài vừa có bài báo vừa dự kiến đăng ký GPHI</x:v>
      </x:c>
      <x:c r="G4"/>
      <x:c r="H4" t="str">
        <x:v>Cao</x:v>
      </x:c>
      <x:c r="I4" t="str">
        <x:v>Có rủi ro công bố trước khi hoàn tất sàng lọc IP</x:v>
      </x:c>
      <x:c r="J4" t="str">
        <x:v>Ngày accepted/published và ngày nộp đơn</x:v>
      </x:c>
      <x:c r="K4" t="str">
        <x:v>Ưu tiên audit P2025-06 và P2025-07.</x:v>
      </x:c>
    </x:row>
    <x:row r="5">
      <x:c r="A5" t="str">
        <x:v>G04</x:v>
      </x:c>
      <x:c r="B5" t="str">
        <x:v>Đăng ký xác lập quyền</x:v>
      </x:c>
      <x:c r="C5" t="str">
        <x:v>Cần thống nhất quyền nộp đơn và thực hiện đăng ký khi có tài sản đủ điều kiện.</x:v>
      </x:c>
      <x:c r="D5" t="str">
        <x:v>QĐ 213/QĐ-ĐHTĐ 2021; QC SHTT</x:v>
      </x:c>
      <x:c r="E5" t="str">
        <x:v>Số đơn, ngày nộp, trạng thái, chủ đơn</x:v>
      </x:c>
      <x:c r="F5" t="str">
        <x:v>Có danh sách đơn/văn bằng tổng hợp, nhưng người dùng xác nhận không có hồ sơ sàng lọc/tra cứu khả năng bảo hộ.</x:v>
      </x:c>
      <x:c r="G5"/>
      <x:c r="H5" t="str">
        <x:v>Cao</x:v>
      </x:c>
      <x:c r="I5" t="str">
        <x:v>Có đầu ra được bảo hộ/đang xử lý nhưng thiếu hồ sơ giải thích quyết định chọn đối tượng, loại quyền và thời điểm nộp.</x:v>
      </x:c>
      <x:c r="J5" t="str">
        <x:v>Danh sách đơn SHTT của Trường</x:v>
      </x:c>
      <x:c r="K5" t="str">
        <x:v>Đối chiếu từng IP_ID với dữ liệu/hồ sơ trường.</x:v>
      </x:c>
    </x:row>
    <x:row r="6">
      <x:c r="A6" t="str">
        <x:v>G05</x:v>
      </x:c>
      <x:c r="B6" t="str">
        <x:v>Ứng dụng/chuyển giao</x:v>
      </x:c>
      <x:c r="C6" t="str">
        <x:v>Quy chế KHCN quy định chuyển giao và phân chia lợi ích; sản phẩm hợp tác DN phải tuân thủ hợp đồng và quyền SHTT.</x:v>
      </x:c>
      <x:c r="D6" t="str">
        <x:v>QĐ 213/QĐ-ĐHTĐ 2021</x:v>
      </x:c>
      <x:c r="E6" t="str">
        <x:v>Hợp đồng chuyển giao, biên bản bàn giao, đối tác, doanh thu</x:v>
      </x:c>
      <x:c r="F6" t="str">
        <x:v>Người dùng xác nhận không có hợp đồng chuyển giao/cấp phép/biên bản thương mại hóa trong bộ hồ sơ hiện có.</x:v>
      </x:c>
      <x:c r="G6"/>
      <x:c r="H6" t="str">
        <x:v>Cao</x:v>
      </x:c>
      <x:c r="I6" t="str">
        <x:v>Không thể xác nhận giao dịch thương mại chỉ từ mô tả 'chuyển giao/ứng dụng' trong hồ sơ nghiệm thu.</x:v>
      </x:c>
      <x:c r="J6" t="str">
        <x:v>Hợp đồng/biên bản/doanh thu</x:v>
      </x:c>
      <x:c r="K6" t="str">
        <x:v>Phân biệt chuyển giao nội bộ, cấp phép, bán sản phẩm, CGCN ra ngoài.</x:v>
      </x:c>
    </x:row>
    <x:row r="7">
      <x:c r="A7" t="str">
        <x:v>G06</x:v>
      </x:c>
      <x:c r="B7" t="str">
        <x:v>Phân chia lợi ích</x:v>
      </x:c>
      <x:c r="C7" t="str">
        <x:v>Quy chế KHCN 2021 có tỷ lệ phân chia lợi nhuận cho một số trường hợp thương mại hóa/chuyển giao.</x:v>
      </x:c>
      <x:c r="D7" t="str">
        <x:v>QĐ 213/QĐ-ĐHTĐ 2021</x:v>
      </x:c>
      <x:c r="E7" t="str">
        <x:v>Chứng từ phân chia lợi ích thực tế</x:v>
      </x:c>
      <x:c r="F7" t="str">
        <x:v>Chưa có trong bộ dữ liệu</x:v>
      </x:c>
      <x:c r="G7"/>
      <x:c r="H7" t="str">
        <x:v>Trung bình</x:v>
      </x:c>
      <x:c r="I7" t="str">
        <x:v>Chưa đánh giá</x:v>
      </x:c>
      <x:c r="J7" t="str">
        <x:v>Hồ sơ tài chính, quyết định chi</x:v>
      </x:c>
      <x:c r="K7" t="str">
        <x:v>Kiểm tra đã từng kích hoạt cơ chế này chưa.</x:v>
      </x:c>
    </x:row>
    <x:row r="8">
      <x:c r="A8" t="str">
        <x:v>G07</x:v>
      </x:c>
      <x:c r="B8" t="str">
        <x:v>Định giá TSTT</x:v>
      </x:c>
      <x:c r="C8" t="str">
        <x:v>Đề cương nghiên cứu đặt vấn đề hiệu quả quản lý/bảo hộ/thương mại hóa; dữ liệu hiện chưa cho thấy quy trình định giá.</x:v>
      </x:c>
      <x:c r="D8" t="str">
        <x:v>Đề xuất KHCN 2026 + hồ sơ nội bộ cần kiểm chứng</x:v>
      </x:c>
      <x:c r="E8" t="str">
        <x:v>Hồ sơ thẩm định/định giá, tiêu chí lựa chọn</x:v>
      </x:c>
      <x:c r="F8" t="str">
        <x:v>Chưa có trong bộ dữ liệu</x:v>
      </x:c>
      <x:c r="G8"/>
      <x:c r="H8" t="str">
        <x:v>Trung bình</x:v>
      </x:c>
      <x:c r="I8" t="str">
        <x:v>Có thể là khoảng trống quản trị</x:v>
      </x:c>
      <x:c r="J8" t="str">
        <x:v>Biên bản định giá/thẩm định</x:v>
      </x:c>
      <x:c r="K8" t="str">
        <x:v>Không kết luận 'không có' trước khi kiểm tra hồ sơ tài chính/pháp chế.</x:v>
      </x:c>
    </x:row>
    <x:row r="9">
      <x:c r="A9" t="str">
        <x:v>G08</x:v>
      </x:c>
      <x:c r="B9" t="str">
        <x:v>Theo dõi vòng đời quyền</x:v>
      </x:c>
      <x:c r="C9" t="str">
        <x:v>Quản trị TSTT cần theo dõi tình trạng đơn/văn bằng và khai thác.</x:v>
      </x:c>
      <x:c r="D9" t="str">
        <x:v>QC SHTT ĐHTĐ.docx</x:v>
      </x:c>
      <x:c r="E9" t="str">
        <x:v>Ngày nộp/cấp/gia hạn/hết hạn/chi phí</x:v>
      </x:c>
      <x:c r="F9" t="str">
        <x:v>Bảng thống kê văn bằng hiện mới là ảnh/danh sách rời</x:v>
      </x:c>
      <x:c r="G9"/>
      <x:c r="H9" t="str">
        <x:v>Trung bình</x:v>
      </x:c>
      <x:c r="I9" t="str">
        <x:v>Dữ liệu phân tán</x:v>
      </x:c>
      <x:c r="J9" t="str">
        <x:v>Sổ theo dõi văn bằng</x:v>
      </x:c>
      <x:c r="K9" t="str">
        <x:v>Chuẩn hóa thành PROTECTION table.</x:v>
      </x:c>
    </x:row>
    <x:row r="10">
      <x:c r="A10" t="str">
        <x:v>G09</x:v>
      </x:c>
      <x:c r="B10" t="str">
        <x:v>Liên kết ĐH-DN</x:v>
      </x:c>
      <x:c r="C10" t="str">
        <x:v>Quy chế KHCN khuyến khích hợp tác nghiên cứu, chuyển giao công nghệ với doanh nghiệp.</x:v>
      </x:c>
      <x:c r="D10" t="str">
        <x:v>QĐ 213/QĐ-ĐHTĐ 2021</x:v>
      </x:c>
      <x:c r="E10" t="str">
        <x:v>Hợp đồng hợp tác, contribution, điều khoản IP</x:v>
      </x:c>
      <x:c r="F10" t="str">
        <x:v>Một số đề tài có yếu tố hợp tác ĐH-DN</x:v>
      </x:c>
      <x:c r="G10"/>
      <x:c r="H10" t="str">
        <x:v>Trung bình</x:v>
      </x:c>
      <x:c r="I10" t="str">
        <x:v>Chưa biết điều khoản IP được xác lập từ đầu hay sau nghiên cứu</x:v>
      </x:c>
      <x:c r="J10" t="str">
        <x:v>Hợp đồng hợp tác</x:v>
      </x:c>
      <x:c r="K10" t="str">
        <x:v>Audit điều khoản background IP/foreground IP.</x:v>
      </x:c>
    </x:row>
    <x:row r="11">
      <x:c r="A11" t="str">
        <x:v>G10</x:v>
      </x:c>
      <x:c r="B11" t="str">
        <x:v>Ứng dụng nội bộ</x:v>
      </x:c>
      <x:c r="C11" t="str">
        <x:v>Kết quả KHCN có thể phục vụ đào tạo, nghiên cứu và phát triển Nhà trường.</x:v>
      </x:c>
      <x:c r="D11" t="str">
        <x:v>QĐ 213/QĐ-ĐHTĐ 2021</x:v>
      </x:c>
      <x:c r="E11" t="str">
        <x:v>Minh chứng sử dụng trong môn học/phòng thực hành/quản trị</x:v>
      </x:c>
      <x:c r="F11" t="str">
        <x:v>Một số sản phẩm có mục tiêu đào tạo rõ (bộ mẫu, panel)</x:v>
      </x:c>
      <x:c r="G11"/>
      <x:c r="H11" t="str">
        <x:v>Trung bình</x:v>
      </x:c>
      <x:c r="I11" t="str">
        <x:v>Chưa có chỉ số đo mức sử dụng</x:v>
      </x:c>
      <x:c r="J11" t="str">
        <x:v>Kế hoạch môn học, biên bản bàn giao, số lượt sử dụng</x:v>
      </x:c>
      <x:c r="K11" t="str">
        <x:v>Tách 'có sản phẩm' khỏi 'được sử dụng thực tế'.</x:v>
      </x:c>
    </x:row>
    <x:row r="12">
      <x:c r="A12" t="str">
        <x:v>G11</x:v>
      </x:c>
      <x:c r="B12" t="str">
        <x:v>Cơ sở dữ liệu và số hóa</x:v>
      </x:c>
      <x:c r="C12" t="str">
        <x:v>Đề cương nhấn mạnh số hóa quản trị TSTT; QC TSTT tạo nền cho quản lý tập trung.</x:v>
      </x:c>
      <x:c r="D12" t="str">
        <x:v>Đề xuất KHCN 2026; QC SHTT</x:v>
      </x:c>
      <x:c r="E12" t="str">
        <x:v>Phần mềm/CSDL/IP disclosure workflow</x:v>
      </x:c>
      <x:c r="F12" t="str">
        <x:v>Chưa có bằng chứng trong bộ dữ liệu</x:v>
      </x:c>
      <x:c r="G12"/>
      <x:c r="H12" t="str">
        <x:v>Trung bình</x:v>
      </x:c>
      <x:c r="I12" t="str">
        <x:v>Chưa đánh giá</x:v>
      </x:c>
      <x:c r="J12" t="str">
        <x:v>Quy trình phần mềm/phân quyền</x:v>
      </x:c>
      <x:c r="K12" t="str">
        <x:v>Khảo sát Phòng KHCN về hệ thống đang dùng.</x:v>
      </x:c>
    </x:row>
    <x:row r="13">
      <x:c r="A13" t="str">
        <x:v>G12</x:v>
      </x:c>
      <x:c r="B13" t="str">
        <x:v>Động lực cá nhân</x:v>
      </x:c>
      <x:c r="C13" t="str">
        <x:v>Quy chế có cơ chế quyền lợi/khen thưởng; hiệu quả phụ thuộc nhận thức và động lực giảng viên.</x:v>
      </x:c>
      <x:c r="D13" t="str">
        <x:v>QĐ 213/QĐ-ĐHTĐ 2021; đề cương 2026</x:v>
      </x:c>
      <x:c r="E13" t="str">
        <x:v>Khảo sát TPB/động lực, phỏng vấn</x:v>
      </x:c>
      <x:c r="F13" t="str">
        <x:v>Chưa có dữ liệu khảo sát</x:v>
      </x:c>
      <x:c r="G13"/>
      <x:c r="H13" t="str">
        <x:v>Trung bình</x:v>
      </x:c>
      <x:c r="I13" t="str">
        <x:v>Chưa đánh giá</x:v>
      </x:c>
      <x:c r="J13" t="str">
        <x:v>Khảo sát giảng viên/chuyên gia</x:v>
      </x:c>
      <x:c r="K13" t="str">
        <x:v>Đo thái độ, chuẩn chủ quan, perceived control, incentive fairness.</x:v>
      </x:c>
    </x:row>
  </x:sheetData>
  <x:conditionalFormatting sqref="H2:H100">
    <x:cfRule type="expression" dxfId="1" priority="1">
      <x:formula>H2="Cao"</x:formula>
    </x:cfRule>
  </x:conditionalFormatting>
  <x:dataValidations count="1">
    <x:dataValidation type="list" sqref="G2:G100">
      <x:formula1>"0,1,2"</x:formula1>
    </x:dataValidation>
  </x:dataValidations>
  <x:pageMargins left="0.7" right="0.7" top="0.75" bottom="0.75" header="0.3" footer="0.3"/>
  <x:tableParts count="1">
    <x:tablePart xmlns:r="http://schemas.openxmlformats.org/officeDocument/2006/relationships" r:id="R351e1372cae04f58"/>
  </x:tableParts>
</x:worksheet>
</file>

<file path=xl/worksheets/sheet8.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15" hidden="0" customWidth="1"/>
    <x:col min="5" max="5" width="52" hidden="0" customWidth="1"/>
    <x:col min="6" max="6" width="12" hidden="0" customWidth="1"/>
    <x:col min="7" max="7" width="35" hidden="0" customWidth="1"/>
    <x:col min="8" max="8" width="45" hidden="0" customWidth="1"/>
  </x:cols>
  <x:sheetData>
    <x:row r="1">
      <x:c r="A1" s="14" t="str">
        <x:v>Dataset</x:v>
      </x:c>
      <x:c r="B1" s="14" t="str">
        <x:v>Biến</x:v>
      </x:c>
      <x:c r="C1" s="14" t="str">
        <x:v>Nhãn/ý nghĩa</x:v>
      </x:c>
      <x:c r="D1" s="14" t="str">
        <x:v>Kiểu</x:v>
      </x:c>
      <x:c r="E1" s="14" t="str">
        <x:v>Mã hóa/giá trị hợp lệ</x:v>
      </x:c>
      <x:c r="F1" s="14" t="str">
        <x:v>Bắt buộc?</x:v>
      </x:c>
      <x:c r="G1" s="14" t="str">
        <x:v>Nguồn dự kiến</x:v>
      </x:c>
      <x:c r="H1" s="14" t="str">
        <x:v>Ghi chú coding</x:v>
      </x:c>
    </x:row>
    <x:row r="2">
      <x:c r="A2" t="str">
        <x:v>PROJECT</x:v>
      </x:c>
      <x:c r="B2" t="str">
        <x:v>Project_ID</x:v>
      </x:c>
      <x:c r="C2" t="str">
        <x:v>Mã duy nhất đề tài</x:v>
      </x:c>
      <x:c r="D2" t="str">
        <x:v>Text</x:v>
      </x:c>
      <x:c r="E2" t="str">
        <x:v>PYYYY-XX</x:v>
      </x:c>
      <x:c r="F2" t="str">
        <x:v>Có</x:v>
      </x:c>
      <x:c r="G2" t="str">
        <x:v>Hồ sơ đề tài</x:v>
      </x:c>
      <x:c r="H2" t="str">
        <x:v>Không đổi sau khi gán</x:v>
      </x:c>
    </x:row>
    <x:row r="3">
      <x:c r="A3" t="str">
        <x:v>PROJECT</x:v>
      </x:c>
      <x:c r="B3" t="str">
        <x:v>Năm</x:v>
      </x:c>
      <x:c r="C3" t="str">
        <x:v>Năm nghiệm thu/ghi nhận</x:v>
      </x:c>
      <x:c r="D3" t="str">
        <x:v>Integer</x:v>
      </x:c>
      <x:c r="E3" t="str">
        <x:v>2021–2025</x:v>
      </x:c>
      <x:c r="F3" t="str">
        <x:v>Có</x:v>
      </x:c>
      <x:c r="G3" t="str">
        <x:v>Hồ sơ đề tài</x:v>
      </x:c>
      <x:c r="H3" t="str">
        <x:v>Ưu tiên năm nghiệm thu</x:v>
      </x:c>
    </x:row>
    <x:row r="4">
      <x:c r="A4" t="str">
        <x:v>PROJECT</x:v>
      </x:c>
      <x:c r="B4" t="str">
        <x:v>Mã đề tài</x:v>
      </x:c>
      <x:c r="C4" t="str">
        <x:v>Mã quản lý nội bộ</x:v>
      </x:c>
      <x:c r="D4" t="str">
        <x:v>Text</x:v>
      </x:c>
      <x:c r="E4" t="str">
        <x:v>Theo quyết định</x:v>
      </x:c>
      <x:c r="F4" t="str">
        <x:v>Có</x:v>
      </x:c>
      <x:c r="G4" t="str">
        <x:v>Hồ sơ đề tài</x:v>
      </x:c>
      <x:c r="H4" t="str"/>
    </x:row>
    <x:row r="5">
      <x:c r="A5" t="str">
        <x:v>PROJECT</x:v>
      </x:c>
      <x:c r="B5" t="str">
        <x:v>Tên đề tài</x:v>
      </x:c>
      <x:c r="C5" t="str">
        <x:v>Tên đầy đủ</x:v>
      </x:c>
      <x:c r="D5" t="str">
        <x:v>Text</x:v>
      </x:c>
      <x:c r="E5" t="str">
        <x:v>Nguyên văn</x:v>
      </x:c>
      <x:c r="F5" t="str">
        <x:v>Có</x:v>
      </x:c>
      <x:c r="G5" t="str">
        <x:v>Hồ sơ đề tài</x:v>
      </x:c>
      <x:c r="H5" t="str">
        <x:v>Không tự chuẩn hóa làm mất nghĩa</x:v>
      </x:c>
    </x:row>
    <x:row r="6">
      <x:c r="A6" t="str">
        <x:v>PROJECT</x:v>
      </x:c>
      <x:c r="B6" t="str">
        <x:v>Cấp đề tài</x:v>
      </x:c>
      <x:c r="C6" t="str">
        <x:v>Cấp quản lý</x:v>
      </x:c>
      <x:c r="D6" t="str">
        <x:v>Category</x:v>
      </x:c>
      <x:c r="E6" t="str">
        <x:v>Cơ sở/Quốc gia/Bộ/Tỉnh/Khác</x:v>
      </x:c>
      <x:c r="F6" t="str">
        <x:v>Có</x:v>
      </x:c>
      <x:c r="G6" t="str">
        <x:v>Hồ sơ</x:v>
      </x:c>
      <x:c r="H6" t="str"/>
    </x:row>
    <x:row r="7">
      <x:c r="A7" t="str">
        <x:v>PROJECT</x:v>
      </x:c>
      <x:c r="B7" t="str">
        <x:v>Chủ nhiệm</x:v>
      </x:c>
      <x:c r="C7" t="str">
        <x:v>Chủ nhiệm đề tài</x:v>
      </x:c>
      <x:c r="D7" t="str">
        <x:v>Text</x:v>
      </x:c>
      <x:c r="E7" t="str"/>
      <x:c r="F7" t="str">
        <x:v>Có</x:v>
      </x:c>
      <x:c r="G7" t="str">
        <x:v>Hồ sơ</x:v>
      </x:c>
      <x:c r="H7" t="str"/>
    </x:row>
    <x:row r="8">
      <x:c r="A8" t="str">
        <x:v>PROJECT</x:v>
      </x:c>
      <x:c r="B8" t="str">
        <x:v>Đơn vị chủ trì</x:v>
      </x:c>
      <x:c r="C8" t="str">
        <x:v>Khoa/viện/phòng</x:v>
      </x:c>
      <x:c r="D8" t="str">
        <x:v>Category</x:v>
      </x:c>
      <x:c r="E8" t="str">
        <x:v>Chuẩn hóa tên đơn vị</x:v>
      </x:c>
      <x:c r="F8" t="str">
        <x:v>Có</x:v>
      </x:c>
      <x:c r="G8" t="str">
        <x:v>Hồ sơ</x:v>
      </x:c>
      <x:c r="H8" t="str">
        <x:v>Giữ thêm tên gốc nếu đổi tổ chức</x:v>
      </x:c>
    </x:row>
    <x:row r="9">
      <x:c r="A9" t="str">
        <x:v>PROJECT</x:v>
      </x:c>
      <x:c r="B9" t="str">
        <x:v>Nhóm ngành chuẩn hóa</x:v>
      </x:c>
      <x:c r="C9" t="str">
        <x:v>Nhóm chuyên môn</x:v>
      </x:c>
      <x:c r="D9" t="str">
        <x:v>Category</x:v>
      </x:c>
      <x:c r="E9" t="str">
        <x:v>Dược/Kỹ thuật/Kinh tế/CNTT/NN-DL/...</x:v>
      </x:c>
      <x:c r="F9" t="str">
        <x:v>Không</x:v>
      </x:c>
      <x:c r="G9" t="str">
        <x:v>Suy từ đơn vị+nội dung</x:v>
      </x:c>
      <x:c r="H9" t="str">
        <x:v>Có bảng mapping</x:v>
      </x:c>
    </x:row>
    <x:row r="10">
      <x:c r="A10" t="str">
        <x:v>PROJECT</x:v>
      </x:c>
      <x:c r="B10" t="str">
        <x:v>Strategic_Cluster</x:v>
      </x:c>
      <x:c r="C10" t="str">
        <x:v>Trụ cột chiến lược 2030</x:v>
      </x:c>
      <x:c r="D10" t="str">
        <x:v>Category</x:v>
      </x:c>
      <x:c r="E10" t="str">
        <x:v>Smart Mobility/Digital Services/Global Communication/Wellness &amp; Care/Khác</x:v>
      </x:c>
      <x:c r="F10" t="str">
        <x:v>Không</x:v>
      </x:c>
      <x:c r="G10" t="str">
        <x:v>Khung chiến lược</x:v>
      </x:c>
      <x:c r="H10" t="str"/>
    </x:row>
    <x:row r="11">
      <x:c r="A11" t="str">
        <x:v>PROJECT</x:v>
      </x:c>
      <x:c r="B11" t="str">
        <x:v>Ngày nghiệm thu</x:v>
      </x:c>
      <x:c r="C11" t="str">
        <x:v>Ngày nghiệm thu</x:v>
      </x:c>
      <x:c r="D11" t="str">
        <x:v>Date</x:v>
      </x:c>
      <x:c r="E11" t="str">
        <x:v>dd/mm/yyyy</x:v>
      </x:c>
      <x:c r="F11" t="str">
        <x:v>Không</x:v>
      </x:c>
      <x:c r="G11" t="str">
        <x:v>QĐ/biên bản</x:v>
      </x:c>
      <x:c r="H11" t="str"/>
    </x:row>
    <x:row r="12">
      <x:c r="A12" t="str">
        <x:v>PROJECT</x:v>
      </x:c>
      <x:c r="B12" t="str">
        <x:v>Xếp loại</x:v>
      </x:c>
      <x:c r="C12" t="str">
        <x:v>Kết quả nghiệm thu</x:v>
      </x:c>
      <x:c r="D12" t="str">
        <x:v>Category</x:v>
      </x:c>
      <x:c r="E12" t="str">
        <x:v>Đạt/Tốt/Xuất sắc/Khác</x:v>
      </x:c>
      <x:c r="F12" t="str">
        <x:v>Không</x:v>
      </x:c>
      <x:c r="G12" t="str">
        <x:v>Hồ sơ</x:v>
      </x:c>
      <x:c r="H12" t="str"/>
    </x:row>
    <x:row r="13">
      <x:c r="A13" t="str">
        <x:v>PROJECT</x:v>
      </x:c>
      <x:c r="B13" t="str">
        <x:v>Kinh phí_VND</x:v>
      </x:c>
      <x:c r="C13" t="str">
        <x:v>Kinh phí thực hiện</x:v>
      </x:c>
      <x:c r="D13" t="str">
        <x:v>Number</x:v>
      </x:c>
      <x:c r="E13" t="str">
        <x:v>VND</x:v>
      </x:c>
      <x:c r="F13" t="str">
        <x:v>Không</x:v>
      </x:c>
      <x:c r="G13" t="str">
        <x:v>Hồ sơ</x:v>
      </x:c>
      <x:c r="H13" t="str">
        <x:v>Tách phần quy đổi giờ nếu cần</x:v>
      </x:c>
    </x:row>
    <x:row r="14">
      <x:c r="A14" t="str">
        <x:v>PROJECT</x:v>
      </x:c>
      <x:c r="B14" t="str">
        <x:v>Số thành viên</x:v>
      </x:c>
      <x:c r="C14" t="str">
        <x:v>Quy mô nhóm</x:v>
      </x:c>
      <x:c r="D14" t="str">
        <x:v>Integer</x:v>
      </x:c>
      <x:c r="E14" t="str">
        <x:v>&gt;=1</x:v>
      </x:c>
      <x:c r="F14" t="str">
        <x:v>Không</x:v>
      </x:c>
      <x:c r="G14" t="str">
        <x:v>Hồ sơ</x:v>
      </x:c>
      <x:c r="H14" t="str">
        <x:v>Tính chủ nhiệm + thành viên</x:v>
      </x:c>
    </x:row>
    <x:row r="15">
      <x:c r="A15" t="str">
        <x:v>PROJECT</x:v>
      </x:c>
      <x:c r="B15" t="str">
        <x:v>Có DN tham gia?</x:v>
      </x:c>
      <x:c r="C15" t="str">
        <x:v>Có doanh nghiệp trong nhóm/hợp tác</x:v>
      </x:c>
      <x:c r="D15" t="str">
        <x:v>Category</x:v>
      </x:c>
      <x:c r="E15" t="str">
        <x:v>Có/Không/Chưa xác minh</x:v>
      </x:c>
      <x:c r="F15" t="str">
        <x:v>Không</x:v>
      </x:c>
      <x:c r="G15" t="str">
        <x:v>Hồ sơ/hợp đồng</x:v>
      </x:c>
      <x:c r="H15" t="str">
        <x:v>Không suy từ tên đề tài</x:v>
      </x:c>
    </x:row>
    <x:row r="16">
      <x:c r="A16" t="str">
        <x:v>PROJECT</x:v>
      </x:c>
      <x:c r="B16" t="str">
        <x:v>Có SV tham gia?</x:v>
      </x:c>
      <x:c r="C16" t="str">
        <x:v>Có người học tham gia</x:v>
      </x:c>
      <x:c r="D16" t="str">
        <x:v>Category</x:v>
      </x:c>
      <x:c r="E16" t="str">
        <x:v>Có/Không/Chưa xác minh</x:v>
      </x:c>
      <x:c r="F16" t="str">
        <x:v>Không</x:v>
      </x:c>
      <x:c r="G16" t="str">
        <x:v>Hồ sơ</x:v>
      </x:c>
      <x:c r="H16" t="str"/>
    </x:row>
    <x:row r="17">
      <x:c r="A17" t="str">
        <x:v>PROJECT</x:v>
      </x:c>
      <x:c r="B17" t="str">
        <x:v>Số đầu ra</x:v>
      </x:c>
      <x:c r="C17" t="str">
        <x:v>Tổng output liên kết</x:v>
      </x:c>
      <x:c r="D17" t="str">
        <x:v>Formula</x:v>
      </x:c>
      <x:c r="E17" t="str">
        <x:v>COUNTIF OUTPUT</x:v>
      </x:c>
      <x:c r="F17" t="str">
        <x:v>Tự động</x:v>
      </x:c>
      <x:c r="G17" t="str">
        <x:v>Dataset</x:v>
      </x:c>
      <x:c r="H17" t="str"/>
    </x:row>
    <x:row r="18">
      <x:c r="A18" t="str">
        <x:v>OUTPUT</x:v>
      </x:c>
      <x:c r="B18" t="str">
        <x:v>Output_ID</x:v>
      </x:c>
      <x:c r="C18" t="str">
        <x:v>Mã đầu ra</x:v>
      </x:c>
      <x:c r="D18" t="str">
        <x:v>Text</x:v>
      </x:c>
      <x:c r="E18" t="str">
        <x:v>OYYYY-Project-Seq</x:v>
      </x:c>
      <x:c r="F18" t="str">
        <x:v>Có</x:v>
      </x:c>
      <x:c r="G18" t="str">
        <x:v>Dataset</x:v>
      </x:c>
      <x:c r="H18" t="str"/>
    </x:row>
    <x:row r="19">
      <x:c r="A19" t="str">
        <x:v>OUTPUT</x:v>
      </x:c>
      <x:c r="B19" t="str">
        <x:v>Project_ID</x:v>
      </x:c>
      <x:c r="C19" t="str">
        <x:v>Khóa liên kết đề tài</x:v>
      </x:c>
      <x:c r="D19" t="str">
        <x:v>Text</x:v>
      </x:c>
      <x:c r="E19" t="str">
        <x:v>Phải tồn tại ở PROJECT</x:v>
      </x:c>
      <x:c r="F19" t="str">
        <x:v>Có</x:v>
      </x:c>
      <x:c r="G19" t="str">
        <x:v>Dataset</x:v>
      </x:c>
      <x:c r="H19" t="str"/>
    </x:row>
    <x:row r="20">
      <x:c r="A20" t="str">
        <x:v>OUTPUT</x:v>
      </x:c>
      <x:c r="B20" t="str">
        <x:v>Tên đầu ra</x:v>
      </x:c>
      <x:c r="C20" t="str">
        <x:v>Tên sản phẩm/đầu ra</x:v>
      </x:c>
      <x:c r="D20" t="str">
        <x:v>Text</x:v>
      </x:c>
      <x:c r="E20" t="str">
        <x:v>Nguyên văn tối đa</x:v>
      </x:c>
      <x:c r="F20" t="str">
        <x:v>Có</x:v>
      </x:c>
      <x:c r="G20" t="str">
        <x:v>Sản phẩm nghiệm thu</x:v>
      </x:c>
      <x:c r="H20" t="str"/>
    </x:row>
    <x:row r="21">
      <x:c r="A21" t="str">
        <x:v>OUTPUT</x:v>
      </x:c>
      <x:c r="B21" t="str">
        <x:v>Loại đầu ra</x:v>
      </x:c>
      <x:c r="C21" t="str">
        <x:v>Loại vật mang kết quả</x:v>
      </x:c>
      <x:c r="D21" t="str">
        <x:v>Category</x:v>
      </x:c>
      <x:c r="E21" t="str">
        <x:v>Báo cáo/Bài báo/Sách-GT/CSDL/Phần mềm/Quy trình/Sản phẩm/Mô hình/Thiết kế/Nhãn hiệu/Khác</x:v>
      </x:c>
      <x:c r="F21" t="str">
        <x:v>Có</x:v>
      </x:c>
      <x:c r="G21" t="str">
        <x:v>Coding</x:v>
      </x:c>
      <x:c r="H21" t="str"/>
    </x:row>
    <x:row r="22">
      <x:c r="A22" t="str">
        <x:v>OUTPUT</x:v>
      </x:c>
      <x:c r="B22" t="str">
        <x:v>Số lượng</x:v>
      </x:c>
      <x:c r="C22" t="str">
        <x:v>Số lượng đầu ra</x:v>
      </x:c>
      <x:c r="D22" t="str">
        <x:v>Number</x:v>
      </x:c>
      <x:c r="E22" t="str">
        <x:v>&gt;=0</x:v>
      </x:c>
      <x:c r="F22" t="str">
        <x:v>Không</x:v>
      </x:c>
      <x:c r="G22" t="str">
        <x:v>Hồ sơ</x:v>
      </x:c>
      <x:c r="H22" t="str"/>
    </x:row>
    <x:row r="23">
      <x:c r="A23" t="str">
        <x:v>OUTPUT</x:v>
      </x:c>
      <x:c r="B23" t="str">
        <x:v>Đã công bố?</x:v>
      </x:c>
      <x:c r="C23" t="str">
        <x:v>Trạng thái công bố</x:v>
      </x:c>
      <x:c r="D23" t="str">
        <x:v>Category</x:v>
      </x:c>
      <x:c r="E23" t="str">
        <x:v>Có/Có nội bộ/Chưa/Chưa xác minh</x:v>
      </x:c>
      <x:c r="F23" t="str">
        <x:v>Không</x:v>
      </x:c>
      <x:c r="G23" t="str">
        <x:v>Hồ sơ</x:v>
      </x:c>
      <x:c r="H23" t="str"/>
    </x:row>
    <x:row r="24">
      <x:c r="A24" t="str">
        <x:v>OUTPUT</x:v>
      </x:c>
      <x:c r="B24" t="str">
        <x:v>Dấu hiệu TSTT?</x:v>
      </x:c>
      <x:c r="C24" t="str">
        <x:v>Có khả năng là TSTT</x:v>
      </x:c>
      <x:c r="D24" t="str">
        <x:v>Category</x:v>
      </x:c>
      <x:c r="E24" t="str">
        <x:v>Có/Không/Chưa xác minh</x:v>
      </x:c>
      <x:c r="F24" t="str">
        <x:v>Có</x:v>
      </x:c>
      <x:c r="G24" t="str">
        <x:v>Coding</x:v>
      </x:c>
      <x:c r="H24" t="str">
        <x:v>Không đồng nghĩa đủ điều kiện bảo hộ độc quyền</x:v>
      </x:c>
    </x:row>
    <x:row r="25">
      <x:c r="A25" t="str">
        <x:v>OUTPUT</x:v>
      </x:c>
      <x:c r="B25" t="str">
        <x:v>Nhóm TSTT sơ bộ</x:v>
      </x:c>
      <x:c r="C25" t="str">
        <x:v>Phân nhóm sơ bộ</x:v>
      </x:c>
      <x:c r="D25" t="str">
        <x:v>Category</x:v>
      </x:c>
      <x:c r="E25" t="str">
        <x:v>Học thuật/Công nghệ/Số/Thương hiệu/Khác</x:v>
      </x:c>
      <x:c r="F25" t="str">
        <x:v>Không</x:v>
      </x:c>
      <x:c r="G25" t="str">
        <x:v>Coding</x:v>
      </x:c>
      <x:c r="H25" t="str"/>
    </x:row>
    <x:row r="26">
      <x:c r="A26" t="str">
        <x:v>OUTPUT</x:v>
      </x:c>
      <x:c r="B26" t="str">
        <x:v>Khả năng tạo giá trị</x:v>
      </x:c>
      <x:c r="C26" t="str">
        <x:v>Dạng giá trị tiềm năng</x:v>
      </x:c>
      <x:c r="D26" t="str">
        <x:v>Multi-category</x:v>
      </x:c>
      <x:c r="E26" t="str">
        <x:v>Khoa học/Đào tạo/Công nghệ/Kinh tế/Chiến lược/Xã hội</x:v>
      </x:c>
      <x:c r="F26" t="str">
        <x:v>Không</x:v>
      </x:c>
      <x:c r="G26" t="str">
        <x:v>Coding</x:v>
      </x:c>
      <x:c r="H26" t="str"/>
    </x:row>
    <x:row r="27">
      <x:c r="A27" t="str">
        <x:v>OUTPUT</x:v>
      </x:c>
      <x:c r="B27" t="str">
        <x:v>Bằng chứng nguồn</x:v>
      </x:c>
      <x:c r="C27" t="str">
        <x:v>Nguồn chứng minh</x:v>
      </x:c>
      <x:c r="D27" t="str">
        <x:v>Text</x:v>
      </x:c>
      <x:c r="E27" t="str">
        <x:v>Tên file + trang/dòng</x:v>
      </x:c>
      <x:c r="F27" t="str">
        <x:v>Có</x:v>
      </x:c>
      <x:c r="G27" t="str">
        <x:v>File nội bộ</x:v>
      </x:c>
      <x:c r="H27" t="str"/>
    </x:row>
    <x:row r="28">
      <x:c r="A28" t="str">
        <x:v>OUTPUT</x:v>
      </x:c>
      <x:c r="B28" t="str">
        <x:v>Mức tin cậy</x:v>
      </x:c>
      <x:c r="C28" t="str">
        <x:v>Độ chắc chắn coding</x:v>
      </x:c>
      <x:c r="D28" t="str">
        <x:v>Category</x:v>
      </x:c>
      <x:c r="E28" t="str">
        <x:v>Cao/Trung bình/Thấp</x:v>
      </x:c>
      <x:c r="F28" t="str">
        <x:v>Có</x:v>
      </x:c>
      <x:c r="G28" t="str">
        <x:v>Coder</x:v>
      </x:c>
      <x:c r="H28" t="str"/>
    </x:row>
    <x:row r="29">
      <x:c r="A29" t="str">
        <x:v>IP_ASSET</x:v>
      </x:c>
      <x:c r="B29" t="str">
        <x:v>IP_ID</x:v>
      </x:c>
      <x:c r="C29" t="str">
        <x:v>Mã TSTT/cụm TSTT</x:v>
      </x:c>
      <x:c r="D29" t="str">
        <x:v>Text</x:v>
      </x:c>
      <x:c r="E29" t="str">
        <x:v>IPYYYY-XX-A</x:v>
      </x:c>
      <x:c r="F29" t="str">
        <x:v>Có</x:v>
      </x:c>
      <x:c r="G29" t="str">
        <x:v>Dataset</x:v>
      </x:c>
      <x:c r="H29" t="str"/>
    </x:row>
    <x:row r="30">
      <x:c r="A30" t="str">
        <x:v>IP_ASSET</x:v>
      </x:c>
      <x:c r="B30" t="str">
        <x:v>Tên TSTT/cụm TSTT</x:v>
      </x:c>
      <x:c r="C30" t="str">
        <x:v>Đối tượng quản trị</x:v>
      </x:c>
      <x:c r="D30" t="str">
        <x:v>Text</x:v>
      </x:c>
      <x:c r="E30" t="str"/>
      <x:c r="F30" t="str">
        <x:v>Có</x:v>
      </x:c>
      <x:c r="G30" t="str">
        <x:v>Output/hồ sơ</x:v>
      </x:c>
      <x:c r="H30" t="str"/>
    </x:row>
    <x:row r="31">
      <x:c r="A31" t="str">
        <x:v>IP_ASSET</x:v>
      </x:c>
      <x:c r="B31" t="str">
        <x:v>Nhóm TSTT</x:v>
      </x:c>
      <x:c r="C31" t="str">
        <x:v>Nhóm bản chất</x:v>
      </x:c>
      <x:c r="D31" t="str">
        <x:v>Category</x:v>
      </x:c>
      <x:c r="E31" t="str">
        <x:v>Học thuật/Công nghệ/Số/Thương hiệu/Dữ liệu/Khác</x:v>
      </x:c>
      <x:c r="F31" t="str">
        <x:v>Có</x:v>
      </x:c>
      <x:c r="G31" t="str">
        <x:v>Coding</x:v>
      </x:c>
      <x:c r="H31" t="str"/>
    </x:row>
    <x:row r="32">
      <x:c r="A32" t="str">
        <x:v>IP_ASSET</x:v>
      </x:c>
      <x:c r="B32" t="str">
        <x:v>Hình thức quyền dự kiến</x:v>
      </x:c>
      <x:c r="C32" t="str">
        <x:v>Quyền có thể áp dụng</x:v>
      </x:c>
      <x:c r="D32" t="str">
        <x:v>Category</x:v>
      </x:c>
      <x:c r="E32" t="str">
        <x:v>QTG/Sáng chế/GPHI/KDCN/Nhãn hiệu/BMKD/CSDL/Khác/Chưa xác minh</x:v>
      </x:c>
      <x:c r="F32" t="str">
        <x:v>Không</x:v>
      </x:c>
      <x:c r="G32" t="str">
        <x:v>Sàng lọc IP</x:v>
      </x:c>
      <x:c r="H32" t="str">
        <x:v>Không tự kết luận nếu thiếu tra cứu</x:v>
      </x:c>
    </x:row>
    <x:row r="33">
      <x:c r="A33" t="str">
        <x:v>IP_ASSET</x:v>
      </x:c>
      <x:c r="B33" t="str">
        <x:v>Chủ thể sáng tạo rõ?</x:v>
      </x:c>
      <x:c r="C33" t="str">
        <x:v>Xác định tác giả/người tạo</x:v>
      </x:c>
      <x:c r="D33" t="str">
        <x:v>Category</x:v>
      </x:c>
      <x:c r="E33" t="str">
        <x:v>Có/Không/Chưa xác minh</x:v>
      </x:c>
      <x:c r="F33" t="str">
        <x:v>Có</x:v>
      </x:c>
      <x:c r="G33" t="str">
        <x:v>Hồ sơ</x:v>
      </x:c>
      <x:c r="H33" t="str"/>
    </x:row>
    <x:row r="34">
      <x:c r="A34" t="str">
        <x:v>IP_ASSET</x:v>
      </x:c>
      <x:c r="B34" t="str">
        <x:v>Chủ sở hữu rõ?</x:v>
      </x:c>
      <x:c r="C34" t="str">
        <x:v>Có bằng chứng sở hữu cụ thể</x:v>
      </x:c>
      <x:c r="D34" t="str">
        <x:v>Category</x:v>
      </x:c>
      <x:c r="E34" t="str">
        <x:v>Có/Không/Chưa xác minh</x:v>
      </x:c>
      <x:c r="F34" t="str">
        <x:v>Có</x:v>
      </x:c>
      <x:c r="G34" t="str">
        <x:v>Hợp đồng/quy chế</x:v>
      </x:c>
      <x:c r="H34" t="str"/>
    </x:row>
    <x:row r="35">
      <x:c r="A35" t="str">
        <x:v>IP_ASSET</x:v>
      </x:c>
      <x:c r="B35" t="str">
        <x:v>Trường sở hữu/đồng sở hữu?</x:v>
      </x:c>
      <x:c r="C35" t="str">
        <x:v>Vị thế của Trường</x:v>
      </x:c>
      <x:c r="D35" t="str">
        <x:v>Category</x:v>
      </x:c>
      <x:c r="E35" t="str">
        <x:v>Có/Đồng sở hữu/Không/Chưa xác minh</x:v>
      </x:c>
      <x:c r="F35" t="str">
        <x:v>Không</x:v>
      </x:c>
      <x:c r="G35" t="str">
        <x:v>Hồ sơ</x:v>
      </x:c>
      <x:c r="H35" t="str"/>
    </x:row>
    <x:row r="36">
      <x:c r="A36" t="str">
        <x:v>IP_ASSET</x:v>
      </x:c>
      <x:c r="B36" t="str">
        <x:v>Nguồn lực trường?</x:v>
      </x:c>
      <x:c r="C36" t="str">
        <x:v>Có sử dụng nguồn lực Trường</x:v>
      </x:c>
      <x:c r="D36" t="str">
        <x:v>Category</x:v>
      </x:c>
      <x:c r="E36" t="str">
        <x:v>Có/Không/Một phần/Chưa xác minh</x:v>
      </x:c>
      <x:c r="F36" t="str">
        <x:v>Không</x:v>
      </x:c>
      <x:c r="G36" t="str">
        <x:v>Hồ sơ</x:v>
      </x:c>
      <x:c r="H36" t="str"/>
    </x:row>
    <x:row r="37">
      <x:c r="A37" t="str">
        <x:v>IP_ASSET</x:v>
      </x:c>
      <x:c r="B37" t="str">
        <x:v>Có đối tác ngoài trường?</x:v>
      </x:c>
      <x:c r="C37" t="str">
        <x:v>Có đối tác tạo lập/khai thác</x:v>
      </x:c>
      <x:c r="D37" t="str">
        <x:v>Category</x:v>
      </x:c>
      <x:c r="E37" t="str">
        <x:v>Có/Không/Chưa xác minh</x:v>
      </x:c>
      <x:c r="F37" t="str">
        <x:v>Không</x:v>
      </x:c>
      <x:c r="G37" t="str">
        <x:v>Hợp đồng</x:v>
      </x:c>
      <x:c r="H37" t="str"/>
    </x:row>
    <x:row r="38">
      <x:c r="A38" t="str">
        <x:v>IP_ASSET</x:v>
      </x:c>
      <x:c r="B38" t="str">
        <x:v>Đã được nhận diện chính thức?</x:v>
      </x:c>
      <x:c r="C38" t="str">
        <x:v>Có trong sổ/CSDL/phiếu disclosure</x:v>
      </x:c>
      <x:c r="D38" t="str">
        <x:v>Category</x:v>
      </x:c>
      <x:c r="E38" t="str">
        <x:v>Có/Không/Chưa xác minh</x:v>
      </x:c>
      <x:c r="F38" t="str">
        <x:v>Có</x:v>
      </x:c>
      <x:c r="G38" t="str">
        <x:v>Phòng KHCN</x:v>
      </x:c>
      <x:c r="H38" t="str"/>
    </x:row>
    <x:row r="39">
      <x:c r="A39" t="str">
        <x:v>IP_ASSET</x:v>
      </x:c>
      <x:c r="B39" t="str">
        <x:v>Đã sàng lọc khả năng bảo hộ?</x:v>
      </x:c>
      <x:c r="C39" t="str">
        <x:v>Có biên bản/ý kiến sàng lọc</x:v>
      </x:c>
      <x:c r="D39" t="str">
        <x:v>Category</x:v>
      </x:c>
      <x:c r="E39" t="str">
        <x:v>Có/Không/Chưa xác minh</x:v>
      </x:c>
      <x:c r="F39" t="str">
        <x:v>Có</x:v>
      </x:c>
      <x:c r="G39" t="str">
        <x:v>Phòng KHCN</x:v>
      </x:c>
      <x:c r="H39" t="str"/>
    </x:row>
    <x:row r="40">
      <x:c r="A40" t="str">
        <x:v>IP_ASSET</x:v>
      </x:c>
      <x:c r="B40" t="str">
        <x:v>Mức tiềm năng bảo hộ</x:v>
      </x:c>
      <x:c r="C40" t="str">
        <x:v>Điểm sơ bộ</x:v>
      </x:c>
      <x:c r="D40" t="str">
        <x:v>Integer</x:v>
      </x:c>
      <x:c r="E40" t="str">
        <x:v>0–3</x:v>
      </x:c>
      <x:c r="F40" t="str">
        <x:v>Không</x:v>
      </x:c>
      <x:c r="G40" t="str">
        <x:v>Hội đồng/chuyên gia</x:v>
      </x:c>
      <x:c r="H40" t="str">
        <x:v>Không chấm khi chưa có tiêu chí</x:v>
      </x:c>
    </x:row>
    <x:row r="41">
      <x:c r="A41" t="str">
        <x:v>IP_ASSET</x:v>
      </x:c>
      <x:c r="B41" t="str">
        <x:v>Mức tiềm năng ứng dụng</x:v>
      </x:c>
      <x:c r="C41" t="str">
        <x:v>Điểm sơ bộ</x:v>
      </x:c>
      <x:c r="D41" t="str">
        <x:v>Integer</x:v>
      </x:c>
      <x:c r="E41" t="str">
        <x:v>0–3</x:v>
      </x:c>
      <x:c r="F41" t="str">
        <x:v>Không</x:v>
      </x:c>
      <x:c r="G41" t="str">
        <x:v>Hội đồng/chuyên gia</x:v>
      </x:c>
      <x:c r="H41" t="str"/>
    </x:row>
    <x:row r="42">
      <x:c r="A42" t="str">
        <x:v>IP_ASSET</x:v>
      </x:c>
      <x:c r="B42" t="str">
        <x:v>Rủi ro công bố trước bảo hộ</x:v>
      </x:c>
      <x:c r="C42" t="str">
        <x:v>Rủi ro novelty/confidentiality</x:v>
      </x:c>
      <x:c r="D42" t="str">
        <x:v>Category</x:v>
      </x:c>
      <x:c r="E42" t="str">
        <x:v>Thấp/Trung bình/Cao/Chưa xác minh</x:v>
      </x:c>
      <x:c r="F42" t="str">
        <x:v>Không</x:v>
      </x:c>
      <x:c r="G42" t="str">
        <x:v>Đối chiếu thời gian</x:v>
      </x:c>
      <x:c r="H42" t="str"/>
    </x:row>
    <x:row r="43">
      <x:c r="A43" t="str">
        <x:v>IP_ASSET</x:v>
      </x:c>
      <x:c r="B43" t="str">
        <x:v>Tình trạng IP</x:v>
      </x:c>
      <x:c r="C43" t="str">
        <x:v>Giai đoạn vòng đời</x:v>
      </x:c>
      <x:c r="D43" t="str">
        <x:v>Category</x:v>
      </x:c>
      <x:c r="E43" t="str">
        <x:v>Tiềm năng/Đang sàng lọc/Dự kiến đăng ký/Đã nộp/Đã cấp/Không tiếp tục</x:v>
      </x:c>
      <x:c r="F43" t="str">
        <x:v>Có</x:v>
      </x:c>
      <x:c r="G43" t="str">
        <x:v>Hồ sơ</x:v>
      </x:c>
      <x:c r="H43" t="str"/>
    </x:row>
    <x:row r="44">
      <x:c r="A44" t="str">
        <x:v>PROTECTION</x:v>
      </x:c>
      <x:c r="B44" t="str">
        <x:v>Protection_ID</x:v>
      </x:c>
      <x:c r="C44" t="str">
        <x:v>Mã hồ sơ bảo hộ</x:v>
      </x:c>
      <x:c r="D44" t="str">
        <x:v>Text</x:v>
      </x:c>
      <x:c r="E44" t="str"/>
      <x:c r="F44" t="str">
        <x:v>Có</x:v>
      </x:c>
      <x:c r="G44" t="str">
        <x:v>Dataset</x:v>
      </x:c>
      <x:c r="H44" t="str"/>
    </x:row>
    <x:row r="45">
      <x:c r="A45" t="str">
        <x:v>PROTECTION</x:v>
      </x:c>
      <x:c r="B45" t="str">
        <x:v>IP_ID</x:v>
      </x:c>
      <x:c r="C45" t="str">
        <x:v>Khóa TSTT</x:v>
      </x:c>
      <x:c r="D45" t="str">
        <x:v>Text</x:v>
      </x:c>
      <x:c r="E45" t="str"/>
      <x:c r="F45" t="str">
        <x:v>Có</x:v>
      </x:c>
      <x:c r="G45" t="str">
        <x:v>Dataset</x:v>
      </x:c>
      <x:c r="H45" t="str"/>
    </x:row>
    <x:row r="46">
      <x:c r="A46" t="str">
        <x:v>PROTECTION</x:v>
      </x:c>
      <x:c r="B46" t="str">
        <x:v>Loại quyền/hồ sơ</x:v>
      </x:c>
      <x:c r="C46" t="str">
        <x:v>Loại đơn/quyền</x:v>
      </x:c>
      <x:c r="D46" t="str">
        <x:v>Category</x:v>
      </x:c>
      <x:c r="E46" t="str">
        <x:v>QTG/Sáng chế/GPHI/KDCN/Nhãn hiệu/...</x:v>
      </x:c>
      <x:c r="F46" t="str">
        <x:v>Có</x:v>
      </x:c>
      <x:c r="G46" t="str">
        <x:v>Hồ sơ</x:v>
      </x:c>
      <x:c r="H46" t="str"/>
    </x:row>
    <x:row r="47">
      <x:c r="A47" t="str">
        <x:v>PROTECTION</x:v>
      </x:c>
      <x:c r="B47" t="str">
        <x:v>Ngày phát sinh kết quả</x:v>
      </x:c>
      <x:c r="C47" t="str">
        <x:v>Mốc hình thành tài sản</x:v>
      </x:c>
      <x:c r="D47" t="str">
        <x:v>Date</x:v>
      </x:c>
      <x:c r="E47" t="str"/>
      <x:c r="F47" t="str">
        <x:v>Không</x:v>
      </x:c>
      <x:c r="G47" t="str">
        <x:v>Hồ sơ</x:v>
      </x:c>
      <x:c r="H47" t="str"/>
    </x:row>
    <x:row r="48">
      <x:c r="A48" t="str">
        <x:v>PROTECTION</x:v>
      </x:c>
      <x:c r="B48" t="str">
        <x:v>Ngày khai báo IP</x:v>
      </x:c>
      <x:c r="C48" t="str">
        <x:v>Ngày disclosure nội bộ</x:v>
      </x:c>
      <x:c r="D48" t="str">
        <x:v>Date</x:v>
      </x:c>
      <x:c r="E48" t="str"/>
      <x:c r="F48" t="str">
        <x:v>Không</x:v>
      </x:c>
      <x:c r="G48" t="str">
        <x:v>Phiếu khai báo</x:v>
      </x:c>
      <x:c r="H48" t="str"/>
    </x:row>
    <x:row r="49">
      <x:c r="A49" t="str">
        <x:v>PROTECTION</x:v>
      </x:c>
      <x:c r="B49" t="str">
        <x:v>Ngày sàng lọc</x:v>
      </x:c>
      <x:c r="C49" t="str">
        <x:v>Ngày đánh giá IP</x:v>
      </x:c>
      <x:c r="D49" t="str">
        <x:v>Date</x:v>
      </x:c>
      <x:c r="E49" t="str"/>
      <x:c r="F49" t="str">
        <x:v>Không</x:v>
      </x:c>
      <x:c r="G49" t="str">
        <x:v>Biên bản</x:v>
      </x:c>
      <x:c r="H49" t="str"/>
    </x:row>
    <x:row r="50">
      <x:c r="A50" t="str">
        <x:v>PROTECTION</x:v>
      </x:c>
      <x:c r="B50" t="str">
        <x:v>Ngày nộp đơn</x:v>
      </x:c>
      <x:c r="C50" t="str">
        <x:v>Ngày nộp chính thức</x:v>
      </x:c>
      <x:c r="D50" t="str">
        <x:v>Date</x:v>
      </x:c>
      <x:c r="E50" t="str"/>
      <x:c r="F50" t="str">
        <x:v>Không</x:v>
      </x:c>
      <x:c r="G50" t="str">
        <x:v>Đơn</x:v>
      </x:c>
      <x:c r="H50" t="str"/>
    </x:row>
    <x:row r="51">
      <x:c r="A51" t="str">
        <x:v>PROTECTION</x:v>
      </x:c>
      <x:c r="B51" t="str">
        <x:v>Số đơn</x:v>
      </x:c>
      <x:c r="C51" t="str">
        <x:v>Mã đơn</x:v>
      </x:c>
      <x:c r="D51" t="str">
        <x:v>Text</x:v>
      </x:c>
      <x:c r="E51" t="str"/>
      <x:c r="F51" t="str">
        <x:v>Không</x:v>
      </x:c>
      <x:c r="G51" t="str">
        <x:v>Đơn</x:v>
      </x:c>
      <x:c r="H51" t="str"/>
    </x:row>
    <x:row r="52">
      <x:c r="A52" t="str">
        <x:v>PROTECTION</x:v>
      </x:c>
      <x:c r="B52" t="str">
        <x:v>Chủ đơn</x:v>
      </x:c>
      <x:c r="C52" t="str">
        <x:v>Applicant</x:v>
      </x:c>
      <x:c r="D52" t="str">
        <x:v>Text</x:v>
      </x:c>
      <x:c r="E52" t="str"/>
      <x:c r="F52" t="str">
        <x:v>Không</x:v>
      </x:c>
      <x:c r="G52" t="str">
        <x:v>Đơn</x:v>
      </x:c>
      <x:c r="H52" t="str"/>
    </x:row>
    <x:row r="53">
      <x:c r="A53" t="str">
        <x:v>PROTECTION</x:v>
      </x:c>
      <x:c r="B53" t="str">
        <x:v>Tình trạng</x:v>
      </x:c>
      <x:c r="C53" t="str">
        <x:v>Trạng thái hồ sơ</x:v>
      </x:c>
      <x:c r="D53" t="str">
        <x:v>Category</x:v>
      </x:c>
      <x:c r="E53" t="str">
        <x:v>Dự kiến/Đã nộp/Thẩm định/Được cấp/Từ chối/Rút bỏ/Hết hiệu lực</x:v>
      </x:c>
      <x:c r="F53" t="str">
        <x:v>Có</x:v>
      </x:c>
      <x:c r="G53" t="str">
        <x:v>Hồ sơ</x:v>
      </x:c>
      <x:c r="H53" t="str"/>
    </x:row>
    <x:row r="54">
      <x:c r="A54" t="str">
        <x:v>PROTECTION</x:v>
      </x:c>
      <x:c r="B54" t="str">
        <x:v>Ngày cấp</x:v>
      </x:c>
      <x:c r="C54" t="str">
        <x:v>Ngày cấp quyền</x:v>
      </x:c>
      <x:c r="D54" t="str">
        <x:v>Date</x:v>
      </x:c>
      <x:c r="E54" t="str"/>
      <x:c r="F54" t="str">
        <x:v>Không</x:v>
      </x:c>
      <x:c r="G54" t="str">
        <x:v>Văn bằng</x:v>
      </x:c>
      <x:c r="H54" t="str"/>
    </x:row>
    <x:row r="55">
      <x:c r="A55" t="str">
        <x:v>PROTECTION</x:v>
      </x:c>
      <x:c r="B55" t="str">
        <x:v>Số văn bằng</x:v>
      </x:c>
      <x:c r="C55" t="str">
        <x:v>Mã văn bằng</x:v>
      </x:c>
      <x:c r="D55" t="str">
        <x:v>Text</x:v>
      </x:c>
      <x:c r="E55" t="str"/>
      <x:c r="F55" t="str">
        <x:v>Không</x:v>
      </x:c>
      <x:c r="G55" t="str">
        <x:v>Văn bằng</x:v>
      </x:c>
      <x:c r="H55" t="str"/>
    </x:row>
    <x:row r="56">
      <x:c r="A56" t="str">
        <x:v>PROTECTION</x:v>
      </x:c>
      <x:c r="B56" t="str">
        <x:v>Chi phí bảo hộ_VND</x:v>
      </x:c>
      <x:c r="C56" t="str">
        <x:v>Chi phí đăng ký/duy trì</x:v>
      </x:c>
      <x:c r="D56" t="str">
        <x:v>Number</x:v>
      </x:c>
      <x:c r="E56" t="str">
        <x:v>VND</x:v>
      </x:c>
      <x:c r="F56" t="str">
        <x:v>Không</x:v>
      </x:c>
      <x:c r="G56" t="str">
        <x:v>Tài chính</x:v>
      </x:c>
      <x:c r="H56" t="str"/>
    </x:row>
    <x:row r="57">
      <x:c r="A57" t="str">
        <x:v>PROTECTION</x:v>
      </x:c>
      <x:c r="B57" t="str">
        <x:v>Time_to_IP_days</x:v>
      </x:c>
      <x:c r="C57" t="str">
        <x:v>Thời gian từ kết quả đến nộp đơn</x:v>
      </x:c>
      <x:c r="D57" t="str">
        <x:v>Formula</x:v>
      </x:c>
      <x:c r="E57" t="str">
        <x:v>Ngày nộp - ngày phát sinh</x:v>
      </x:c>
      <x:c r="F57" t="str">
        <x:v>Tự động</x:v>
      </x:c>
      <x:c r="G57" t="str">
        <x:v>Dataset</x:v>
      </x:c>
      <x:c r="H57" t="str"/>
    </x:row>
    <x:row r="58">
      <x:c r="A58" t="str">
        <x:v>UTIL_VALUE</x:v>
      </x:c>
      <x:c r="B58" t="str">
        <x:v>Util_ID</x:v>
      </x:c>
      <x:c r="C58" t="str">
        <x:v>Mã lần khai thác</x:v>
      </x:c>
      <x:c r="D58" t="str">
        <x:v>Text</x:v>
      </x:c>
      <x:c r="E58" t="str"/>
      <x:c r="F58" t="str">
        <x:v>Có</x:v>
      </x:c>
      <x:c r="G58" t="str">
        <x:v>Dataset</x:v>
      </x:c>
      <x:c r="H58" t="str"/>
    </x:row>
    <x:row r="59">
      <x:c r="A59" t="str">
        <x:v>UTIL_VALUE</x:v>
      </x:c>
      <x:c r="B59" t="str">
        <x:v>IP_ID</x:v>
      </x:c>
      <x:c r="C59" t="str">
        <x:v>Khóa TSTT</x:v>
      </x:c>
      <x:c r="D59" t="str">
        <x:v>Text</x:v>
      </x:c>
      <x:c r="E59" t="str"/>
      <x:c r="F59" t="str">
        <x:v>Có</x:v>
      </x:c>
      <x:c r="G59" t="str">
        <x:v>Dataset</x:v>
      </x:c>
      <x:c r="H59" t="str"/>
    </x:row>
    <x:row r="60">
      <x:c r="A60" t="str">
        <x:v>UTIL_VALUE</x:v>
      </x:c>
      <x:c r="B60" t="str">
        <x:v>Hình thức sử dụng</x:v>
      </x:c>
      <x:c r="C60" t="str">
        <x:v>Kiểu khai thác</x:v>
      </x:c>
      <x:c r="D60" t="str">
        <x:v>Category</x:v>
      </x:c>
      <x:c r="E60" t="str">
        <x:v>Giảng dạy/Nghiên cứu tiếp/Ứng dụng nội bộ/Thử nghiệm DN/Sử dụng ngoài trường/Chuyển giao/Thương mại hóa</x:v>
      </x:c>
      <x:c r="F60" t="str">
        <x:v>Có</x:v>
      </x:c>
      <x:c r="G60" t="str">
        <x:v>Bằng chứng</x:v>
      </x:c>
      <x:c r="H60" t="str"/>
    </x:row>
    <x:row r="61">
      <x:c r="A61" t="str">
        <x:v>UTIL_VALUE</x:v>
      </x:c>
      <x:c r="B61" t="str">
        <x:v>Mức sử dụng</x:v>
      </x:c>
      <x:c r="C61" t="str">
        <x:v>Mã cấp độ</x:v>
      </x:c>
      <x:c r="D61" t="str">
        <x:v>Integer</x:v>
      </x:c>
      <x:c r="E61" t="str">
        <x:v>0 chưa dùng;1 giảng dạy;2 nghiên cứu tiếp;3 nội bộ;4 chuẩn bị/thử nghiệm;5 ngoài trường;6 chuyển giao;7 thương mại hóa</x:v>
      </x:c>
      <x:c r="F61" t="str">
        <x:v>Có</x:v>
      </x:c>
      <x:c r="G61" t="str">
        <x:v>Coding</x:v>
      </x:c>
      <x:c r="H61" t="str"/>
    </x:row>
    <x:row r="62">
      <x:c r="A62" t="str">
        <x:v>UTIL_VALUE</x:v>
      </x:c>
      <x:c r="B62" t="str">
        <x:v>Đơn vị sử dụng</x:v>
      </x:c>
      <x:c r="C62" t="str">
        <x:v>Bên sử dụng</x:v>
      </x:c>
      <x:c r="D62" t="str">
        <x:v>Text</x:v>
      </x:c>
      <x:c r="E62" t="str"/>
      <x:c r="F62" t="str">
        <x:v>Không</x:v>
      </x:c>
      <x:c r="G62" t="str">
        <x:v>Biên bản/hợp đồng</x:v>
      </x:c>
      <x:c r="H62" t="str"/>
    </x:row>
    <x:row r="63">
      <x:c r="A63" t="str">
        <x:v>UTIL_VALUE</x:v>
      </x:c>
      <x:c r="B63" t="str">
        <x:v>Đối tác</x:v>
      </x:c>
      <x:c r="C63" t="str">
        <x:v>Tổ chức ngoài trường</x:v>
      </x:c>
      <x:c r="D63" t="str">
        <x:v>Text</x:v>
      </x:c>
      <x:c r="E63" t="str"/>
      <x:c r="F63" t="str">
        <x:v>Không</x:v>
      </x:c>
      <x:c r="G63" t="str">
        <x:v>Hợp đồng</x:v>
      </x:c>
      <x:c r="H63" t="str"/>
    </x:row>
    <x:row r="64">
      <x:c r="A64" t="str">
        <x:v>UTIL_VALUE</x:v>
      </x:c>
      <x:c r="B64" t="str">
        <x:v>Doanh thu_VND</x:v>
      </x:c>
      <x:c r="C64" t="str">
        <x:v>Doanh thu phát sinh</x:v>
      </x:c>
      <x:c r="D64" t="str">
        <x:v>Number</x:v>
      </x:c>
      <x:c r="E64" t="str">
        <x:v>VND</x:v>
      </x:c>
      <x:c r="F64" t="str">
        <x:v>Không</x:v>
      </x:c>
      <x:c r="G64" t="str">
        <x:v>Tài chính</x:v>
      </x:c>
      <x:c r="H64" t="str"/>
    </x:row>
    <x:row r="65">
      <x:c r="A65" t="str">
        <x:v>UTIL_VALUE</x:v>
      </x:c>
      <x:c r="B65" t="str">
        <x:v>Tiết kiệm chi phí_VND</x:v>
      </x:c>
      <x:c r="C65" t="str">
        <x:v>Giá trị tránh chi phí</x:v>
      </x:c>
      <x:c r="D65" t="str">
        <x:v>Number</x:v>
      </x:c>
      <x:c r="E65" t="str">
        <x:v>VND</x:v>
      </x:c>
      <x:c r="F65" t="str">
        <x:v>Không</x:v>
      </x:c>
      <x:c r="G65" t="str">
        <x:v>Tài chính</x:v>
      </x:c>
      <x:c r="H65" t="str"/>
    </x:row>
    <x:row r="66">
      <x:c r="A66" t="str">
        <x:v>UTIL_VALUE</x:v>
      </x:c>
      <x:c r="B66" t="str">
        <x:v>Số người dùng</x:v>
      </x:c>
      <x:c r="C66" t="str">
        <x:v>Quy mô thụ hưởng</x:v>
      </x:c>
      <x:c r="D66" t="str">
        <x:v>Number</x:v>
      </x:c>
      <x:c r="E66" t="str">
        <x:v>&gt;=0</x:v>
      </x:c>
      <x:c r="F66" t="str">
        <x:v>Không</x:v>
      </x:c>
      <x:c r="G66" t="str">
        <x:v>Đơn vị sử dụng</x:v>
      </x:c>
      <x:c r="H66" t="str"/>
    </x:row>
    <x:row r="67">
      <x:c r="A67" t="str">
        <x:v>UTIL_VALUE</x:v>
      </x:c>
      <x:c r="B67" t="str">
        <x:v>Giá trị khoa học</x:v>
      </x:c>
      <x:c r="C67" t="str">
        <x:v>Điểm 0–3</x:v>
      </x:c>
      <x:c r="D67" t="str">
        <x:v>Integer</x:v>
      </x:c>
      <x:c r="E67" t="str">
        <x:v>0–3</x:v>
      </x:c>
      <x:c r="F67" t="str">
        <x:v>Không</x:v>
      </x:c>
      <x:c r="G67" t="str">
        <x:v>Chuyên gia</x:v>
      </x:c>
      <x:c r="H67" t="str"/>
    </x:row>
    <x:row r="68">
      <x:c r="A68" t="str">
        <x:v>UTIL_VALUE</x:v>
      </x:c>
      <x:c r="B68" t="str">
        <x:v>Giá trị đào tạo</x:v>
      </x:c>
      <x:c r="C68" t="str">
        <x:v>Điểm 0–3</x:v>
      </x:c>
      <x:c r="D68" t="str">
        <x:v>Integer</x:v>
      </x:c>
      <x:c r="E68" t="str">
        <x:v>0–3</x:v>
      </x:c>
      <x:c r="F68" t="str">
        <x:v>Không</x:v>
      </x:c>
      <x:c r="G68" t="str">
        <x:v>Chuyên gia</x:v>
      </x:c>
      <x:c r="H68" t="str"/>
    </x:row>
    <x:row r="69">
      <x:c r="A69" t="str">
        <x:v>UTIL_VALUE</x:v>
      </x:c>
      <x:c r="B69" t="str">
        <x:v>Giá trị công nghệ</x:v>
      </x:c>
      <x:c r="C69" t="str">
        <x:v>Điểm 0–3</x:v>
      </x:c>
      <x:c r="D69" t="str">
        <x:v>Integer</x:v>
      </x:c>
      <x:c r="E69" t="str">
        <x:v>0–3</x:v>
      </x:c>
      <x:c r="F69" t="str">
        <x:v>Không</x:v>
      </x:c>
      <x:c r="G69" t="str">
        <x:v>Chuyên gia</x:v>
      </x:c>
      <x:c r="H69" t="str"/>
    </x:row>
    <x:row r="70">
      <x:c r="A70" t="str">
        <x:v>UTIL_VALUE</x:v>
      </x:c>
      <x:c r="B70" t="str">
        <x:v>Giá trị kinh tế</x:v>
      </x:c>
      <x:c r="C70" t="str">
        <x:v>Điểm 0–3</x:v>
      </x:c>
      <x:c r="D70" t="str">
        <x:v>Integer</x:v>
      </x:c>
      <x:c r="E70" t="str">
        <x:v>0–3</x:v>
      </x:c>
      <x:c r="F70" t="str">
        <x:v>Không</x:v>
      </x:c>
      <x:c r="G70" t="str">
        <x:v>Chuyên gia</x:v>
      </x:c>
      <x:c r="H70" t="str"/>
    </x:row>
    <x:row r="71">
      <x:c r="A71" t="str">
        <x:v>UTIL_VALUE</x:v>
      </x:c>
      <x:c r="B71" t="str">
        <x:v>Giá trị chiến lược</x:v>
      </x:c>
      <x:c r="C71" t="str">
        <x:v>Điểm 0–3</x:v>
      </x:c>
      <x:c r="D71" t="str">
        <x:v>Integer</x:v>
      </x:c>
      <x:c r="E71" t="str">
        <x:v>0–3</x:v>
      </x:c>
      <x:c r="F71" t="str">
        <x:v>Không</x:v>
      </x:c>
      <x:c r="G71" t="str">
        <x:v>Chuyên gia/ranking mapping</x:v>
      </x:c>
      <x:c r="H71" t="str"/>
    </x:row>
    <x:row r="72">
      <x:c r="A72" t="str">
        <x:v>UTIL_VALUE</x:v>
      </x:c>
      <x:c r="B72" t="str">
        <x:v>Tình trạng định giá</x:v>
      </x:c>
      <x:c r="C72" t="str">
        <x:v>Mức định giá</x:v>
      </x:c>
      <x:c r="D72" t="str">
        <x:v>Category</x:v>
      </x:c>
      <x:c r="E72" t="str">
        <x:v>Chưa/Ước tính sơ bộ/Thẩm định chuyên nghiệp</x:v>
      </x:c>
      <x:c r="F72" t="str">
        <x:v>Không</x:v>
      </x:c>
      <x:c r="G72" t="str">
        <x:v>Hồ sơ</x:v>
      </x:c>
      <x:c r="H72" t="str"/>
    </x:row>
    <x:row r="73">
      <x:c r="A73" t="str">
        <x:v>LEGAL_GAP</x:v>
      </x:c>
      <x:c r="B73" t="str">
        <x:v>Khâu quản trị</x:v>
      </x:c>
      <x:c r="C73" t="str">
        <x:v>Bước trong chu trình IP</x:v>
      </x:c>
      <x:c r="D73" t="str">
        <x:v>Category</x:v>
      </x:c>
      <x:c r="E73" t="str">
        <x:v>Nhận diện/Sở hữu/Bảo mật/Đăng ký/Khai thác/Phân chia lợi ích/Định giá/Theo dõi/...</x:v>
      </x:c>
      <x:c r="F73" t="str">
        <x:v>Có</x:v>
      </x:c>
      <x:c r="G73" t="str">
        <x:v>Khung nghiên cứu</x:v>
      </x:c>
      <x:c r="H73" t="str"/>
    </x:row>
    <x:row r="74">
      <x:c r="A74" t="str">
        <x:v>LEGAL_GAP</x:v>
      </x:c>
      <x:c r="B74" t="str">
        <x:v>Yêu cầu/quy định nội bộ</x:v>
      </x:c>
      <x:c r="C74" t="str">
        <x:v>Chuẩn phải đạt</x:v>
      </x:c>
      <x:c r="D74" t="str">
        <x:v>Text</x:v>
      </x:c>
      <x:c r="E74" t="str"/>
      <x:c r="F74" t="str">
        <x:v>Có</x:v>
      </x:c>
      <x:c r="G74" t="str">
        <x:v>Quy chế</x:v>
      </x:c>
      <x:c r="H74" t="str"/>
    </x:row>
    <x:row r="75">
      <x:c r="A75" t="str">
        <x:v>LEGAL_GAP</x:v>
      </x:c>
      <x:c r="B75" t="str">
        <x:v>Bằng chứng thực tế cần thu</x:v>
      </x:c>
      <x:c r="C75" t="str">
        <x:v>Evidence checklist</x:v>
      </x:c>
      <x:c r="D75" t="str">
        <x:v>Text</x:v>
      </x:c>
      <x:c r="E75" t="str"/>
      <x:c r="F75" t="str">
        <x:v>Có</x:v>
      </x:c>
      <x:c r="G75" t="str">
        <x:v>Thiết kế audit</x:v>
      </x:c>
      <x:c r="H75" t="str"/>
    </x:row>
    <x:row r="76">
      <x:c r="A76" t="str">
        <x:v>LEGAL_GAP</x:v>
      </x:c>
      <x:c r="B76" t="str">
        <x:v>Bằng chứng hiện có</x:v>
      </x:c>
      <x:c r="C76" t="str">
        <x:v>Evidence đã thu</x:v>
      </x:c>
      <x:c r="D76" t="str">
        <x:v>Text</x:v>
      </x:c>
      <x:c r="E76" t="str"/>
      <x:c r="F76" t="str">
        <x:v>Không</x:v>
      </x:c>
      <x:c r="G76" t="str">
        <x:v>Dataset</x:v>
      </x:c>
      <x:c r="H76" t="str"/>
    </x:row>
    <x:row r="77">
      <x:c r="A77" t="str">
        <x:v>LEGAL_GAP</x:v>
      </x:c>
      <x:c r="B77" t="str">
        <x:v>Mức tuân thủ</x:v>
      </x:c>
      <x:c r="C77" t="str">
        <x:v>Điểm compliance</x:v>
      </x:c>
      <x:c r="D77" t="str">
        <x:v>Integer</x:v>
      </x:c>
      <x:c r="E77" t="str">
        <x:v>0 không có;1 một phần;2 đầy đủ</x:v>
      </x:c>
      <x:c r="F77" t="str">
        <x:v>Không</x:v>
      </x:c>
      <x:c r="G77" t="str">
        <x:v>Đánh giá sau audit</x:v>
      </x:c>
      <x:c r="H77" t="str"/>
    </x:row>
    <x:row r="78">
      <x:c r="A78" t="str">
        <x:v>LEGAL_GAP</x:v>
      </x:c>
      <x:c r="B78" t="str">
        <x:v>Mức độ rủi ro</x:v>
      </x:c>
      <x:c r="C78" t="str">
        <x:v>Risk rating</x:v>
      </x:c>
      <x:c r="D78" t="str">
        <x:v>Category</x:v>
      </x:c>
      <x:c r="E78" t="str">
        <x:v>Thấp/Trung bình/Cao</x:v>
      </x:c>
      <x:c r="F78" t="str">
        <x:v>Không</x:v>
      </x:c>
      <x:c r="G78" t="str">
        <x:v>Nhóm nghiên cứu</x:v>
      </x:c>
      <x:c r="H78" t="str"/>
    </x:row>
    <x:row r="79">
      <x:c r="A79" t="str">
        <x:v>LEGAL_GAP</x:v>
      </x:c>
      <x:c r="B79" t="str">
        <x:v>Khoảng cách sơ bộ</x:v>
      </x:c>
      <x:c r="C79" t="str">
        <x:v>Gap finding</x:v>
      </x:c>
      <x:c r="D79" t="str">
        <x:v>Text</x:v>
      </x:c>
      <x:c r="E79" t="str"/>
      <x:c r="F79" t="str">
        <x:v>Không</x:v>
      </x:c>
      <x:c r="G79" t="str">
        <x:v>Phân tích</x:v>
      </x:c>
      <x:c r="H79" t="str">
        <x:v>Không kết luận khi thiếu hồ sơ</x:v>
      </x:c>
    </x:row>
  </x:sheetData>
  <x:pageMargins left="0.7" right="0.7" top="0.75" bottom="0.75" header="0.3" footer="0.3"/>
  <x:tableParts count="1">
    <x:tablePart xmlns:r="http://schemas.openxmlformats.org/officeDocument/2006/relationships" r:id="R2a480eaf402b44ca"/>
  </x:tableParts>
</x:worksheet>
</file>

<file path=xl/worksheets/sheet9.xml><?xml version="1.0" encoding="utf-8"?>
<x:worksheet xmlns:x="http://schemas.openxmlformats.org/spreadsheetml/2006/main">
  <x:sheetFormatPr defaultRowHeight="15"/>
  <x:cols>
    <x:col min="1" max="1" width="34" hidden="0" customWidth="1"/>
    <x:col min="2" max="2" width="46" hidden="0" customWidth="1"/>
    <x:col min="3" max="3" width="14" hidden="0" customWidth="1"/>
    <x:col min="4" max="4" width="18" hidden="0" customWidth="1"/>
    <x:col min="5" max="5" width="28" hidden="0" customWidth="1"/>
  </x:cols>
  <x:sheetData>
    <x:row r="1">
      <x:c r="A1" s="5" t="str">
        <x:v>KPI / IP FUNNEL – BẢN MẪU (CHƯA PHẢI KẾT QUẢ TOÀN TRƯỜNG)</x:v>
      </x:c>
      <x:c r="B1" s="5"/>
      <x:c r="C1" s="5"/>
      <x:c r="D1" s="5"/>
      <x:c r="E1" s="5"/>
      <x:c r="F1" s="5"/>
      <x:c r="G1" s="5"/>
      <x:c r="H1" s="5"/>
    </x:row>
    <x:row r="3">
      <x:c r="A3" s="14" t="str">
        <x:v>Chỉ số</x:v>
      </x:c>
      <x:c r="B3" s="14" t="str">
        <x:v>Công thức/ý nghĩa</x:v>
      </x:c>
      <x:c r="C3" s="14" t="str">
        <x:v>Giá trị</x:v>
      </x:c>
      <x:c r="D3" s="20"/>
      <x:c r="E3" s="20"/>
    </x:row>
    <x:row r="4">
      <x:c r="A4" s="20" t="str">
        <x:v>Số đề tài đã nhập</x:v>
      </x:c>
      <x:c r="B4" s="20" t="str">
        <x:v>COUNTA Project_ID</x:v>
      </x:c>
      <x:c r="C4" s="20" t="n">
        <x:f>COUNTA('01_PROJECT'!A2:A1000)</x:f>
        <x:v>7</x:v>
      </x:c>
      <x:c r="D4" s="20"/>
      <x:c r="E4" s="20"/>
    </x:row>
    <x:row r="5">
      <x:c r="A5" s="20" t="str">
        <x:v>Số đầu ra đã bóc tách</x:v>
      </x:c>
      <x:c r="B5" s="20" t="str">
        <x:v>COUNTA Output_ID</x:v>
      </x:c>
      <x:c r="C5" s="20" t="n">
        <x:f>COUNTA('02_OUTPUT'!A2:A2000)</x:f>
        <x:v>19</x:v>
      </x:c>
      <x:c r="D5" s="20"/>
      <x:c r="E5" s="20"/>
    </x:row>
    <x:row r="6">
      <x:c r="A6" s="20" t="str">
        <x:v>Số TSTT/cụm TSTT sơ bộ</x:v>
      </x:c>
      <x:c r="B6" s="20" t="str">
        <x:v>COUNTA IP_ID</x:v>
      </x:c>
      <x:c r="C6" s="20" t="n">
        <x:f>COUNTA('03_IP_ASSET'!A2:A2000)</x:f>
        <x:v>7</x:v>
      </x:c>
      <x:c r="D6" s="20"/>
      <x:c r="E6" s="20"/>
    </x:row>
    <x:row r="7">
      <x:c r="A7" s="20" t="str">
        <x:v>Đã nhận diện chính thức</x:v>
      </x:c>
      <x:c r="B7" s="20" t="str">
        <x:v>IP asset = Có</x:v>
      </x:c>
      <x:c r="C7" s="20" t="n">
        <x:f>COUNTIF('03_IP_ASSET'!L2:L2000,"Có")</x:f>
        <x:v>0</x:v>
      </x:c>
      <x:c r="D7" s="20"/>
      <x:c r="E7" s="20"/>
    </x:row>
    <x:row r="8">
      <x:c r="A8" s="20" t="str">
        <x:v>Đã sàng lọc bảo hộ</x:v>
      </x:c>
      <x:c r="B8" s="20" t="str">
        <x:v>Screening = Có</x:v>
      </x:c>
      <x:c r="C8" s="20" t="n">
        <x:f>COUNTIF('03_IP_ASSET'!M2:M2000,"Có")</x:f>
        <x:v>0</x:v>
      </x:c>
      <x:c r="D8" s="20"/>
      <x:c r="E8" s="20"/>
    </x:row>
    <x:row r="9">
      <x:c r="A9" s="20" t="str">
        <x:v>Có hồ sơ nộp/đã cấp</x:v>
      </x:c>
      <x:c r="B9" s="20" t="str">
        <x:v>Protection status: Đã nộp/Được cấp</x:v>
      </x:c>
      <x:c r="C9" s="20" t="n">
        <x:f>COUNTIF('04_PROTECTION'!K2:K2000,"Đã nộp")+COUNTIF('04_PROTECTION'!K2:K2000,"Được cấp")</x:f>
        <x:v>0</x:v>
      </x:c>
      <x:c r="D9" s="20"/>
      <x:c r="E9" s="20"/>
    </x:row>
    <x:row r="10">
      <x:c r="A10" s="20" t="str">
        <x:v>Có bằng chứng ứng dụng/khai thác</x:v>
      </x:c>
      <x:c r="B10" s="20" t="str">
        <x:v>Mức sử dụng &gt; 0</x:v>
      </x:c>
      <x:c r="C10" s="20" t="n">
        <x:f>COUNTIF('05_UTIL_VALUE'!E2:E2000,"&gt;0")</x:f>
        <x:v>1</x:v>
      </x:c>
      <x:c r="D10" s="20"/>
      <x:c r="E10" s="20"/>
    </x:row>
    <x:row r="11">
      <x:c r="A11" s="20" t="str">
        <x:v>Có thương mại hóa xác nhận</x:v>
      </x:c>
      <x:c r="B11" s="20" t="str">
        <x:v>Mức sử dụng = 7</x:v>
      </x:c>
      <x:c r="C11" s="20" t="n">
        <x:f>COUNTIF('05_UTIL_VALUE'!E2:E2000,7)</x:f>
        <x:v>0</x:v>
      </x:c>
      <x:c r="D11" s="20"/>
      <x:c r="E11" s="20"/>
    </x:row>
    <x:row r="12">
      <x:c r="A12" s="20"/>
      <x:c r="B12" s="20"/>
      <x:c r="C12" s="20"/>
      <x:c r="D12" s="20"/>
      <x:c r="E12" s="20"/>
    </x:row>
    <x:row r="13">
      <x:c r="A13" s="29" t="str">
        <x:v>Mã mức sử dụng</x:v>
      </x:c>
      <x:c r="B13" s="29" t="str">
        <x:v>Diễn giải</x:v>
      </x:c>
      <x:c r="C13" s="20"/>
      <x:c r="D13" s="29" t="str">
        <x:v>Điểm tiềm năng</x:v>
      </x:c>
      <x:c r="E13" s="29" t="str">
        <x:v>Diễn giải</x:v>
      </x:c>
    </x:row>
    <x:row r="14">
      <x:c r="A14" s="20" t="n">
        <x:v>0</x:v>
      </x:c>
      <x:c r="B14" s="20" t="str">
        <x:v>Chưa sử dụng</x:v>
      </x:c>
      <x:c r="C14" s="20"/>
      <x:c r="D14" s="20" t="n">
        <x:v>0</x:v>
      </x:c>
      <x:c r="E14" s="20" t="str">
        <x:v>Không/không phù hợp</x:v>
      </x:c>
    </x:row>
    <x:row r="15">
      <x:c r="A15" s="20" t="n">
        <x:v>1</x:v>
      </x:c>
      <x:c r="B15" s="20" t="str">
        <x:v>Sử dụng trong giảng dạy</x:v>
      </x:c>
      <x:c r="C15" s="20"/>
      <x:c r="D15" s="20" t="n">
        <x:v>1</x:v>
      </x:c>
      <x:c r="E15" s="20" t="str">
        <x:v>Thấp</x:v>
      </x:c>
    </x:row>
    <x:row r="16">
      <x:c r="A16" s="20" t="n">
        <x:v>2</x:v>
      </x:c>
      <x:c r="B16" s="20" t="str">
        <x:v>Dùng cho nghiên cứu tiếp</x:v>
      </x:c>
      <x:c r="C16" s="20"/>
      <x:c r="D16" s="20" t="n">
        <x:v>2</x:v>
      </x:c>
      <x:c r="E16" s="20" t="str">
        <x:v>Trung bình</x:v>
      </x:c>
    </x:row>
    <x:row r="17">
      <x:c r="A17" s="20" t="n">
        <x:v>3</x:v>
      </x:c>
      <x:c r="B17" s="20" t="str">
        <x:v>Ứng dụng nội bộ</x:v>
      </x:c>
      <x:c r="C17" s="20"/>
      <x:c r="D17" s="20" t="n">
        <x:v>3</x:v>
      </x:c>
      <x:c r="E17" s="20" t="str">
        <x:v>Cao</x:v>
      </x:c>
    </x:row>
    <x:row r="18">
      <x:c r="A18" s="20" t="n">
        <x:v>4</x:v>
      </x:c>
      <x:c r="B18" s="20" t="str">
        <x:v>Chuẩn bị/thử nghiệm với đối tác</x:v>
      </x:c>
      <x:c r="C18" s="20"/>
      <x:c r="D18" s="20"/>
      <x:c r="E18" s="20"/>
    </x:row>
    <x:row r="19">
      <x:c r="A19" s="20" t="n">
        <x:v>5</x:v>
      </x:c>
      <x:c r="B19" s="20" t="str">
        <x:v>Đơn vị ngoài trường sử dụng</x:v>
      </x:c>
      <x:c r="C19" s="20"/>
      <x:c r="D19" s="20"/>
      <x:c r="E19" s="20"/>
    </x:row>
    <x:row r="20">
      <x:c r="A20" s="20" t="n">
        <x:v>6</x:v>
      </x:c>
      <x:c r="B20" s="20" t="str">
        <x:v>Chuyển giao/cấp phép</x:v>
      </x:c>
      <x:c r="C20" s="20"/>
      <x:c r="D20" s="20"/>
      <x:c r="E20" s="20"/>
    </x:row>
    <x:row r="21">
      <x:c r="A21" s="20" t="n">
        <x:v>7</x:v>
      </x:c>
      <x:c r="B21" s="20" t="str">
        <x:v>Thương mại hóa xác nhận</x:v>
      </x:c>
      <x:c r="C21" s="20"/>
      <x:c r="D21" s="20"/>
      <x:c r="E21" s="20"/>
    </x:row>
  </x:sheetData>
  <x:mergeCells>
    <x:mergeCell ref="A1:H1"/>
  </x:mergeCells>
  <x:pageMargins left="0.7" right="0.7" top="0.75" bottom="0.75" header="0.3" footer="0.3"/>
  <x:drawing xmlns:r="http://schemas.openxmlformats.org/officeDocument/2006/relationships" r:id="Rd8f00ec6007d4ac2"/>
</x:worksheet>
</file>

<file path=xl/worksheets/sheet10.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x:c r="A1" s="14" t="str">
        <x:v>Strategic Cluster</x:v>
      </x:c>
      <x:c r="B1" s="14" t="str">
        <x:v>Loại đầu ra</x:v>
      </x:c>
      <x:c r="C1" s="14" t="str">
        <x:v>Nhóm TSTT</x:v>
      </x:c>
      <x:c r="D1" s="14" t="str">
        <x:v>Trạng thái IP</x:v>
      </x:c>
      <x:c r="E1" s="14" t="str">
        <x:v>Mức sử dụng</x:v>
      </x:c>
      <x:c r="F1" s="14" t="str">
        <x:v>Mức tin cậy</x:v>
      </x:c>
    </x:row>
    <x:row r="2">
      <x:c r="A2" t="str">
        <x:v>Smart Mobility</x:v>
      </x:c>
      <x:c r="B2" t="str">
        <x:v>Báo cáo nghiên cứu</x:v>
      </x:c>
      <x:c r="C2" t="str">
        <x:v>Học thuật</x:v>
      </x:c>
      <x:c r="D2" t="str">
        <x:v>Tiềm năng</x:v>
      </x:c>
      <x:c r="E2" t="n">
        <x:v>0</x:v>
      </x:c>
      <x:c r="F2" t="str">
        <x:v>Cao</x:v>
      </x:c>
    </x:row>
    <x:row r="3">
      <x:c r="A3" t="str">
        <x:v>Digital Services</x:v>
      </x:c>
      <x:c r="B3" t="str">
        <x:v>Bài báo</x:v>
      </x:c>
      <x:c r="C3" t="str">
        <x:v>Công nghệ</x:v>
      </x:c>
      <x:c r="D3" t="str">
        <x:v>Đang sàng lọc</x:v>
      </x:c>
      <x:c r="E3" t="n">
        <x:v>1</x:v>
      </x:c>
      <x:c r="F3" t="str">
        <x:v>Trung bình</x:v>
      </x:c>
    </x:row>
    <x:row r="4">
      <x:c r="A4" t="str">
        <x:v>Global Communication</x:v>
      </x:c>
      <x:c r="B4" t="str">
        <x:v>Sách/Giáo trình/Học liệu</x:v>
      </x:c>
      <x:c r="C4" t="str">
        <x:v>Số</x:v>
      </x:c>
      <x:c r="D4" t="str">
        <x:v>Dự kiến đăng ký</x:v>
      </x:c>
      <x:c r="E4" t="n">
        <x:v>2</x:v>
      </x:c>
      <x:c r="F4" t="str">
        <x:v>Thấp</x:v>
      </x:c>
    </x:row>
    <x:row r="5">
      <x:c r="A5" t="str">
        <x:v>Wellness &amp; Care</x:v>
      </x:c>
      <x:c r="B5" t="str">
        <x:v>CSDL</x:v>
      </x:c>
      <x:c r="C5" t="str">
        <x:v>Thương hiệu</x:v>
      </x:c>
      <x:c r="D5" t="str">
        <x:v>Đã nộp</x:v>
      </x:c>
      <x:c r="E5" t="n">
        <x:v>3</x:v>
      </x:c>
      <x:c r="F5"/>
    </x:row>
    <x:row r="6">
      <x:c r="A6" t="str">
        <x:v>Khác/Chưa phân loại</x:v>
      </x:c>
      <x:c r="B6" t="str">
        <x:v>Phần mềm</x:v>
      </x:c>
      <x:c r="C6" t="str">
        <x:v>Dữ liệu</x:v>
      </x:c>
      <x:c r="D6" t="str">
        <x:v>Đã cấp</x:v>
      </x:c>
      <x:c r="E6" t="n">
        <x:v>4</x:v>
      </x:c>
      <x:c r="F6"/>
    </x:row>
    <x:row r="7">
      <x:c r="A7"/>
      <x:c r="B7" t="str">
        <x:v>Quy trình/công thức</x:v>
      </x:c>
      <x:c r="C7" t="str">
        <x:v>Khác</x:v>
      </x:c>
      <x:c r="D7" t="str">
        <x:v>Không tiếp tục</x:v>
      </x:c>
      <x:c r="E7" t="n">
        <x:v>5</x:v>
      </x:c>
      <x:c r="F7"/>
    </x:row>
    <x:row r="8">
      <x:c r="A8"/>
      <x:c r="B8" t="str">
        <x:v>Sản phẩm/prototype</x:v>
      </x:c>
      <x:c r="C8"/>
      <x:c r="D8"/>
      <x:c r="E8" t="n">
        <x:v>6</x:v>
      </x:c>
      <x:c r="F8"/>
    </x:row>
    <x:row r="9">
      <x:c r="A9"/>
      <x:c r="B9" t="str">
        <x:v>Mô hình/prototype</x:v>
      </x:c>
      <x:c r="C9"/>
      <x:c r="D9"/>
      <x:c r="E9" t="n">
        <x:v>7</x:v>
      </x:c>
      <x:c r="F9"/>
    </x:row>
    <x:row r="10">
      <x:c r="A10"/>
      <x:c r="B10" t="str">
        <x:v>Thiết kế/KDCN</x:v>
      </x:c>
      <x:c r="C10"/>
      <x:c r="D10"/>
      <x:c r="E10"/>
      <x:c r="F10"/>
    </x:row>
    <x:row r="11">
      <x:c r="A11"/>
      <x:c r="B11" t="str">
        <x:v>Nhãn hiệu</x:v>
      </x:c>
      <x:c r="C11"/>
      <x:c r="D11"/>
      <x:c r="E11"/>
      <x:c r="F11"/>
    </x:row>
    <x:row r="12">
      <x:c r="A12"/>
      <x:c r="B12" t="str">
        <x:v>Khác</x:v>
      </x:c>
      <x:c r="C12"/>
      <x:c r="D12"/>
      <x:c r="E12"/>
      <x:c r="F12"/>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58" hidden="0" customWidth="1"/>
    <x:col min="5" max="5" width="10" hidden="0" customWidth="1"/>
    <x:col min="6" max="6" width="22" hidden="0" customWidth="1"/>
    <x:col min="7" max="7" width="20" hidden="0" customWidth="1"/>
    <x:col min="8" max="8" width="24" hidden="0" customWidth="1"/>
    <x:col min="9" max="9" width="22" hidden="0" customWidth="1"/>
    <x:col min="10" max="10" width="13" hidden="0" customWidth="1"/>
    <x:col min="11" max="11" width="12" hidden="0" customWidth="1"/>
    <x:col min="12" max="12" width="16" hidden="0" customWidth="1"/>
    <x:col min="13" max="13" width="24" hidden="0" customWidth="1"/>
    <x:col min="14" max="14" width="12" hidden="0" customWidth="1"/>
    <x:col min="15" max="15" width="20" hidden="0" customWidth="1"/>
    <x:col min="16" max="16" width="14" hidden="0" customWidth="1"/>
    <x:col min="17" max="17" width="44" hidden="0" customWidth="1"/>
    <x:col min="18" max="18" width="50" hidden="0" customWidth="1"/>
  </x:cols>
  <x:sheetData>
    <x:row r="1">
      <x:c r="A1" s="39" t="str">
        <x:v>Project_ID</x:v>
      </x:c>
      <x:c r="B1" s="39" t="str">
        <x:v>Năm giao/nhóm</x:v>
      </x:c>
      <x:c r="C1" s="39" t="str">
        <x:v>Mã đề tài</x:v>
      </x:c>
      <x:c r="D1" s="39" t="str">
        <x:v>Tên đề tài</x:v>
      </x:c>
      <x:c r="E1" s="39" t="str">
        <x:v>Cấp</x:v>
      </x:c>
      <x:c r="F1" s="39" t="str">
        <x:v>Chủ nhiệm</x:v>
      </x:c>
      <x:c r="G1" s="39" t="str">
        <x:v>Đơn vị chủ trì</x:v>
      </x:c>
      <x:c r="H1" s="39" t="str">
        <x:v>Nhóm ngành chuẩn hóa</x:v>
      </x:c>
      <x:c r="I1" s="39" t="str">
        <x:v>Strategic_Cluster</x:v>
      </x:c>
      <x:c r="J1" s="39" t="str">
        <x:v>Ngày nghiệm thu</x:v>
      </x:c>
      <x:c r="K1" s="39" t="str">
        <x:v>Xếp loại</x:v>
      </x:c>
      <x:c r="L1" s="39" t="str">
        <x:v>Kinh phí_VND</x:v>
      </x:c>
      <x:c r="M1" s="39" t="str">
        <x:v>Hình thức kinh phí</x:v>
      </x:c>
      <x:c r="N1" s="39" t="str">
        <x:v>Số người tham gia</x:v>
      </x:c>
      <x:c r="O1" s="39" t="str">
        <x:v>Đầu ra ứng dụng ghi trong hồ sơ?</x:v>
      </x:c>
      <x:c r="P1" s="39" t="str">
        <x:v>Số đầu ra (formula)</x:v>
      </x:c>
      <x:c r="Q1" s="39" t="str">
        <x:v>Nguồn</x:v>
      </x:c>
      <x:c r="R1" s="39" t="str">
        <x:v>Ghi chú xác minh</x:v>
      </x:c>
    </x:row>
    <x:row r="2">
      <x:c r="A2" t="str">
        <x:v>P2021-20</x:v>
      </x:c>
      <x:c r="B2" t="n">
        <x:v>2021</x:v>
      </x:c>
      <x:c r="C2" t="str">
        <x:v>20-2021/KHCN</x:v>
      </x:c>
      <x:c r="D2" t="str">
        <x:v>Nghiên cứu năng lực nghe hiểu của sinh viên cử nhân thực hành tiếng Nhật năm thứ 2 tại Trường Đại học Thành Đô</x:v>
      </x:c>
      <x:c r="E2" t="str">
        <x:v>Cơ sở</x:v>
      </x:c>
      <x:c r="F2" t="str">
        <x:v>Lê Thanh Phương</x:v>
      </x:c>
      <x:c r="G2" t="str">
        <x:v>Khoa DL-NN</x:v>
      </x:c>
      <x:c r="H2" t="str">
        <x:v>Ngôn ngữ/Giáo dục</x:v>
      </x:c>
      <x:c r="I2" t="str">
        <x:v>Global Communication</x:v>
      </x:c>
      <x:c r="J2" s="22" t="n">
        <x:v>44816</x:v>
      </x:c>
      <x:c r="K2" t="str">
        <x:v>Đạt</x:v>
      </x:c>
      <x:c r="L2" s="24"/>
      <x:c r="M2" t="str">
        <x:v>Quy đổi giờ NCKH</x:v>
      </x:c>
      <x:c r="N2" t="n">
        <x:v>1</x:v>
      </x:c>
      <x:c r="O2" t="str">
        <x:v>Không ghi nhận</x:v>
      </x:c>
      <x:c r="P2" t="n">
        <x:f>COUNTIF('02_OUTPUT_ALL'!$B:$B,A2)</x:f>
        <x:v>1</x:v>
      </x:c>
      <x:c r="Q2" t="str">
        <x:v>Tổng hợp đề tài KHCN cấp cơ sở của GV 2021-2025.pdf, tr.1</x:v>
      </x:c>
      <x:c r="R2" t="str">
        <x:v>Năm nhóm theo mục NĂM 2021; nghiệm thu năm 2022.</x:v>
      </x:c>
    </x:row>
    <x:row r="3">
      <x:c r="A3" t="str">
        <x:v>P2021-22</x:v>
      </x:c>
      <x:c r="B3" t="n">
        <x:v>2021</x:v>
      </x:c>
      <x:c r="C3" t="str">
        <x:v>22-2021/KHCN</x:v>
      </x:c>
      <x:c r="D3" t="str">
        <x:v>Đánh giá giáo trình Network dùng cho sinh viên năm thứ nhất Trường Đại học Thành Đô</x:v>
      </x:c>
      <x:c r="E3" t="str">
        <x:v>Cơ sở</x:v>
      </x:c>
      <x:c r="F3" t="str">
        <x:v>Nguyễn Thị Vân Anh</x:v>
      </x:c>
      <x:c r="G3" t="str">
        <x:v>Khoa DL-NN</x:v>
      </x:c>
      <x:c r="H3" t="str">
        <x:v>Ngôn ngữ/Giáo dục</x:v>
      </x:c>
      <x:c r="I3" t="str">
        <x:v>Global Communication</x:v>
      </x:c>
      <x:c r="J3" s="22" t="n">
        <x:v>44816</x:v>
      </x:c>
      <x:c r="K3" t="str">
        <x:v>Đạt</x:v>
      </x:c>
      <x:c r="L3" s="24"/>
      <x:c r="M3" t="str">
        <x:v>Quy đổi giờ NCKH</x:v>
      </x:c>
      <x:c r="N3" t="n">
        <x:v>1</x:v>
      </x:c>
      <x:c r="O3" t="str">
        <x:v>Không ghi nhận</x:v>
      </x:c>
      <x:c r="P3" t="n">
        <x:f>COUNTIF('02_OUTPUT_ALL'!$B:$B,A3)</x:f>
        <x:v>1</x:v>
      </x:c>
      <x:c r="Q3" t="str">
        <x:v>Tổng hợp đề tài KHCN cấp cơ sở của GV 2021-2025.pdf, tr.1</x:v>
      </x:c>
      <x:c r="R3" t="str"/>
    </x:row>
    <x:row r="4">
      <x:c r="A4" t="str">
        <x:v>P2021-24</x:v>
      </x:c>
      <x:c r="B4" t="n">
        <x:v>2021</x:v>
      </x:c>
      <x:c r="C4" t="str">
        <x:v>24-2021/KHCN</x:v>
      </x:c>
      <x:c r="D4" t="str">
        <x:v>Đánh giá ứng dụng mô hình học tập kết hợp (Blended Learning) trong việc dạy và học tiếng Anh tại Trường Đại học Thành Đô</x:v>
      </x:c>
      <x:c r="E4" t="str">
        <x:v>Cơ sở</x:v>
      </x:c>
      <x:c r="F4" t="str">
        <x:v>Đinh Thị Thanh Huyền</x:v>
      </x:c>
      <x:c r="G4" t="str">
        <x:v>Khoa DL-NN</x:v>
      </x:c>
      <x:c r="H4" t="str">
        <x:v>Ngôn ngữ/Giáo dục</x:v>
      </x:c>
      <x:c r="I4" t="str">
        <x:v>Global Communication</x:v>
      </x:c>
      <x:c r="J4" s="22" t="n">
        <x:v>44816</x:v>
      </x:c>
      <x:c r="K4" t="str">
        <x:v>Tốt</x:v>
      </x:c>
      <x:c r="L4" s="24"/>
      <x:c r="M4" t="str">
        <x:v>Quy đổi giờ NCKH</x:v>
      </x:c>
      <x:c r="N4" t="n">
        <x:v>1</x:v>
      </x:c>
      <x:c r="O4" t="str">
        <x:v>Không ghi nhận</x:v>
      </x:c>
      <x:c r="P4" t="n">
        <x:f>COUNTIF('02_OUTPUT_ALL'!$B:$B,A4)</x:f>
        <x:v>1</x:v>
      </x:c>
      <x:c r="Q4" t="str">
        <x:v>Tổng hợp đề tài KHCN cấp cơ sở của GV 2021-2025.pdf, tr.1</x:v>
      </x:c>
      <x:c r="R4" t="str"/>
    </x:row>
    <x:row r="5">
      <x:c r="A5" t="str">
        <x:v>P2021-27</x:v>
      </x:c>
      <x:c r="B5" t="n">
        <x:v>2021</x:v>
      </x:c>
      <x:c r="C5" t="str">
        <x:v>27-2021/KHCN</x:v>
      </x:c>
      <x:c r="D5" t="str">
        <x:v>Thực trạng và động lực phát triển chuyên môn của giáo viên</x:v>
      </x:c>
      <x:c r="E5" t="str">
        <x:v>Cơ sở</x:v>
      </x:c>
      <x:c r="F5" t="str">
        <x:v>Phan Thị Thanh Thảo</x:v>
      </x:c>
      <x:c r="G5" t="str">
        <x:v>Khoa DL-NN</x:v>
      </x:c>
      <x:c r="H5" t="str">
        <x:v>Khoa học giáo dục</x:v>
      </x:c>
      <x:c r="I5" t="str">
        <x:v>Khác/Chưa phân loại</x:v>
      </x:c>
      <x:c r="J5" s="22" t="n">
        <x:v>44370</x:v>
      </x:c>
      <x:c r="K5" t="str">
        <x:v>Đạt</x:v>
      </x:c>
      <x:c r="L5" s="24"/>
      <x:c r="M5" t="str">
        <x:v>Quy đổi giờ NCKH</x:v>
      </x:c>
      <x:c r="N5" t="n">
        <x:v>6</x:v>
      </x:c>
      <x:c r="O5" t="str">
        <x:v>Không ghi nhận</x:v>
      </x:c>
      <x:c r="P5" t="n">
        <x:f>COUNTIF('02_OUTPUT_ALL'!$B:$B,A5)</x:f>
        <x:v>3</x:v>
      </x:c>
      <x:c r="Q5" t="str">
        <x:v>Tổng hợp đề tài KHCN cấp cơ sở của GV 2021-2025.pdf, tr.1</x:v>
      </x:c>
      <x:c r="R5" t="str"/>
    </x:row>
    <x:row r="6">
      <x:c r="A6" t="str">
        <x:v>P2021-28</x:v>
      </x:c>
      <x:c r="B6" t="n">
        <x:v>2021</x:v>
      </x:c>
      <x:c r="C6" t="str">
        <x:v>28-2021/KHCN</x:v>
      </x:c>
      <x:c r="D6" t="str">
        <x:v>Hoạt động công bố quốc tế tại Việt Nam: Thực trạng và ý nghĩa đối với cộng đồng và những nhà hoạch định chính sách</x:v>
      </x:c>
      <x:c r="E6" t="str">
        <x:v>Cơ sở</x:v>
      </x:c>
      <x:c r="F6" t="str">
        <x:v>Phan Thị Thanh Thảo</x:v>
      </x:c>
      <x:c r="G6" t="str">
        <x:v>Khoa DL-NN</x:v>
      </x:c>
      <x:c r="H6" t="str">
        <x:v>Khoa học giáo dục/Chính sách KHCN</x:v>
      </x:c>
      <x:c r="I6" t="str">
        <x:v>Khác/Chưa phân loại</x:v>
      </x:c>
      <x:c r="J6" s="22" t="n">
        <x:v>44370</x:v>
      </x:c>
      <x:c r="K6" t="str">
        <x:v>Đạt</x:v>
      </x:c>
      <x:c r="L6" s="24"/>
      <x:c r="M6" t="str">
        <x:v>Quy đổi giờ NCKH</x:v>
      </x:c>
      <x:c r="N6" t="n">
        <x:v>8</x:v>
      </x:c>
      <x:c r="O6" t="str">
        <x:v>Không ghi nhận</x:v>
      </x:c>
      <x:c r="P6" t="n">
        <x:f>COUNTIF('02_OUTPUT_ALL'!$B:$B,A6)</x:f>
        <x:v>3</x:v>
      </x:c>
      <x:c r="Q6" t="str">
        <x:v>Tổng hợp đề tài KHCN cấp cơ sở của GV 2021-2025.pdf, tr.2</x:v>
      </x:c>
      <x:c r="R6" t="str"/>
    </x:row>
    <x:row r="7">
      <x:c r="A7" t="str">
        <x:v>P2021-37</x:v>
      </x:c>
      <x:c r="B7" t="n">
        <x:v>2021</x:v>
      </x:c>
      <x:c r="C7" t="str">
        <x:v>37-2021/KHCN</x:v>
      </x:c>
      <x:c r="D7" t="str">
        <x:v>Rào cản của các doanh nghiệp vừa và nhỏ trong việc áp dụng thương mại điện tử tại Việt Nam</x:v>
      </x:c>
      <x:c r="E7" t="str">
        <x:v>Cơ sở</x:v>
      </x:c>
      <x:c r="F7" t="str">
        <x:v>Nguyễn Thị Hay</x:v>
      </x:c>
      <x:c r="G7" t="str">
        <x:v>Khoa KT</x:v>
      </x:c>
      <x:c r="H7" t="str">
        <x:v>Kinh tế/Thương mại điện tử</x:v>
      </x:c>
      <x:c r="I7" t="str">
        <x:v>Digital Services</x:v>
      </x:c>
      <x:c r="J7" s="22" t="n">
        <x:v>44536</x:v>
      </x:c>
      <x:c r="K7" t="str">
        <x:v>Đạt</x:v>
      </x:c>
      <x:c r="L7" s="24"/>
      <x:c r="M7" t="str">
        <x:v>Quy đổi giờ NCKH</x:v>
      </x:c>
      <x:c r="N7" t="n">
        <x:v>2</x:v>
      </x:c>
      <x:c r="O7" t="str">
        <x:v>Không ghi nhận</x:v>
      </x:c>
      <x:c r="P7" t="n">
        <x:f>COUNTIF('02_OUTPUT_ALL'!$B:$B,A7)</x:f>
        <x:v>2</x:v>
      </x:c>
      <x:c r="Q7" t="str">
        <x:v>Tổng hợp đề tài KHCN cấp cơ sở của GV 2021-2025.pdf, tr.2</x:v>
      </x:c>
      <x:c r="R7" t="str"/>
    </x:row>
    <x:row r="8">
      <x:c r="A8" t="str">
        <x:v>P2022-01</x:v>
      </x:c>
      <x:c r="B8" t="n">
        <x:v>2022</x:v>
      </x:c>
      <x:c r="C8" t="str">
        <x:v>01-2022/KHCN</x:v>
      </x:c>
      <x:c r="D8" t="str">
        <x:v>Đề án thành lập Tạp chí Nghiên cứu khoa học và phát triển thuộc Trường Đại học Thành Đô</x:v>
      </x:c>
      <x:c r="E8" t="str">
        <x:v>Cơ sở</x:v>
      </x:c>
      <x:c r="F8" t="str">
        <x:v>Vũ Thị Thanh Minh</x:v>
      </x:c>
      <x:c r="G8" t="str">
        <x:v>Phòng KHCN</x:v>
      </x:c>
      <x:c r="H8" t="str">
        <x:v>Quản lý KHCN/Xuất bản khoa học</x:v>
      </x:c>
      <x:c r="I8" t="str">
        <x:v>Khác/Chưa phân loại</x:v>
      </x:c>
      <x:c r="J8" s="22" t="n">
        <x:v>44613</x:v>
      </x:c>
      <x:c r="K8" t="str">
        <x:v>Tốt</x:v>
      </x:c>
      <x:c r="L8" s="24"/>
      <x:c r="M8" t="str">
        <x:v>Quy đổi giờ NCKH</x:v>
      </x:c>
      <x:c r="N8" t="n">
        <x:v>5</x:v>
      </x:c>
      <x:c r="O8" t="str">
        <x:v>Có</x:v>
      </x:c>
      <x:c r="P8" t="n">
        <x:f>COUNTIF('02_OUTPUT_ALL'!$B:$B,A8)</x:f>
        <x:v>1</x:v>
      </x:c>
      <x:c r="Q8" t="str">
        <x:v>Tổng hợp đề tài KHCN cấp cơ sở của GV 2021-2025.pdf, tr.2</x:v>
      </x:c>
      <x:c r="R8" t="str">
        <x:v>Sản phẩm là Tạp chí Nghiên cứu khoa học và phát triển.</x:v>
      </x:c>
    </x:row>
    <x:row r="9">
      <x:c r="A9" t="str">
        <x:v>P2022-02</x:v>
      </x:c>
      <x:c r="B9" t="n">
        <x:v>2022</x:v>
      </x:c>
      <x:c r="C9" t="str">
        <x:v>02-2022/KHCN</x:v>
      </x:c>
      <x:c r="D9" t="str">
        <x:v>Nghiên cứu xây dựng Quy chế tuyển sinh và đào tạo trình độ thạc sỹ theo Thông tư số 23/2021/TT-BGDĐT của Bộ Giáo dục và Đào tạo tại Trường Đại học Thành Đô</x:v>
      </x:c>
      <x:c r="E9" t="str">
        <x:v>Cơ sở</x:v>
      </x:c>
      <x:c r="F9" t="str">
        <x:v>Trần Hữu Dào</x:v>
      </x:c>
      <x:c r="G9" t="str">
        <x:v>Khoa SĐH</x:v>
      </x:c>
      <x:c r="H9" t="str">
        <x:v>Quản trị giáo dục/Pháp quy nội bộ</x:v>
      </x:c>
      <x:c r="I9" t="str">
        <x:v>Khác/Chưa phân loại</x:v>
      </x:c>
      <x:c r="J9" s="22" t="n">
        <x:v>44627</x:v>
      </x:c>
      <x:c r="K9" t="str">
        <x:v>Đạt</x:v>
      </x:c>
      <x:c r="L9" s="24"/>
      <x:c r="M9" t="str">
        <x:v>Quy đổi giờ NCKH</x:v>
      </x:c>
      <x:c r="N9" t="n">
        <x:v>1</x:v>
      </x:c>
      <x:c r="O9" t="str">
        <x:v>Có</x:v>
      </x:c>
      <x:c r="P9" t="n">
        <x:f>COUNTIF('02_OUTPUT_ALL'!$B:$B,A9)</x:f>
        <x:v>1</x:v>
      </x:c>
      <x:c r="Q9" t="str">
        <x:v>Tổng hợp đề tài KHCN cấp cơ sở của GV 2021-2025.pdf, tr.2</x:v>
      </x:c>
      <x:c r="R9" t="str">
        <x:v>Sản phẩm là Quy chế tuyển sinh và đào tạo trình độ thạc sĩ.</x:v>
      </x:c>
    </x:row>
    <x:row r="10">
      <x:c r="A10" t="str">
        <x:v>P2022-12</x:v>
      </x:c>
      <x:c r="B10" t="n">
        <x:v>2022</x:v>
      </x:c>
      <x:c r="C10" t="str">
        <x:v>12-2022/KHCN</x:v>
      </x:c>
      <x:c r="D10" t="str">
        <x:v>Nâng cao khả năng được tuyển dụng của sinh viên ngành tiếng Anh Khoa Du lịch - Ngoại ngữ qua kỳ thực tập doanh nghiệp</x:v>
      </x:c>
      <x:c r="E10" t="str">
        <x:v>Cơ sở</x:v>
      </x:c>
      <x:c r="F10" t="str">
        <x:v>Đinh Thị Thanh Huyền</x:v>
      </x:c>
      <x:c r="G10" t="str">
        <x:v>Khoa DL-NN</x:v>
      </x:c>
      <x:c r="H10" t="str">
        <x:v>Ngôn ngữ/Đào tạo gắn doanh nghiệp</x:v>
      </x:c>
      <x:c r="I10" t="str">
        <x:v>Global Communication</x:v>
      </x:c>
      <x:c r="J10" s="22" t="n">
        <x:v>44872</x:v>
      </x:c>
      <x:c r="K10" t="str">
        <x:v>Tốt</x:v>
      </x:c>
      <x:c r="L10" s="24"/>
      <x:c r="M10" t="str">
        <x:v>Quy đổi giờ NCKH</x:v>
      </x:c>
      <x:c r="N10" t="n">
        <x:v>1</x:v>
      </x:c>
      <x:c r="O10" t="str">
        <x:v>Không ghi nhận</x:v>
      </x:c>
      <x:c r="P10" t="n">
        <x:f>COUNTIF('02_OUTPUT_ALL'!$B:$B,A10)</x:f>
        <x:v>1</x:v>
      </x:c>
      <x:c r="Q10" t="str">
        <x:v>Tổng hợp đề tài KHCN cấp cơ sở của GV 2021-2025.pdf, tr.2</x:v>
      </x:c>
      <x:c r="R10" t="str"/>
    </x:row>
    <x:row r="11">
      <x:c r="A11" t="str">
        <x:v>P2022-13</x:v>
      </x:c>
      <x:c r="B11" t="n">
        <x:v>2022</x:v>
      </x:c>
      <x:c r="C11" t="str">
        <x:v>13-2022/KHCN</x:v>
      </x:c>
      <x:c r="D11" t="str">
        <x:v>Đánh giá giáo trình "New English file" dành cho học viên cao học tại Trường Đại học Thành Đô</x:v>
      </x:c>
      <x:c r="E11" t="str">
        <x:v>Cơ sở</x:v>
      </x:c>
      <x:c r="F11" t="str">
        <x:v>Phan Thị Thanh Thảo</x:v>
      </x:c>
      <x:c r="G11" t="str">
        <x:v>Khoa DL-NN</x:v>
      </x:c>
      <x:c r="H11" t="str">
        <x:v>Ngôn ngữ/Giáo dục</x:v>
      </x:c>
      <x:c r="I11" t="str">
        <x:v>Global Communication</x:v>
      </x:c>
      <x:c r="J11" s="22" t="n">
        <x:v>44872</x:v>
      </x:c>
      <x:c r="K11" t="str">
        <x:v>Tốt</x:v>
      </x:c>
      <x:c r="L11" s="24"/>
      <x:c r="M11" t="str">
        <x:v>Quy đổi giờ NCKH</x:v>
      </x:c>
      <x:c r="N11" t="n">
        <x:v>2</x:v>
      </x:c>
      <x:c r="O11" t="str">
        <x:v>Không ghi nhận</x:v>
      </x:c>
      <x:c r="P11" t="n">
        <x:f>COUNTIF('02_OUTPUT_ALL'!$B:$B,A11)</x:f>
        <x:v>1</x:v>
      </x:c>
      <x:c r="Q11" t="str">
        <x:v>Tổng hợp đề tài KHCN cấp cơ sở của GV 2021-2025.pdf, tr.3</x:v>
      </x:c>
      <x:c r="R11" t="str"/>
    </x:row>
    <x:row r="12">
      <x:c r="A12" t="str">
        <x:v>P2022-14</x:v>
      </x:c>
      <x:c r="B12" t="n">
        <x:v>2022</x:v>
      </x:c>
      <x:c r="C12" t="str">
        <x:v>14-2022/KHCN</x:v>
      </x:c>
      <x:c r="D12" t="str">
        <x:v>A study on job satisfaction among teachers at TDU (Đánh giá sự hài lòng của giảng viên tại Đại học Thành Đô)</x:v>
      </x:c>
      <x:c r="E12" t="str">
        <x:v>Cơ sở</x:v>
      </x:c>
      <x:c r="F12" t="str">
        <x:v>Nguyễn Thị Vân Anh</x:v>
      </x:c>
      <x:c r="G12" t="str">
        <x:v>Khoa DL-NN</x:v>
      </x:c>
      <x:c r="H12" t="str">
        <x:v>Khoa học giáo dục/Nhân sự</x:v>
      </x:c>
      <x:c r="I12" t="str">
        <x:v>Khác/Chưa phân loại</x:v>
      </x:c>
      <x:c r="J12" s="22" t="n">
        <x:v>44872</x:v>
      </x:c>
      <x:c r="K12" t="str">
        <x:v>Tốt</x:v>
      </x:c>
      <x:c r="L12" s="24"/>
      <x:c r="M12" t="str">
        <x:v>Quy đổi giờ NCKH</x:v>
      </x:c>
      <x:c r="N12" t="n">
        <x:v>1</x:v>
      </x:c>
      <x:c r="O12" t="str">
        <x:v>Không ghi nhận</x:v>
      </x:c>
      <x:c r="P12" t="n">
        <x:f>COUNTIF('02_OUTPUT_ALL'!$B:$B,A12)</x:f>
        <x:v>1</x:v>
      </x:c>
      <x:c r="Q12" t="str">
        <x:v>Tổng hợp đề tài KHCN cấp cơ sở của GV 2021-2025.pdf, tr.3</x:v>
      </x:c>
      <x:c r="R12" t="str"/>
    </x:row>
    <x:row r="13">
      <x:c r="A13" t="str">
        <x:v>P2022-15</x:v>
      </x:c>
      <x:c r="B13" t="n">
        <x:v>2022</x:v>
      </x:c>
      <x:c r="C13" t="str">
        <x:v>15-2022/KHCN</x:v>
      </x:c>
      <x:c r="D13" t="str">
        <x:v>Nghiên cứu ảnh hưởng của hình thức dạy học trực tuyến đến kết quả học tập của sinh viên Khoa Du lịch - Ngoại ngữ, Trường Đại học Thành Đô</x:v>
      </x:c>
      <x:c r="E13" t="str">
        <x:v>Cơ sở</x:v>
      </x:c>
      <x:c r="F13" t="str">
        <x:v>Phan Thị Phương Thảo</x:v>
      </x:c>
      <x:c r="G13" t="str">
        <x:v>Khoa DL-NN</x:v>
      </x:c>
      <x:c r="H13" t="str">
        <x:v>Khoa học giáo dục</x:v>
      </x:c>
      <x:c r="I13" t="str">
        <x:v>Global Communication</x:v>
      </x:c>
      <x:c r="J13" s="22" t="n">
        <x:v>44873</x:v>
      </x:c>
      <x:c r="K13" t="str">
        <x:v>Tốt</x:v>
      </x:c>
      <x:c r="L13" s="24"/>
      <x:c r="M13" t="str">
        <x:v>Quy đổi giờ NCKH</x:v>
      </x:c>
      <x:c r="N13" t="n">
        <x:v>1</x:v>
      </x:c>
      <x:c r="O13" t="str">
        <x:v>Không ghi nhận</x:v>
      </x:c>
      <x:c r="P13" t="n">
        <x:f>COUNTIF('02_OUTPUT_ALL'!$B:$B,A13)</x:f>
        <x:v>1</x:v>
      </x:c>
      <x:c r="Q13" t="str">
        <x:v>Tổng hợp đề tài KHCN cấp cơ sở của GV 2021-2025.pdf, tr.3</x:v>
      </x:c>
      <x:c r="R13" t="str"/>
    </x:row>
    <x:row r="14">
      <x:c r="A14" t="str">
        <x:v>P2022-37</x:v>
      </x:c>
      <x:c r="B14" t="n">
        <x:v>2022</x:v>
      </x:c>
      <x:c r="C14" t="str">
        <x:v>37-2022/KHCN</x:v>
      </x:c>
      <x:c r="D14" t="str">
        <x:v>Tính toán thiết kế panel kiểm tra và sửa chữa hệ thống khởi động điện trên ô tô</x:v>
      </x:c>
      <x:c r="E14" t="str">
        <x:v>Cơ sở</x:v>
      </x:c>
      <x:c r="F14" t="str">
        <x:v>Phạm Viết Xuân</x:v>
      </x:c>
      <x:c r="G14" t="str">
        <x:v>Khoa CNKT Ô tô</x:v>
      </x:c>
      <x:c r="H14" t="str">
        <x:v>Kỹ thuật ô tô</x:v>
      </x:c>
      <x:c r="I14" t="str">
        <x:v>Smart Mobility</x:v>
      </x:c>
      <x:c r="J14" s="22" t="n">
        <x:v>44874</x:v>
      </x:c>
      <x:c r="K14" t="str">
        <x:v>Đạt</x:v>
      </x:c>
      <x:c r="L14" s="24" t="n">
        <x:v>5000000</x:v>
      </x:c>
      <x:c r="M14" t="str">
        <x:v>Tiền mặt</x:v>
      </x:c>
      <x:c r="N14" t="n">
        <x:v>1</x:v>
      </x:c>
      <x:c r="O14" t="str">
        <x:v>Có</x:v>
      </x:c>
      <x:c r="P14" t="n">
        <x:f>COUNTIF('02_OUTPUT_ALL'!$B:$B,A14)</x:f>
        <x:v>2</x:v>
      </x:c>
      <x:c r="Q14" t="str">
        <x:v>Tổng hợp đề tài KHCN cấp cơ sở của GV 2021-2025.pdf, tr.3</x:v>
      </x:c>
      <x:c r="R14" t="str"/>
    </x:row>
    <x:row r="15">
      <x:c r="A15" t="str">
        <x:v>P2022-39</x:v>
      </x:c>
      <x:c r="B15" t="n">
        <x:v>2022</x:v>
      </x:c>
      <x:c r="C15" t="str">
        <x:v>39-2022/KHCN</x:v>
      </x:c>
      <x:c r="D15" t="str">
        <x:v>Nghiên cứu chế tạo vật liệu cầm máu trên cơ sở chitosan và cao nhọ nồi</x:v>
      </x:c>
      <x:c r="E15" t="str">
        <x:v>Cơ sở</x:v>
      </x:c>
      <x:c r="F15" t="str">
        <x:v>Nguyễn Ngọc Linh</x:v>
      </x:c>
      <x:c r="G15" t="str">
        <x:v>Khoa Dược</x:v>
      </x:c>
      <x:c r="H15" t="str">
        <x:v>Dược/Vật liệu y sinh</x:v>
      </x:c>
      <x:c r="I15" t="str">
        <x:v>Wellness &amp; Care</x:v>
      </x:c>
      <x:c r="J15" s="22" t="n">
        <x:v>44875</x:v>
      </x:c>
      <x:c r="K15" t="str">
        <x:v>Đạt</x:v>
      </x:c>
      <x:c r="L15" s="24" t="n">
        <x:v>29000000</x:v>
      </x:c>
      <x:c r="M15" t="str">
        <x:v>Tiền mặt</x:v>
      </x:c>
      <x:c r="N15" t="n">
        <x:v>5</x:v>
      </x:c>
      <x:c r="O15" t="str">
        <x:v>Có</x:v>
      </x:c>
      <x:c r="P15" t="n">
        <x:f>COUNTIF('02_OUTPUT_ALL'!$B:$B,A15)</x:f>
        <x:v>2</x:v>
      </x:c>
      <x:c r="Q15" t="str">
        <x:v>Tổng hợp đề tài KHCN cấp cơ sở của GV 2021-2025.pdf, tr.3</x:v>
      </x:c>
      <x:c r="R15" t="str"/>
    </x:row>
    <x:row r="16">
      <x:c r="A16" t="str">
        <x:v>P2022-40</x:v>
      </x:c>
      <x:c r="B16" t="n">
        <x:v>2022</x:v>
      </x:c>
      <x:c r="C16" t="str">
        <x:v>40-2022/KHCN</x:v>
      </x:c>
      <x:c r="D16" t="str">
        <x:v>Nghiên cứu xây dựng bộ mẫu dược liệu áp dụng giảng dạy tại Trường Đại học Thành Đô</x:v>
      </x:c>
      <x:c r="E16" t="str">
        <x:v>Cơ sở</x:v>
      </x:c>
      <x:c r="F16" t="str">
        <x:v>Lê Văn Tuyến</x:v>
      </x:c>
      <x:c r="G16" t="str">
        <x:v>Khoa Dược</x:v>
      </x:c>
      <x:c r="H16" t="str">
        <x:v>Dược/Giáo dục dược</x:v>
      </x:c>
      <x:c r="I16" t="str">
        <x:v>Wellness &amp; Care</x:v>
      </x:c>
      <x:c r="J16" s="22" t="n">
        <x:v>44875</x:v>
      </x:c>
      <x:c r="K16" t="str">
        <x:v>Đạt</x:v>
      </x:c>
      <x:c r="L16" s="24" t="n">
        <x:v>50000000</x:v>
      </x:c>
      <x:c r="M16" t="str">
        <x:v>Tiền mặt</x:v>
      </x:c>
      <x:c r="N16" t="n">
        <x:v>7</x:v>
      </x:c>
      <x:c r="O16" t="str">
        <x:v>Có</x:v>
      </x:c>
      <x:c r="P16" t="n">
        <x:f>COUNTIF('02_OUTPUT_ALL'!$B:$B,A16)</x:f>
        <x:v>2</x:v>
      </x:c>
      <x:c r="Q16" t="str">
        <x:v>Tổng hợp đề tài KHCN cấp cơ sở của GV 2021-2025.pdf, tr.3</x:v>
      </x:c>
      <x:c r="R16" t="str"/>
    </x:row>
    <x:row r="17">
      <x:c r="A17" t="str">
        <x:v>P2022-51</x:v>
      </x:c>
      <x:c r="B17" t="n">
        <x:v>2022</x:v>
      </x:c>
      <x:c r="C17" t="str">
        <x:v>51-2022/KHCN</x:v>
      </x:c>
      <x:c r="D17" t="str">
        <x:v>Quản lý hoạt động huy động vốn của các công ty chứng khoán tại Việt Nam: Thực trạng và một số kiến nghị</x:v>
      </x:c>
      <x:c r="E17" t="str">
        <x:v>Cơ sở</x:v>
      </x:c>
      <x:c r="F17" t="str">
        <x:v>Đinh Thị Phi Nga</x:v>
      </x:c>
      <x:c r="G17" t="str">
        <x:v>Khoa Kinh tế</x:v>
      </x:c>
      <x:c r="H17" t="str">
        <x:v>Tài chính/Chứng khoán</x:v>
      </x:c>
      <x:c r="I17" t="str">
        <x:v>Digital Services</x:v>
      </x:c>
      <x:c r="J17" s="22" t="n">
        <x:v>44876</x:v>
      </x:c>
      <x:c r="K17" t="str">
        <x:v>Đạt</x:v>
      </x:c>
      <x:c r="L17" s="24"/>
      <x:c r="M17" t="str">
        <x:v>Quy đổi giờ NCKH</x:v>
      </x:c>
      <x:c r="N17" t="n">
        <x:v>2</x:v>
      </x:c>
      <x:c r="O17" t="str">
        <x:v>Không ghi nhận</x:v>
      </x:c>
      <x:c r="P17" t="n">
        <x:f>COUNTIF('02_OUTPUT_ALL'!$B:$B,A17)</x:f>
        <x:v>2</x:v>
      </x:c>
      <x:c r="Q17" t="str">
        <x:v>Tổng hợp đề tài KHCN cấp cơ sở của GV 2021-2025.pdf, tr.4</x:v>
      </x:c>
      <x:c r="R17" t="str"/>
    </x:row>
    <x:row r="18">
      <x:c r="A18" t="str">
        <x:v>P2023-01</x:v>
      </x:c>
      <x:c r="B18" t="n">
        <x:v>2023</x:v>
      </x:c>
      <x:c r="C18" t="str">
        <x:v>01-2023/KHCN</x:v>
      </x:c>
      <x:c r="D18" t="str">
        <x:v>Bồi dưỡng phương pháp tư duy biện chứng Hồ Chí Minh cho sinh viên Trường Đại học Thành Đô hiện nay</x:v>
      </x:c>
      <x:c r="E18" t="str">
        <x:v>Cơ sở</x:v>
      </x:c>
      <x:c r="F18" t="str">
        <x:v>Ngô Nhị Ngọc Linh</x:v>
      </x:c>
      <x:c r="G18" t="str">
        <x:v>Khoa KHCB</x:v>
      </x:c>
      <x:c r="H18" t="str">
        <x:v>Lý luận chính trị/Giáo dục</x:v>
      </x:c>
      <x:c r="I18" t="str">
        <x:v>Khác/Chưa phân loại</x:v>
      </x:c>
      <x:c r="J18" s="22" t="n">
        <x:v>45246</x:v>
      </x:c>
      <x:c r="K18" t="str">
        <x:v>Khá</x:v>
      </x:c>
      <x:c r="L18" s="24" t="n">
        <x:v>3000000</x:v>
      </x:c>
      <x:c r="M18" t="str">
        <x:v>Tiền mặt</x:v>
      </x:c>
      <x:c r="N18" t="n">
        <x:v>2</x:v>
      </x:c>
      <x:c r="O18" t="str">
        <x:v>Có</x:v>
      </x:c>
      <x:c r="P18" t="n">
        <x:f>COUNTIF('02_OUTPUT_ALL'!$B:$B,A18)</x:f>
        <x:v>3</x:v>
      </x:c>
      <x:c r="Q18" t="str">
        <x:v>Tổng hợp đề tài KHCN cấp cơ sở của GV 2021-2025.pdf, tr.4</x:v>
      </x:c>
      <x:c r="R18" t="str">
        <x:v>Có mô tả ứng dụng tại Trường.</x:v>
      </x:c>
    </x:row>
    <x:row r="19">
      <x:c r="A19" t="str">
        <x:v>P2023-02</x:v>
      </x:c>
      <x:c r="B19" t="n">
        <x:v>2023</x:v>
      </x:c>
      <x:c r="C19" t="str">
        <x:v>02-2023/KHCN</x:v>
      </x:c>
      <x:c r="D19" t="str">
        <x:v>Tiếp cận CDIO để nâng cao chất lượng dạy học học phần thực hành hướng dẫn du lịch tại Trường Đại học Thành Đô</x:v>
      </x:c>
      <x:c r="E19" t="str">
        <x:v>Cơ sở</x:v>
      </x:c>
      <x:c r="F19" t="str">
        <x:v>Nguyễn Thị Bích</x:v>
      </x:c>
      <x:c r="G19" t="str">
        <x:v>Khoa DL-NN</x:v>
      </x:c>
      <x:c r="H19" t="str">
        <x:v>Du lịch/Giáo dục</x:v>
      </x:c>
      <x:c r="I19" t="str">
        <x:v>Global Communication</x:v>
      </x:c>
      <x:c r="J19" s="22" t="n">
        <x:v>45253</x:v>
      </x:c>
      <x:c r="K19" t="str">
        <x:v>Tốt</x:v>
      </x:c>
      <x:c r="L19" s="24" t="n">
        <x:v>5000000</x:v>
      </x:c>
      <x:c r="M19" t="str">
        <x:v>Tiền mặt</x:v>
      </x:c>
      <x:c r="N19" t="n">
        <x:v>2</x:v>
      </x:c>
      <x:c r="O19" t="str">
        <x:v>Có</x:v>
      </x:c>
      <x:c r="P19" t="n">
        <x:f>COUNTIF('02_OUTPUT_ALL'!$B:$B,A19)</x:f>
        <x:v>3</x:v>
      </x:c>
      <x:c r="Q19" t="str">
        <x:v>Tổng hợp đề tài KHCN cấp cơ sở của GV 2021-2025.pdf, tr.4</x:v>
      </x:c>
      <x:c r="R19" t="str">
        <x:v>Có mô tả ứng dụng tại Trường.</x:v>
      </x:c>
    </x:row>
    <x:row r="20">
      <x:c r="A20" t="str">
        <x:v>P2023-03</x:v>
      </x:c>
      <x:c r="B20" t="n">
        <x:v>2023</x:v>
      </x:c>
      <x:c r="C20" t="str">
        <x:v>03-2023/KHCN</x:v>
      </x:c>
      <x:c r="D20" t="str">
        <x:v>Sử dụng phương pháp học tập dự án để thúc đẩy sự tự chủ của sinh viên trong học phần cú pháp học</x:v>
      </x:c>
      <x:c r="E20" t="str">
        <x:v>Cơ sở</x:v>
      </x:c>
      <x:c r="F20" t="str">
        <x:v>Phan Thị Thanh Thảo</x:v>
      </x:c>
      <x:c r="G20" t="str">
        <x:v>Khoa DL-NN</x:v>
      </x:c>
      <x:c r="H20" t="str">
        <x:v>Ngôn ngữ/Giáo dục</x:v>
      </x:c>
      <x:c r="I20" t="str">
        <x:v>Global Communication</x:v>
      </x:c>
      <x:c r="J20" s="22" t="n">
        <x:v>45257</x:v>
      </x:c>
      <x:c r="K20" t="str">
        <x:v>Tốt</x:v>
      </x:c>
      <x:c r="L20" s="24" t="n">
        <x:v>3000000</x:v>
      </x:c>
      <x:c r="M20" t="str">
        <x:v>Tiền mặt</x:v>
      </x:c>
      <x:c r="N20" t="n">
        <x:v>3</x:v>
      </x:c>
      <x:c r="O20" t="str">
        <x:v>Có</x:v>
      </x:c>
      <x:c r="P20" t="n">
        <x:f>COUNTIF('02_OUTPUT_ALL'!$B:$B,A20)</x:f>
        <x:v>3</x:v>
      </x:c>
      <x:c r="Q20" t="str">
        <x:v>Tổng hợp đề tài KHCN cấp cơ sở của GV 2021-2025.pdf, tr.5</x:v>
      </x:c>
      <x:c r="R20" t="str">
        <x:v>Hồ sơ ghi bài báo ISSN nhưng chú thích '(ko có bài báo)'.</x:v>
      </x:c>
    </x:row>
    <x:row r="21">
      <x:c r="A21" t="str">
        <x:v>P2023-04</x:v>
      </x:c>
      <x:c r="B21" t="n">
        <x:v>2023</x:v>
      </x:c>
      <x:c r="C21" t="str">
        <x:v>04-2023/KHCN</x:v>
      </x:c>
      <x:c r="D21" t="str">
        <x:v>Flipped classroom in higher education: Students' perspective</x:v>
      </x:c>
      <x:c r="E21" t="str">
        <x:v>Cơ sở</x:v>
      </x:c>
      <x:c r="F21" t="str">
        <x:v>Nguyễn Thị Vân Anh</x:v>
      </x:c>
      <x:c r="G21" t="str">
        <x:v>Khoa DL-NN</x:v>
      </x:c>
      <x:c r="H21" t="str">
        <x:v>Khoa học giáo dục</x:v>
      </x:c>
      <x:c r="I21" t="str">
        <x:v>Global Communication</x:v>
      </x:c>
      <x:c r="J21" s="22" t="n">
        <x:v>45257</x:v>
      </x:c>
      <x:c r="K21" t="str">
        <x:v>Đạt</x:v>
      </x:c>
      <x:c r="L21" s="24" t="n">
        <x:v>3000000</x:v>
      </x:c>
      <x:c r="M21" t="str">
        <x:v>Tiền mặt</x:v>
      </x:c>
      <x:c r="N21" t="n">
        <x:v>3</x:v>
      </x:c>
      <x:c r="O21" t="str">
        <x:v>Có</x:v>
      </x:c>
      <x:c r="P21" t="n">
        <x:f>COUNTIF('02_OUTPUT_ALL'!$B:$B,A21)</x:f>
        <x:v>3</x:v>
      </x:c>
      <x:c r="Q21" t="str">
        <x:v>Tổng hợp đề tài KHCN cấp cơ sở của GV 2021-2025.pdf, tr.5</x:v>
      </x:c>
      <x:c r="R21" t="str">
        <x:v>Hồ sơ ghi bài báo ISSN nhưng chú thích '(ko có bài báo)'.</x:v>
      </x:c>
    </x:row>
    <x:row r="22">
      <x:c r="A22" t="str">
        <x:v>P2023-05</x:v>
      </x:c>
      <x:c r="B22" t="n">
        <x:v>2023</x:v>
      </x:c>
      <x:c r="C22" t="str">
        <x:v>05-2023/KHCN</x:v>
      </x:c>
      <x:c r="D22" t="str">
        <x:v>Chính sách khuyến khích cho các công bố khoa học tại một số trường đại học ngoài công lập ở Việt Nam</x:v>
      </x:c>
      <x:c r="E22" t="str">
        <x:v>Cơ sở</x:v>
      </x:c>
      <x:c r="F22" t="str">
        <x:v>Nguyễn Thị Hảo</x:v>
      </x:c>
      <x:c r="G22" t="str">
        <x:v>Khoa Điện, Điện tử</x:v>
      </x:c>
      <x:c r="H22" t="str">
        <x:v>Chính sách KHCN/Quản trị đại học</x:v>
      </x:c>
      <x:c r="I22" t="str">
        <x:v>Khác/Chưa phân loại</x:v>
      </x:c>
      <x:c r="J22" s="22" t="n">
        <x:v>45246</x:v>
      </x:c>
      <x:c r="K22" t="str">
        <x:v>Tốt</x:v>
      </x:c>
      <x:c r="L22" s="24" t="n">
        <x:v>5000000</x:v>
      </x:c>
      <x:c r="M22" t="str">
        <x:v>Tiền mặt</x:v>
      </x:c>
      <x:c r="N22" t="n">
        <x:v>4</x:v>
      </x:c>
      <x:c r="O22" t="str">
        <x:v>Có</x:v>
      </x:c>
      <x:c r="P22" t="n">
        <x:f>COUNTIF('02_OUTPUT_ALL'!$B:$B,A22)</x:f>
        <x:v>3</x:v>
      </x:c>
      <x:c r="Q22" t="str">
        <x:v>Tổng hợp đề tài KHCN cấp cơ sở của GV 2021-2025.pdf, tr.6</x:v>
      </x:c>
      <x:c r="R22" t="str">
        <x:v>Ứng dụng làm tài liệu tham khảo xây dựng chính sách/quy chế KHCN.</x:v>
      </x:c>
    </x:row>
    <x:row r="23">
      <x:c r="A23" t="str">
        <x:v>P2023-07</x:v>
      </x:c>
      <x:c r="B23" t="n">
        <x:v>2023</x:v>
      </x:c>
      <x:c r="C23" t="str">
        <x:v>07-2023/KHCN</x:v>
      </x:c>
      <x:c r="D23" t="str">
        <x:v>Nâng cao nhận thức về luật hình sự Việt Nam cho sinh viên Trường Đại học Thành Đô</x:v>
      </x:c>
      <x:c r="E23" t="str">
        <x:v>Cơ sở</x:v>
      </x:c>
      <x:c r="F23" t="str">
        <x:v>Vũ Thị Thu Hà</x:v>
      </x:c>
      <x:c r="G23" t="str">
        <x:v>Khoa Kinh tế - Luật</x:v>
      </x:c>
      <x:c r="H23" t="str">
        <x:v>Luật/Giáo dục pháp luật</x:v>
      </x:c>
      <x:c r="I23" t="str">
        <x:v>Khác/Chưa phân loại</x:v>
      </x:c>
      <x:c r="J23" s="22" t="n">
        <x:v>45254</x:v>
      </x:c>
      <x:c r="K23" t="str">
        <x:v>Đạt</x:v>
      </x:c>
      <x:c r="L23" s="24" t="n">
        <x:v>1000000</x:v>
      </x:c>
      <x:c r="M23" t="str">
        <x:v>Tiền mặt</x:v>
      </x:c>
      <x:c r="N23" t="n">
        <x:v>2</x:v>
      </x:c>
      <x:c r="O23" t="str">
        <x:v>Có</x:v>
      </x:c>
      <x:c r="P23" t="n">
        <x:f>COUNTIF('02_OUTPUT_ALL'!$B:$B,A23)</x:f>
        <x:v>3</x:v>
      </x:c>
      <x:c r="Q23" t="str">
        <x:v>Tổng hợp đề tài KHCN cấp cơ sở của GV 2021-2025.pdf, tr.6</x:v>
      </x:c>
      <x:c r="R23" t="str">
        <x:v>Hồ sơ ghi bài báo ISSN nhưng chú thích '(ko có bài báo)'.</x:v>
      </x:c>
    </x:row>
    <x:row r="24">
      <x:c r="A24" t="str">
        <x:v>P2023-08</x:v>
      </x:c>
      <x:c r="B24" t="n">
        <x:v>2023</x:v>
      </x:c>
      <x:c r="C24" t="str">
        <x:v>08-2023/KHCN</x:v>
      </x:c>
      <x:c r="D24" t="str">
        <x:v>Ứng dụng mô hình hợp tác giáo dục giữa Nhà trường - Doanh nghiệp trong nghiên cứu chiết xuất tinh dầu từ vỏ bưởi</x:v>
      </x:c>
      <x:c r="E24" t="str">
        <x:v>Cơ sở</x:v>
      </x:c>
      <x:c r="F24" t="str">
        <x:v>Phan Thị Thanh Thảo</x:v>
      </x:c>
      <x:c r="G24" t="str">
        <x:v>Viện REK</x:v>
      </x:c>
      <x:c r="H24" t="str">
        <x:v>Dược/Hợp tác ĐH-DN</x:v>
      </x:c>
      <x:c r="I24" t="str">
        <x:v>Wellness &amp; Care</x:v>
      </x:c>
      <x:c r="J24" s="22" t="n">
        <x:v>45243</x:v>
      </x:c>
      <x:c r="K24" t="str">
        <x:v>Tốt</x:v>
      </x:c>
      <x:c r="L24" s="24" t="n">
        <x:v>50000000</x:v>
      </x:c>
      <x:c r="M24" t="str">
        <x:v>Tiền mặt</x:v>
      </x:c>
      <x:c r="N24" t="n">
        <x:v>8</x:v>
      </x:c>
      <x:c r="O24" t="str">
        <x:v>Có</x:v>
      </x:c>
      <x:c r="P24" t="n">
        <x:f>COUNTIF('02_OUTPUT_ALL'!$B:$B,A24)</x:f>
        <x:v>3</x:v>
      </x:c>
      <x:c r="Q24" t="str">
        <x:v>Tổng hợp đề tài KHCN cấp cơ sở của GV 2021-2025.pdf, tr.7</x:v>
      </x:c>
      <x:c r="R24" t="str">
        <x:v>Sản phẩm ghi chuyển giao cho Trường để thương mại hóa.</x:v>
      </x:c>
    </x:row>
    <x:row r="25">
      <x:c r="A25" t="str">
        <x:v>P2024-06</x:v>
      </x:c>
      <x:c r="B25" t="n">
        <x:v>2024</x:v>
      </x:c>
      <x:c r="C25" t="str">
        <x:v>06-2024/KHCN</x:v>
      </x:c>
      <x:c r="D25" t="str">
        <x:v>Nghiên cứu ứng dụng quy trình sản xuất xà phòng tảo biển hữu cơ</x:v>
      </x:c>
      <x:c r="E25" t="str">
        <x:v>Cơ sở</x:v>
      </x:c>
      <x:c r="F25" t="str">
        <x:v>Nguyễn Ngọc Linh</x:v>
      </x:c>
      <x:c r="G25" t="str">
        <x:v>Khoa Dược</x:v>
      </x:c>
      <x:c r="H25" t="str">
        <x:v>Dược/Mỹ phẩm</x:v>
      </x:c>
      <x:c r="I25" t="str">
        <x:v>Wellness &amp; Care</x:v>
      </x:c>
      <x:c r="J25" s="22" t="n">
        <x:v>45611</x:v>
      </x:c>
      <x:c r="K25" t="str">
        <x:v>Tốt</x:v>
      </x:c>
      <x:c r="L25" s="24" t="n">
        <x:v>58000000</x:v>
      </x:c>
      <x:c r="M25" t="str">
        <x:v>Tiền mặt</x:v>
      </x:c>
      <x:c r="N25" t="n">
        <x:v>4</x:v>
      </x:c>
      <x:c r="O25" t="str">
        <x:v>Có</x:v>
      </x:c>
      <x:c r="P25" t="n">
        <x:f>COUNTIF('02_OUTPUT_ALL'!$B:$B,A25)</x:f>
        <x:v>4</x:v>
      </x:c>
      <x:c r="Q25" t="str">
        <x:v>Tổng hợp đề tài KHCN cấp cơ sở của GV 2021-2025.pdf, tr.7</x:v>
      </x:c>
      <x:c r="R25" t="str"/>
    </x:row>
    <x:row r="26">
      <x:c r="A26" t="str">
        <x:v>P2024-07</x:v>
      </x:c>
      <x:c r="B26" t="n">
        <x:v>2024</x:v>
      </x:c>
      <x:c r="C26" t="str">
        <x:v>07-2024/KHCN</x:v>
      </x:c>
      <x:c r="D26" t="str">
        <x:v>Nghiên cứu xây dựng bộ tiêu bản hiển vi cố định trong giảng dạy học phần Ký sinh trùng tại Trường Đại học Thành Đô</x:v>
      </x:c>
      <x:c r="E26" t="str">
        <x:v>Cơ sở</x:v>
      </x:c>
      <x:c r="F26" t="str">
        <x:v>Phạm Thị Bích Đào</x:v>
      </x:c>
      <x:c r="G26" t="str">
        <x:v>Khoa Dược</x:v>
      </x:c>
      <x:c r="H26" t="str">
        <x:v>Dược/Ký sinh trùng/Giáo dục</x:v>
      </x:c>
      <x:c r="I26" t="str">
        <x:v>Wellness &amp; Care</x:v>
      </x:c>
      <x:c r="J26" s="22" t="n">
        <x:v>45611</x:v>
      </x:c>
      <x:c r="K26" t="str">
        <x:v>Tốt</x:v>
      </x:c>
      <x:c r="L26" s="24" t="n">
        <x:v>43000000</x:v>
      </x:c>
      <x:c r="M26" t="str">
        <x:v>Tiền mặt</x:v>
      </x:c>
      <x:c r="N26" t="n">
        <x:v>2</x:v>
      </x:c>
      <x:c r="O26" t="str">
        <x:v>Có</x:v>
      </x:c>
      <x:c r="P26" t="n">
        <x:f>COUNTIF('02_OUTPUT_ALL'!$B:$B,A26)</x:f>
        <x:v>4</x:v>
      </x:c>
      <x:c r="Q26" t="str">
        <x:v>Tổng hợp đề tài KHCN cấp cơ sở của GV 2021-2025.pdf, tr.7</x:v>
      </x:c>
      <x:c r="R26" t="str"/>
    </x:row>
    <x:row r="27">
      <x:c r="A27" t="str">
        <x:v>P2024-08</x:v>
      </x:c>
      <x:c r="B27" t="n">
        <x:v>2024</x:v>
      </x:c>
      <x:c r="C27" t="str">
        <x:v>08-2024/KHCN</x:v>
      </x:c>
      <x:c r="D27" t="str">
        <x:v>Cải tiến quy trình chiết xuất Rutin từ hoa Hòe (Sophora japonica L.) trong giảng dạy tại Trường Đại học Thành Đô</x:v>
      </x:c>
      <x:c r="E27" t="str">
        <x:v>Cơ sở</x:v>
      </x:c>
      <x:c r="F27" t="str">
        <x:v>Vũ Quốc Mạnh</x:v>
      </x:c>
      <x:c r="G27" t="str">
        <x:v>Khoa Dược</x:v>
      </x:c>
      <x:c r="H27" t="str">
        <x:v>Dược/Chiết xuất dược liệu</x:v>
      </x:c>
      <x:c r="I27" t="str">
        <x:v>Wellness &amp; Care</x:v>
      </x:c>
      <x:c r="J27" s="22" t="n">
        <x:v>45611</x:v>
      </x:c>
      <x:c r="K27" t="str">
        <x:v>Tốt</x:v>
      </x:c>
      <x:c r="L27" s="24" t="n">
        <x:v>13250000</x:v>
      </x:c>
      <x:c r="M27" t="str">
        <x:v>Tiền mặt</x:v>
      </x:c>
      <x:c r="N27" t="n">
        <x:v>2</x:v>
      </x:c>
      <x:c r="O27" t="str">
        <x:v>Có</x:v>
      </x:c>
      <x:c r="P27" t="n">
        <x:f>COUNTIF('02_OUTPUT_ALL'!$B:$B,A27)</x:f>
        <x:v>5</x:v>
      </x:c>
      <x:c r="Q27" t="str">
        <x:v>Tổng hợp đề tài KHCN cấp cơ sở của GV 2021-2025.pdf, tr.8</x:v>
      </x:c>
      <x:c r="R27" t="str"/>
    </x:row>
    <x:row r="28">
      <x:c r="A28" t="str">
        <x:v>P2024-09</x:v>
      </x:c>
      <x:c r="B28" t="n">
        <x:v>2024</x:v>
      </x:c>
      <x:c r="C28" t="str">
        <x:v>09-2024/KHCN</x:v>
      </x:c>
      <x:c r="D28" t="str">
        <x:v>Nghiên cứu bào chế sản phẩm hỗ trợ giảm cân theo y học cổ truyền</x:v>
      </x:c>
      <x:c r="E28" t="str">
        <x:v>Cơ sở</x:v>
      </x:c>
      <x:c r="F28" t="str">
        <x:v>Nguyễn Đăng Việt</x:v>
      </x:c>
      <x:c r="G28" t="str">
        <x:v>Khoa Dược</x:v>
      </x:c>
      <x:c r="H28" t="str">
        <x:v>Dược/Bào chế</x:v>
      </x:c>
      <x:c r="I28" t="str">
        <x:v>Wellness &amp; Care</x:v>
      </x:c>
      <x:c r="J28" s="22" t="n">
        <x:v>45611</x:v>
      </x:c>
      <x:c r="K28" t="str">
        <x:v>Đạt</x:v>
      </x:c>
      <x:c r="L28" s="24" t="n">
        <x:v>8500000</x:v>
      </x:c>
      <x:c r="M28" t="str">
        <x:v>Tiền mặt</x:v>
      </x:c>
      <x:c r="N28" t="n">
        <x:v>3</x:v>
      </x:c>
      <x:c r="O28" t="str">
        <x:v>Có</x:v>
      </x:c>
      <x:c r="P28" t="n">
        <x:f>COUNTIF('02_OUTPUT_ALL'!$B:$B,A28)</x:f>
        <x:v>4</x:v>
      </x:c>
      <x:c r="Q28" t="str">
        <x:v>Tổng hợp đề tài KHCN cấp cơ sở của GV 2021-2025.pdf, tr.8</x:v>
      </x:c>
      <x:c r="R28" t="str"/>
    </x:row>
    <x:row r="29">
      <x:c r="A29" t="str">
        <x:v>P2024-10</x:v>
      </x:c>
      <x:c r="B29" t="n">
        <x:v>2024</x:v>
      </x:c>
      <x:c r="C29" t="str">
        <x:v>10-2024/KHCN</x:v>
      </x:c>
      <x:c r="D29" t="str">
        <x:v>Triết lý nhân sinh trong thơ văn của Nguyễn Đình Chiểu và vận dụng giáo dục đạo đức cho sinh viên Trường Đại học Thành Đô hiện nay</x:v>
      </x:c>
      <x:c r="E29" t="str">
        <x:v>Cơ sở</x:v>
      </x:c>
      <x:c r="F29" t="str">
        <x:v>Ngô Nhị Ngọc Linh</x:v>
      </x:c>
      <x:c r="G29" t="str">
        <x:v>Khoa KHCB</x:v>
      </x:c>
      <x:c r="H29" t="str">
        <x:v>Nhân văn/Giáo dục</x:v>
      </x:c>
      <x:c r="I29" t="str">
        <x:v>Khác/Chưa phân loại</x:v>
      </x:c>
      <x:c r="J29" s="22" t="n">
        <x:v>45597</x:v>
      </x:c>
      <x:c r="K29" t="str">
        <x:v>Đạt</x:v>
      </x:c>
      <x:c r="L29" s="24" t="n">
        <x:v>3000000</x:v>
      </x:c>
      <x:c r="M29" t="str">
        <x:v>Tiền mặt</x:v>
      </x:c>
      <x:c r="N29" t="n">
        <x:v>3</x:v>
      </x:c>
      <x:c r="O29" t="str">
        <x:v>Không ghi nhận</x:v>
      </x:c>
      <x:c r="P29" t="n">
        <x:f>COUNTIF('02_OUTPUT_ALL'!$B:$B,A29)</x:f>
        <x:v>2</x:v>
      </x:c>
      <x:c r="Q29" t="str">
        <x:v>Tổng hợp đề tài KHCN cấp cơ sở của GV 2021-2025.pdf, tr.8</x:v>
      </x:c>
      <x:c r="R29" t="str"/>
    </x:row>
    <x:row r="30">
      <x:c r="A30" t="str">
        <x:v>P2024-12</x:v>
      </x:c>
      <x:c r="B30" t="n">
        <x:v>2024</x:v>
      </x:c>
      <x:c r="C30" t="str">
        <x:v>12-2024/KHCN</x:v>
      </x:c>
      <x:c r="D30" t="str">
        <x:v>Tích hợp giáo dục vì sự phát triển bền vững trong dạy học “sinh thái học và môi trường” (Sinh học 12)</x:v>
      </x:c>
      <x:c r="E30" t="str">
        <x:v>Cơ sở</x:v>
      </x:c>
      <x:c r="F30" t="str">
        <x:v>Hà Văn Dũng</x:v>
      </x:c>
      <x:c r="G30" t="str">
        <x:v>Viện ReK</x:v>
      </x:c>
      <x:c r="H30" t="str">
        <x:v>Khoa học giáo dục/Phát triển bền vững</x:v>
      </x:c>
      <x:c r="I30" t="str">
        <x:v>Khác/Chưa phân loại</x:v>
      </x:c>
      <x:c r="J30" s="22" t="n">
        <x:v>45594</x:v>
      </x:c>
      <x:c r="K30" t="str">
        <x:v>Đạt</x:v>
      </x:c>
      <x:c r="L30" s="24"/>
      <x:c r="M30" t="str">
        <x:v>Tự tìm nhà tài trợ</x:v>
      </x:c>
      <x:c r="N30" t="n">
        <x:v>5</x:v>
      </x:c>
      <x:c r="O30" t="str">
        <x:v>Không ghi nhận</x:v>
      </x:c>
      <x:c r="P30" t="n">
        <x:f>COUNTIF('02_OUTPUT_ALL'!$B:$B,A30)</x:f>
        <x:v>3</x:v>
      </x:c>
      <x:c r="Q30" t="str">
        <x:v>Tổng hợp đề tài KHCN cấp cơ sở của GV 2021-2025.pdf, tr.9</x:v>
      </x:c>
      <x:c r="R30" t="str"/>
    </x:row>
    <x:row r="31">
      <x:c r="A31" t="str">
        <x:v>P2024-13</x:v>
      </x:c>
      <x:c r="B31" t="n">
        <x:v>2024</x:v>
      </x:c>
      <x:c r="C31" t="str">
        <x:v>13-2024/KHCN</x:v>
      </x:c>
      <x:c r="D31" t="str">
        <x:v>Quan điểm của Francis Fukuyama về sự cáo chung của lịch sử trong tác phẩm Sự cáo chung của lịch sử và Con người cuối cùng</x:v>
      </x:c>
      <x:c r="E31" t="str">
        <x:v>Cơ sở</x:v>
      </x:c>
      <x:c r="F31" t="str">
        <x:v>Ngô Nhị Ngọc Linh</x:v>
      </x:c>
      <x:c r="G31" t="str">
        <x:v>Khoa KHCB</x:v>
      </x:c>
      <x:c r="H31" t="str">
        <x:v>Triết học/Nhân văn</x:v>
      </x:c>
      <x:c r="I31" t="str">
        <x:v>Khác/Chưa phân loại</x:v>
      </x:c>
      <x:c r="J31" s="22" t="n">
        <x:v>45597</x:v>
      </x:c>
      <x:c r="K31" t="str">
        <x:v>Đạt</x:v>
      </x:c>
      <x:c r="L31" s="24"/>
      <x:c r="M31" t="str">
        <x:v>Tự tìm nhà tài trợ</x:v>
      </x:c>
      <x:c r="N31" t="n">
        <x:v>3</x:v>
      </x:c>
      <x:c r="O31" t="str">
        <x:v>Không ghi nhận</x:v>
      </x:c>
      <x:c r="P31" t="n">
        <x:f>COUNTIF('02_OUTPUT_ALL'!$B:$B,A31)</x:f>
        <x:v>2</x:v>
      </x:c>
      <x:c r="Q31" t="str">
        <x:v>Tổng hợp đề tài KHCN cấp cơ sở của GV 2021-2025.pdf, tr.9</x:v>
      </x:c>
      <x:c r="R31" t="str"/>
    </x:row>
    <x:row r="32">
      <x:c r="A32" t="str">
        <x:v>P2024-14</x:v>
      </x:c>
      <x:c r="B32" t="n">
        <x:v>2024</x:v>
      </x:c>
      <x:c r="C32" t="str">
        <x:v>14-2024/KHCN</x:v>
      </x:c>
      <x:c r="D32" t="str">
        <x:v>Rèn luyện năng lực dạy học tích hợp giáo dục vì sự phát triển bền vững cho sinh viên ngành sư phạm sinh học</x:v>
      </x:c>
      <x:c r="E32" t="str">
        <x:v>Cơ sở</x:v>
      </x:c>
      <x:c r="F32" t="str">
        <x:v>Hà Văn Dũng</x:v>
      </x:c>
      <x:c r="G32" t="str">
        <x:v>Viện ReK</x:v>
      </x:c>
      <x:c r="H32" t="str">
        <x:v>Khoa học giáo dục/Phát triển bền vững</x:v>
      </x:c>
      <x:c r="I32" t="str">
        <x:v>Khác/Chưa phân loại</x:v>
      </x:c>
      <x:c r="J32" s="22" t="n">
        <x:v>45785</x:v>
      </x:c>
      <x:c r="K32" t="str">
        <x:v>Đạt</x:v>
      </x:c>
      <x:c r="L32" s="24" t="n">
        <x:v>19500000</x:v>
      </x:c>
      <x:c r="M32" t="str">
        <x:v>Tự tìm nguồn tài trợ</x:v>
      </x:c>
      <x:c r="N32" t="n">
        <x:v>5</x:v>
      </x:c>
      <x:c r="O32" t="str">
        <x:v>Không ghi nhận</x:v>
      </x:c>
      <x:c r="P32" t="n">
        <x:f>COUNTIF('02_OUTPUT_ALL'!$B:$B,A32)</x:f>
        <x:v>3</x:v>
      </x:c>
      <x:c r="Q32" t="str">
        <x:v>Tổng hợp đề tài KHCN cấp cơ sở của GV 2021-2025.pdf, phần chuyển tiếp 2024-2025</x:v>
      </x:c>
      <x:c r="R32" t="str">
        <x:v>Nghiệm thu năm 2025.</x:v>
      </x:c>
    </x:row>
    <x:row r="33">
      <x:c r="A33" t="str">
        <x:v>P2025-01</x:v>
      </x:c>
      <x:c r="B33" t="n">
        <x:v>2025</x:v>
      </x:c>
      <x:c r="C33" t="str">
        <x:v>01-2025/KHCN</x:v>
      </x:c>
      <x:c r="D33" t="str">
        <x:v>Sử dụng chiến lược scaffolding để tăng cường sự tham gia của sinh viên trong lớp học tiếng Anh đa trình độ</x:v>
      </x:c>
      <x:c r="E33" t="str">
        <x:v>Cơ sở</x:v>
      </x:c>
      <x:c r="F33" t="str">
        <x:v>Phan Thị Thanh Thảo</x:v>
      </x:c>
      <x:c r="G33" t="str">
        <x:v>Viện QT&amp;CN</x:v>
      </x:c>
      <x:c r="H33" t="str">
        <x:v>Ngôn ngữ/Giáo dục</x:v>
      </x:c>
      <x:c r="I33" t="str">
        <x:v>Global Communication</x:v>
      </x:c>
      <x:c r="J33" s="22" t="n">
        <x:v>46006</x:v>
      </x:c>
      <x:c r="K33" t="str">
        <x:v>Tốt</x:v>
      </x:c>
      <x:c r="L33" s="24" t="n">
        <x:v>5000000</x:v>
      </x:c>
      <x:c r="M33" t="str">
        <x:v>Tiền mặt</x:v>
      </x:c>
      <x:c r="N33" t="n">
        <x:v>3</x:v>
      </x:c>
      <x:c r="O33" t="str">
        <x:v>Không ghi nhận</x:v>
      </x:c>
      <x:c r="P33" t="n">
        <x:f>COUNTIF('02_OUTPUT_ALL'!$B:$B,A33)</x:f>
        <x:v>2</x:v>
      </x:c>
      <x:c r="Q33" t="str">
        <x:v>Tổng hợp đề tài KHCN cấp cơ sở của GV 2021-2025.pdf, mục NĂM 2025</x:v>
      </x:c>
      <x:c r="R33" t="str">
        <x:v>Nguồn viết 'scarfolding'; chuẩn hóa thành scaffolding trong tên phân tích.</x:v>
      </x:c>
    </x:row>
    <x:row r="34">
      <x:c r="A34" t="str">
        <x:v>P2025-02</x:v>
      </x:c>
      <x:c r="B34" t="n">
        <x:v>2025</x:v>
      </x:c>
      <x:c r="C34" t="str">
        <x:v>02-2025/KHCN</x:v>
      </x:c>
      <x:c r="D34" t="str">
        <x:v>Phát triển kiến thức và kỹ năng đổi mới sáng tạo cho sinh viên ngành quản trị kinh doanh Trường Đại học Thành Đô</x:v>
      </x:c>
      <x:c r="E34" t="str">
        <x:v>Cơ sở</x:v>
      </x:c>
      <x:c r="F34" t="str">
        <x:v>Nguyễn Thị Hay</x:v>
      </x:c>
      <x:c r="G34" t="str">
        <x:v>Viện QT&amp;CN</x:v>
      </x:c>
      <x:c r="H34" t="str">
        <x:v>Quản trị kinh doanh/Đổi mới sáng tạo</x:v>
      </x:c>
      <x:c r="I34" t="str">
        <x:v>Digital Services</x:v>
      </x:c>
      <x:c r="J34" s="22" t="n">
        <x:v>46008</x:v>
      </x:c>
      <x:c r="K34" t="str">
        <x:v>Tốt</x:v>
      </x:c>
      <x:c r="L34" s="24"/>
      <x:c r="M34" t="str">
        <x:v>Tính giờ NCKH đề tài + bài báo</x:v>
      </x:c>
      <x:c r="N34" t="n">
        <x:v>1</x:v>
      </x:c>
      <x:c r="O34" t="str">
        <x:v>Không ghi nhận</x:v>
      </x:c>
      <x:c r="P34" t="n">
        <x:f>COUNTIF('02_OUTPUT_ALL'!$B:$B,A34)</x:f>
        <x:v>2</x:v>
      </x:c>
      <x:c r="Q34" t="str">
        <x:v>Tổng hợp đề tài KHCN cấp cơ sở của GV 2021-2025.pdf, mục NĂM 2025</x:v>
      </x:c>
      <x:c r="R34" t="str"/>
    </x:row>
    <x:row r="35">
      <x:c r="A35" t="str">
        <x:v>P2025-03</x:v>
      </x:c>
      <x:c r="B35" t="n">
        <x:v>2025</x:v>
      </x:c>
      <x:c r="C35" t="str">
        <x:v>03-2025/KHCN</x:v>
      </x:c>
      <x:c r="D35" t="str">
        <x:v>Nghiên cứu các nhân tố ảnh hưởng đến khả năng tự quyết toán thuế TNCN của người nộp thuế TNCN trên địa bàn thành phố Hà Nội</x:v>
      </x:c>
      <x:c r="E35" t="str">
        <x:v>Cơ sở</x:v>
      </x:c>
      <x:c r="F35" t="str">
        <x:v>Trần Thị Thùy</x:v>
      </x:c>
      <x:c r="G35" t="str">
        <x:v>Viện QT&amp;CN</x:v>
      </x:c>
      <x:c r="H35" t="str">
        <x:v>Kinh tế/Tài chính công/Thuế</x:v>
      </x:c>
      <x:c r="I35" t="str">
        <x:v>Digital Services</x:v>
      </x:c>
      <x:c r="J35" s="22" t="n">
        <x:v>46009</x:v>
      </x:c>
      <x:c r="K35" t="str">
        <x:v>Tốt</x:v>
      </x:c>
      <x:c r="L35" s="24"/>
      <x:c r="M35" t="str">
        <x:v>Tính giờ NCKH đề tài + bài báo</x:v>
      </x:c>
      <x:c r="N35" t="n">
        <x:v>2</x:v>
      </x:c>
      <x:c r="O35" t="str">
        <x:v>Không ghi nhận</x:v>
      </x:c>
      <x:c r="P35" t="n">
        <x:f>COUNTIF('02_OUTPUT_ALL'!$B:$B,A35)</x:f>
        <x:v>2</x:v>
      </x:c>
      <x:c r="Q35" t="str">
        <x:v>Tổng hợp đề tài KHCN cấp cơ sở của GV 2021-2025.pdf, mục NĂM 2025</x:v>
      </x:c>
      <x:c r="R35" t="str"/>
    </x:row>
    <x:row r="36">
      <x:c r="A36" t="str">
        <x:v>P2025-04</x:v>
      </x:c>
      <x:c r="B36" t="n">
        <x:v>2025</x:v>
      </x:c>
      <x:c r="C36" t="str">
        <x:v>04-2025/KHCN</x:v>
      </x:c>
      <x:c r="D36" t="str">
        <x:v>Hoàn thiện kỹ năng soạn thảo hợp đồng cho sinh viên Trường Đại học Thành Đô</x:v>
      </x:c>
      <x:c r="E36" t="str">
        <x:v>Cơ sở</x:v>
      </x:c>
      <x:c r="F36" t="str">
        <x:v>Vũ Thị Thu Hà</x:v>
      </x:c>
      <x:c r="G36" t="str">
        <x:v>Viện QT&amp;CN</x:v>
      </x:c>
      <x:c r="H36" t="str">
        <x:v>Luật/Giáo dục kỹ năng</x:v>
      </x:c>
      <x:c r="I36" t="str">
        <x:v>Khác/Chưa phân loại</x:v>
      </x:c>
      <x:c r="J36" s="22" t="n">
        <x:v>46010</x:v>
      </x:c>
      <x:c r="K36" t="str">
        <x:v>Tốt</x:v>
      </x:c>
      <x:c r="L36" s="24"/>
      <x:c r="M36" t="str">
        <x:v>Tính giờ NCKH đề tài + bài báo</x:v>
      </x:c>
      <x:c r="N36" t="n">
        <x:v>3</x:v>
      </x:c>
      <x:c r="O36" t="str">
        <x:v>Không ghi nhận</x:v>
      </x:c>
      <x:c r="P36" t="n">
        <x:f>COUNTIF('02_OUTPUT_ALL'!$B:$B,A36)</x:f>
        <x:v>1</x:v>
      </x:c>
      <x:c r="Q36" t="str">
        <x:v>Tổng hợp đề tài KHCN cấp cơ sở của GV 2021-2025.pdf, mục NĂM 2025</x:v>
      </x:c>
      <x:c r="R36" t="str">
        <x:v>Hồ sơ trích xuất hiện thấy sản phẩm bài báo; cần kiểm tra có báo cáo toàn văn riêng hay không.</x:v>
      </x:c>
    </x:row>
    <x:row r="37">
      <x:c r="A37" t="str">
        <x:v>P2025-06</x:v>
      </x:c>
      <x:c r="B37" t="n">
        <x:v>2025</x:v>
      </x:c>
      <x:c r="C37" t="str">
        <x:v>06-2025/KHCN</x:v>
      </x:c>
      <x:c r="D37" t="str">
        <x:v>Nghiên cứu bào chế cồn thuốc xoa bóp hỗ trợ giảm đau nhức xương khớp quy mô phòng thí nghiệm</x:v>
      </x:c>
      <x:c r="E37" t="str">
        <x:v>Cơ sở</x:v>
      </x:c>
      <x:c r="F37" t="str">
        <x:v>Nguyễn Đăng Việt</x:v>
      </x:c>
      <x:c r="G37" t="str">
        <x:v>Viện Y-Dược</x:v>
      </x:c>
      <x:c r="H37" t="str">
        <x:v>Dược/Bào chế</x:v>
      </x:c>
      <x:c r="I37" t="str">
        <x:v>Wellness &amp; Care</x:v>
      </x:c>
      <x:c r="J37" s="22" t="n">
        <x:v>46016</x:v>
      </x:c>
      <x:c r="K37" t="str">
        <x:v>Tốt</x:v>
      </x:c>
      <x:c r="L37" s="24" t="n">
        <x:v>30000000</x:v>
      </x:c>
      <x:c r="M37" t="str">
        <x:v>Tiền mặt + tính giờ NCKH</x:v>
      </x:c>
      <x:c r="N37" t="n">
        <x:v>4</x:v>
      </x:c>
      <x:c r="O37" t="str">
        <x:v>Có</x:v>
      </x:c>
      <x:c r="P37" t="n">
        <x:f>COUNTIF('02_OUTPUT_ALL'!$B:$B,A37)</x:f>
        <x:v>3</x:v>
      </x:c>
      <x:c r="Q37" t="str">
        <x:v>Tổng hợp đề tài KHCN cấp cơ sở của GV 2021-2025.pdf, mục NĂM 2025</x:v>
      </x:c>
      <x:c r="R37" t="str">
        <x:v>Công thức mới, dự kiến đăng ký GPHI.</x:v>
      </x:c>
    </x:row>
    <x:row r="38">
      <x:c r="A38" t="str">
        <x:v>P2025-07</x:v>
      </x:c>
      <x:c r="B38" t="n">
        <x:v>2025</x:v>
      </x:c>
      <x:c r="C38" t="str">
        <x:v>07-2025/KHCN</x:v>
      </x:c>
      <x:c r="D38" t="str">
        <x:v>Nghiên cứu bào chế viên ngậm hỗ trợ giảm ho từ Gừng và Húng chanh</x:v>
      </x:c>
      <x:c r="E38" t="str">
        <x:v>Cơ sở</x:v>
      </x:c>
      <x:c r="F38" t="str">
        <x:v>Ngô Thị Thu</x:v>
      </x:c>
      <x:c r="G38" t="str">
        <x:v>Viện Y-Dược</x:v>
      </x:c>
      <x:c r="H38" t="str">
        <x:v>Dược/Bào chế</x:v>
      </x:c>
      <x:c r="I38" t="str">
        <x:v>Wellness &amp; Care</x:v>
      </x:c>
      <x:c r="J38" s="22" t="n">
        <x:v>46016</x:v>
      </x:c>
      <x:c r="K38" t="str">
        <x:v>Tốt</x:v>
      </x:c>
      <x:c r="L38" s="24" t="n">
        <x:v>30000000</x:v>
      </x:c>
      <x:c r="M38" t="str">
        <x:v>Tiền mặt + tính giờ NCKH</x:v>
      </x:c>
      <x:c r="N38" t="n">
        <x:v>4</x:v>
      </x:c>
      <x:c r="O38" t="str">
        <x:v>Có</x:v>
      </x:c>
      <x:c r="P38" t="n">
        <x:f>COUNTIF('02_OUTPUT_ALL'!$B:$B,A38)</x:f>
        <x:v>4</x:v>
      </x:c>
      <x:c r="Q38" t="str">
        <x:v>Tổng hợp đề tài KHCN cấp cơ sở của GV 2021-2025.pdf, mục NĂM 2025</x:v>
      </x:c>
      <x:c r="R38" t="str">
        <x:v>Quy trình mới, dự kiến đăng ký GPHI.</x:v>
      </x:c>
    </x:row>
    <x:row r="39">
      <x:c r="A39" t="str">
        <x:v>P2025-09</x:v>
      </x:c>
      <x:c r="B39" t="n">
        <x:v>2025</x:v>
      </x:c>
      <x:c r="C39" t="str">
        <x:v>09-2025/KHCN</x:v>
      </x:c>
      <x:c r="D39" t="str">
        <x:v>Nghiên cứu chiết xuất và đánh giá hoạt tính dược học của lá Quế hoa (Osmanthus fragrans) hướng tới ứng dụng trong thực phẩm chức năng</x:v>
      </x:c>
      <x:c r="E39" t="str">
        <x:v>Cơ sở</x:v>
      </x:c>
      <x:c r="F39" t="str">
        <x:v>Nguyễn Ngọc Linh</x:v>
      </x:c>
      <x:c r="G39" t="str">
        <x:v>Viện Y-Dược</x:v>
      </x:c>
      <x:c r="H39" t="str">
        <x:v>Dược/Hoạt chất tự nhiên</x:v>
      </x:c>
      <x:c r="I39" t="str">
        <x:v>Wellness &amp; Care</x:v>
      </x:c>
      <x:c r="J39" s="22" t="n">
        <x:v>46016</x:v>
      </x:c>
      <x:c r="K39" t="str">
        <x:v>Xuất sắc</x:v>
      </x:c>
      <x:c r="L39" s="24" t="n">
        <x:v>80000000</x:v>
      </x:c>
      <x:c r="M39" t="str">
        <x:v>Tiền mặt + tính giờ NCKH; xin thêm 20 triệu</x:v>
      </x:c>
      <x:c r="N39" t="n">
        <x:v>5</x:v>
      </x:c>
      <x:c r="O39" t="str">
        <x:v>Có - giai đoạn 2 dự kiến</x:v>
      </x:c>
      <x:c r="P39" t="n">
        <x:f>COUNTIF('02_OUTPUT_ALL'!$B:$B,A39)</x:f>
        <x:v>3</x:v>
      </x:c>
      <x:c r="Q39" t="str">
        <x:v>Tổng hợp đề tài KHCN cấp cơ sở của GV 2021-2025.pdf, mục NĂM 2025</x:v>
      </x:c>
      <x:c r="R39" t="str">
        <x:v>Giai đoạn 2 ghi 'Sáng chế' nhưng chưa có bằng chứng đã nộp/cấp.</x:v>
      </x:c>
    </x:row>
    <x:row r="40">
      <x:c r="J40" s="22"/>
      <x:c r="L40" s="24"/>
    </x:row>
    <x:row r="41">
      <x:c r="J41" s="22"/>
      <x:c r="L41" s="24"/>
    </x:row>
    <x:row r="42">
      <x:c r="J42" s="22"/>
      <x:c r="L42" s="24"/>
    </x:row>
    <x:row r="43">
      <x:c r="J43" s="22"/>
      <x:c r="L43" s="24"/>
    </x:row>
    <x:row r="44">
      <x:c r="J44" s="22"/>
      <x:c r="L44" s="24"/>
    </x:row>
    <x:row r="45">
      <x:c r="J45" s="22"/>
      <x:c r="L45" s="24"/>
    </x:row>
    <x:row r="46">
      <x:c r="J46" s="22"/>
      <x:c r="L46" s="24"/>
    </x:row>
    <x:row r="47">
      <x:c r="J47" s="22"/>
      <x:c r="L47" s="24"/>
    </x:row>
    <x:row r="48">
      <x:c r="J48" s="22"/>
      <x:c r="L48" s="24"/>
    </x:row>
    <x:row r="49">
      <x:c r="J49" s="22"/>
      <x:c r="L49" s="24"/>
    </x:row>
    <x:row r="50">
      <x:c r="J50" s="22"/>
      <x:c r="L50" s="24"/>
    </x:row>
    <x:row r="51">
      <x:c r="J51" s="22"/>
      <x:c r="L51" s="24"/>
    </x:row>
    <x:row r="52">
      <x:c r="J52" s="22"/>
      <x:c r="L52" s="24"/>
    </x:row>
    <x:row r="53">
      <x:c r="J53" s="22"/>
      <x:c r="L53" s="24"/>
    </x:row>
    <x:row r="54">
      <x:c r="J54" s="22"/>
      <x:c r="L54" s="24"/>
    </x:row>
    <x:row r="55">
      <x:c r="J55" s="22"/>
      <x:c r="L55" s="24"/>
    </x:row>
    <x:row r="56">
      <x:c r="J56" s="22"/>
      <x:c r="L56" s="24"/>
    </x:row>
    <x:row r="57">
      <x:c r="J57" s="22"/>
      <x:c r="L57" s="24"/>
    </x:row>
    <x:row r="58">
      <x:c r="J58" s="22"/>
      <x:c r="L58" s="24"/>
    </x:row>
    <x:row r="59">
      <x:c r="J59" s="22"/>
      <x:c r="L59" s="24"/>
    </x:row>
    <x:row r="60">
      <x:c r="J60" s="22"/>
      <x:c r="L60" s="24"/>
    </x:row>
    <x:row r="61">
      <x:c r="J61" s="22"/>
      <x:c r="L61" s="24"/>
    </x:row>
    <x:row r="62">
      <x:c r="J62" s="22"/>
      <x:c r="L62" s="24"/>
    </x:row>
    <x:row r="63">
      <x:c r="J63" s="22"/>
      <x:c r="L63" s="24"/>
    </x:row>
    <x:row r="64">
      <x:c r="J64" s="22"/>
      <x:c r="L64" s="24"/>
    </x:row>
    <x:row r="65">
      <x:c r="J65" s="22"/>
      <x:c r="L65" s="24"/>
    </x:row>
    <x:row r="66">
      <x:c r="J66" s="22"/>
      <x:c r="L66" s="24"/>
    </x:row>
    <x:row r="67">
      <x:c r="J67" s="22"/>
      <x:c r="L67" s="24"/>
    </x:row>
    <x:row r="68">
      <x:c r="J68" s="22"/>
      <x:c r="L68" s="24"/>
    </x:row>
    <x:row r="69">
      <x:c r="J69" s="22"/>
      <x:c r="L69" s="24"/>
    </x:row>
    <x:row r="70">
      <x:c r="J70" s="22"/>
      <x:c r="L70" s="24"/>
    </x:row>
    <x:row r="71">
      <x:c r="J71" s="22"/>
      <x:c r="L71" s="24"/>
    </x:row>
    <x:row r="72">
      <x:c r="J72" s="22"/>
      <x:c r="L72" s="24"/>
    </x:row>
    <x:row r="73">
      <x:c r="J73" s="22"/>
      <x:c r="L73" s="24"/>
    </x:row>
    <x:row r="74">
      <x:c r="J74" s="22"/>
      <x:c r="L74" s="24"/>
    </x:row>
    <x:row r="75">
      <x:c r="J75" s="22"/>
      <x:c r="L75" s="24"/>
    </x:row>
    <x:row r="76">
      <x:c r="J76" s="22"/>
      <x:c r="L76" s="24"/>
    </x:row>
    <x:row r="77">
      <x:c r="J77" s="22"/>
      <x:c r="L77" s="24"/>
    </x:row>
    <x:row r="78">
      <x:c r="J78" s="22"/>
      <x:c r="L78" s="24"/>
    </x:row>
    <x:row r="79">
      <x:c r="J79" s="22"/>
      <x:c r="L79" s="24"/>
    </x:row>
    <x:row r="80">
      <x:c r="J80" s="22"/>
      <x:c r="L80" s="24"/>
    </x:row>
    <x:row r="81">
      <x:c r="J81" s="22"/>
      <x:c r="L81" s="24"/>
    </x:row>
    <x:row r="82">
      <x:c r="J82" s="22"/>
      <x:c r="L82" s="24"/>
    </x:row>
    <x:row r="83">
      <x:c r="J83" s="22"/>
      <x:c r="L83" s="24"/>
    </x:row>
    <x:row r="84">
      <x:c r="J84" s="22"/>
      <x:c r="L84" s="24"/>
    </x:row>
    <x:row r="85">
      <x:c r="J85" s="22"/>
      <x:c r="L85" s="24"/>
    </x:row>
    <x:row r="86">
      <x:c r="J86" s="22"/>
      <x:c r="L86" s="24"/>
    </x:row>
    <x:row r="87">
      <x:c r="J87" s="22"/>
      <x:c r="L87" s="24"/>
    </x:row>
    <x:row r="88">
      <x:c r="J88" s="22"/>
      <x:c r="L88" s="24"/>
    </x:row>
    <x:row r="89">
      <x:c r="J89" s="22"/>
      <x:c r="L89" s="24"/>
    </x:row>
    <x:row r="90">
      <x:c r="J90" s="22"/>
      <x:c r="L90" s="24"/>
    </x:row>
    <x:row r="91">
      <x:c r="J91" s="22"/>
      <x:c r="L91" s="24"/>
    </x:row>
    <x:row r="92">
      <x:c r="J92" s="22"/>
      <x:c r="L92" s="24"/>
    </x:row>
    <x:row r="93">
      <x:c r="J93" s="22"/>
      <x:c r="L93" s="24"/>
    </x:row>
    <x:row r="94">
      <x:c r="J94" s="22"/>
      <x:c r="L94" s="24"/>
    </x:row>
    <x:row r="95">
      <x:c r="J95" s="22"/>
      <x:c r="L95" s="24"/>
    </x:row>
    <x:row r="96">
      <x:c r="J96" s="22"/>
      <x:c r="L96" s="24"/>
    </x:row>
    <x:row r="97">
      <x:c r="J97" s="22"/>
      <x:c r="L97" s="24"/>
    </x:row>
    <x:row r="98">
      <x:c r="J98" s="22"/>
      <x:c r="L98" s="24"/>
    </x:row>
    <x:row r="99">
      <x:c r="J99" s="22"/>
      <x:c r="L99" s="24"/>
    </x:row>
    <x:row r="100">
      <x:c r="J100" s="22"/>
      <x:c r="L100" s="24"/>
    </x:row>
  </x:sheetData>
  <x:pageMargins left="0.7" right="0.7" top="0.75" bottom="0.75" header="0.3" footer="0.3"/>
  <x:tableParts count="1">
    <x:tablePart xmlns:r="http://schemas.openxmlformats.org/officeDocument/2006/relationships" r:id="R847c49269d614be1"/>
  </x:tableParts>
</x:worksheet>
</file>

<file path=xl/worksheets/sheet12.xml><?xml version="1.0" encoding="utf-8"?>
<x:worksheet xmlns:x="http://schemas.openxmlformats.org/spreadsheetml/2006/main">
  <x:sheetFormatPr defaultRowHeight="15"/>
  <x:cols>
    <x:col min="1" max="1" width="18" hidden="0" customWidth="1"/>
    <x:col min="2" max="2" width="14" hidden="0" customWidth="1"/>
    <x:col min="3" max="3" width="8" hidden="0" customWidth="1"/>
    <x:col min="4" max="4" width="58" hidden="0" customWidth="1"/>
    <x:col min="5" max="5" width="24" hidden="0" customWidth="1"/>
    <x:col min="6" max="6" width="10" hidden="0" customWidth="1"/>
    <x:col min="7" max="7" width="16" hidden="0" customWidth="1"/>
    <x:col min="8" max="8" width="32" hidden="0" customWidth="1"/>
    <x:col min="9" max="9" width="14" hidden="0" customWidth="1"/>
    <x:col min="10" max="10" width="42" hidden="0" customWidth="1"/>
    <x:col min="11" max="11" width="16" hidden="0" customWidth="1"/>
    <x:col min="12" max="12" width="18" hidden="0" customWidth="1"/>
    <x:col min="13" max="13" width="20" hidden="0" customWidth="1"/>
    <x:col min="14" max="14" width="48" hidden="0" customWidth="1"/>
    <x:col min="15" max="15" width="48" hidden="0" customWidth="1"/>
  </x:cols>
  <x:sheetData>
    <x:row r="1">
      <x:c r="A1" s="39" t="str">
        <x:v>Output_ID</x:v>
      </x:c>
      <x:c r="B1" s="39" t="str">
        <x:v>Project_ID</x:v>
      </x:c>
      <x:c r="C1" s="39" t="str">
        <x:v>Năm</x:v>
      </x:c>
      <x:c r="D1" s="39" t="str">
        <x:v>Tên đầu ra theo hồ sơ</x:v>
      </x:c>
      <x:c r="E1" s="39" t="str">
        <x:v>Loại đầu ra</x:v>
      </x:c>
      <x:c r="F1" s="39" t="str">
        <x:v>Số lượng</x:v>
      </x:c>
      <x:c r="G1" s="39" t="str">
        <x:v>Đơn vị tính</x:v>
      </x:c>
      <x:c r="H1" s="39" t="str">
        <x:v>Trạng thái bằng chứng</x:v>
      </x:c>
      <x:c r="I1" s="39" t="str">
        <x:v>Dấu hiệu TSTT?</x:v>
      </x:c>
      <x:c r="J1" s="39" t="str">
        <x:v>Hình thức quyền/biện pháp sơ bộ</x:v>
      </x:c>
      <x:c r="K1" s="39" t="str">
        <x:v>Ưu tiên quản trị IP</x:v>
      </x:c>
      <x:c r="L1" s="39" t="str">
        <x:v>Có dấu hiệu ứng dụng?</x:v>
      </x:c>
      <x:c r="M1" s="39" t="str">
        <x:v>Đối chiếu với CSDL công bố</x:v>
      </x:c>
      <x:c r="N1" s="39" t="str">
        <x:v>Nguồn</x:v>
      </x:c>
      <x:c r="O1" s="39" t="str">
        <x:v>Ghi chú coding</x:v>
      </x:c>
    </x:row>
    <x:row r="2">
      <x:c r="A2" t="str">
        <x:v>O-2021-20-01</x:v>
      </x:c>
      <x:c r="B2" t="str">
        <x:v>P2021-20</x:v>
      </x:c>
      <x:c r="C2" t="n">
        <x:v>2021</x:v>
      </x:c>
      <x:c r="D2" t="str">
        <x:v>Báo cáo tổng kết đề tài</x:v>
      </x:c>
      <x:c r="E2" t="str">
        <x:v>Báo cáo nghiên cứu</x:v>
      </x:c>
      <x:c r="F2" t="n">
        <x:v>1</x:v>
      </x:c>
      <x:c r="G2" t="str">
        <x:v>báo cáo</x:v>
      </x:c>
      <x:c r="H2" t="str">
        <x:v>Đã nghiệm thu</x:v>
      </x:c>
      <x:c r="I2" t="str">
        <x:v>Có</x:v>
      </x:c>
      <x:c r="J2" t="str">
        <x:v>Quyền tác giả</x:v>
      </x:c>
      <x:c r="K2" t="str">
        <x:v>Thấp</x:v>
      </x:c>
      <x:c r="L2" t="str">
        <x:v>Không</x:v>
      </x:c>
      <x:c r="M2" t="str">
        <x:v>Chưa cần</x:v>
      </x:c>
      <x:c r="N2" t="str">
        <x:v>Tổng hợp đề tài KHCN cấp cơ sở của GV 2021-2025.pdf, tr.1</x:v>
      </x:c>
      <x:c r="O2" t="str"/>
    </x:row>
    <x:row r="3">
      <x:c r="A3" t="str">
        <x:v>O-2021-22-01</x:v>
      </x:c>
      <x:c r="B3" t="str">
        <x:v>P2021-22</x:v>
      </x:c>
      <x:c r="C3" t="n">
        <x:v>2021</x:v>
      </x:c>
      <x:c r="D3" t="str">
        <x:v>Báo cáo tổng kết đề tài</x:v>
      </x:c>
      <x:c r="E3" t="str">
        <x:v>Báo cáo nghiên cứu</x:v>
      </x:c>
      <x:c r="F3" t="n">
        <x:v>1</x:v>
      </x:c>
      <x:c r="G3" t="str">
        <x:v>báo cáo</x:v>
      </x:c>
      <x:c r="H3" t="str">
        <x:v>Đã nghiệm thu</x:v>
      </x:c>
      <x:c r="I3" t="str">
        <x:v>Có</x:v>
      </x:c>
      <x:c r="J3" t="str">
        <x:v>Quyền tác giả</x:v>
      </x:c>
      <x:c r="K3" t="str">
        <x:v>Thấp</x:v>
      </x:c>
      <x:c r="L3" t="str">
        <x:v>Không</x:v>
      </x:c>
      <x:c r="M3" t="str">
        <x:v>Chưa cần</x:v>
      </x:c>
      <x:c r="N3" t="str">
        <x:v>Tổng hợp đề tài KHCN cấp cơ sở của GV 2021-2025.pdf, tr.1</x:v>
      </x:c>
      <x:c r="O3" t="str"/>
    </x:row>
    <x:row r="4">
      <x:c r="A4" t="str">
        <x:v>O-2021-24-01</x:v>
      </x:c>
      <x:c r="B4" t="str">
        <x:v>P2021-24</x:v>
      </x:c>
      <x:c r="C4" t="n">
        <x:v>2021</x:v>
      </x:c>
      <x:c r="D4" t="str">
        <x:v>Báo cáo tổng kết đề tài</x:v>
      </x:c>
      <x:c r="E4" t="str">
        <x:v>Báo cáo nghiên cứu</x:v>
      </x:c>
      <x:c r="F4" t="n">
        <x:v>1</x:v>
      </x:c>
      <x:c r="G4" t="str">
        <x:v>báo cáo</x:v>
      </x:c>
      <x:c r="H4" t="str">
        <x:v>Đã nghiệm thu</x:v>
      </x:c>
      <x:c r="I4" t="str">
        <x:v>Có</x:v>
      </x:c>
      <x:c r="J4" t="str">
        <x:v>Quyền tác giả</x:v>
      </x:c>
      <x:c r="K4" t="str">
        <x:v>Thấp</x:v>
      </x:c>
      <x:c r="L4" t="str">
        <x:v>Không</x:v>
      </x:c>
      <x:c r="M4" t="str">
        <x:v>Chưa cần</x:v>
      </x:c>
      <x:c r="N4" t="str">
        <x:v>Tổng hợp đề tài KHCN cấp cơ sở của GV 2021-2025.pdf, tr.1</x:v>
      </x:c>
      <x:c r="O4" t="str"/>
    </x:row>
    <x:row r="5">
      <x:c r="A5" t="str">
        <x:v>O-2021-27-01</x:v>
      </x:c>
      <x:c r="B5" t="str">
        <x:v>P2021-27</x:v>
      </x:c>
      <x:c r="C5" t="n">
        <x:v>2021</x:v>
      </x:c>
      <x:c r="D5" t="str">
        <x:v>Báo cáo tổng kết đề tài</x:v>
      </x:c>
      <x:c r="E5" t="str">
        <x:v>Báo cáo nghiên cứu</x:v>
      </x:c>
      <x:c r="F5" t="n">
        <x:v>1</x:v>
      </x:c>
      <x:c r="G5" t="str">
        <x:v>báo cáo</x:v>
      </x:c>
      <x:c r="H5" t="str">
        <x:v>Đã nghiệm thu</x:v>
      </x:c>
      <x:c r="I5" t="str">
        <x:v>Có</x:v>
      </x:c>
      <x:c r="J5" t="str">
        <x:v>Quyền tác giả</x:v>
      </x:c>
      <x:c r="K5" t="str">
        <x:v>Thấp</x:v>
      </x:c>
      <x:c r="L5" t="str">
        <x:v>Không</x:v>
      </x:c>
      <x:c r="M5" t="str">
        <x:v>Chưa cần</x:v>
      </x:c>
      <x:c r="N5" t="str">
        <x:v>Tổng hợp đề tài KHCN cấp cơ sở của GV 2021-2025.pdf, tr.1</x:v>
      </x:c>
      <x:c r="O5" t="str"/>
    </x:row>
    <x:row r="6">
      <x:c r="A6" t="str">
        <x:v>O-2021-27-02</x:v>
      </x:c>
      <x:c r="B6" t="str">
        <x:v>P2021-27</x:v>
      </x:c>
      <x:c r="C6" t="n">
        <x:v>2021</x:v>
      </x:c>
      <x:c r="D6" t="str">
        <x:v>Bài báo đăng tạp chí quốc tế</x:v>
      </x:c>
      <x:c r="E6" t="str">
        <x:v>Bài báo</x:v>
      </x:c>
      <x:c r="F6" t="n">
        <x:v>1</x:v>
      </x:c>
      <x:c r="G6" t="str">
        <x:v>bài</x:v>
      </x:c>
      <x:c r="H6" t="str">
        <x:v>Hồ sơ ghi nhận</x:v>
      </x:c>
      <x:c r="I6" t="str">
        <x:v>Có</x:v>
      </x:c>
      <x:c r="J6" t="str">
        <x:v>Quyền tác giả</x:v>
      </x:c>
      <x:c r="K6" t="str">
        <x:v>Thấp</x:v>
      </x:c>
      <x:c r="L6" t="str">
        <x:v>Không</x:v>
      </x:c>
      <x:c r="M6" t="str">
        <x:v>Cần đối chiếu</x:v>
      </x:c>
      <x:c r="N6" t="str">
        <x:v>Tổng hợp đề tài KHCN cấp cơ sở của GV 2021-2025.pdf, tr.1</x:v>
      </x:c>
      <x:c r="O6" t="str"/>
    </x:row>
    <x:row r="7">
      <x:c r="A7" t="str">
        <x:v>O-2021-27-03</x:v>
      </x:c>
      <x:c r="B7" t="str">
        <x:v>P2021-27</x:v>
      </x:c>
      <x:c r="C7" t="n">
        <x:v>2021</x:v>
      </x:c>
      <x:c r="D7" t="str">
        <x:v>Bài báo đăng tạp chí trong nước</x:v>
      </x:c>
      <x:c r="E7" t="str">
        <x:v>Bài báo</x:v>
      </x:c>
      <x:c r="F7" t="n">
        <x:v>1</x:v>
      </x:c>
      <x:c r="G7" t="str">
        <x:v>bài</x:v>
      </x:c>
      <x:c r="H7" t="str">
        <x:v>Hồ sơ ghi nhận</x:v>
      </x:c>
      <x:c r="I7" t="str">
        <x:v>Có</x:v>
      </x:c>
      <x:c r="J7" t="str">
        <x:v>Quyền tác giả</x:v>
      </x:c>
      <x:c r="K7" t="str">
        <x:v>Thấp</x:v>
      </x:c>
      <x:c r="L7" t="str">
        <x:v>Không</x:v>
      </x:c>
      <x:c r="M7" t="str">
        <x:v>Cần đối chiếu</x:v>
      </x:c>
      <x:c r="N7" t="str">
        <x:v>Tổng hợp đề tài KHCN cấp cơ sở của GV 2021-2025.pdf, tr.1</x:v>
      </x:c>
      <x:c r="O7" t="str"/>
    </x:row>
    <x:row r="8">
      <x:c r="A8" t="str">
        <x:v>O-2021-28-01</x:v>
      </x:c>
      <x:c r="B8" t="str">
        <x:v>P2021-28</x:v>
      </x:c>
      <x:c r="C8" t="n">
        <x:v>2021</x:v>
      </x:c>
      <x:c r="D8" t="str">
        <x:v>Báo cáo tổng kết đề tài</x:v>
      </x:c>
      <x:c r="E8" t="str">
        <x:v>Báo cáo nghiên cứu</x:v>
      </x:c>
      <x:c r="F8" t="n">
        <x:v>1</x:v>
      </x:c>
      <x:c r="G8" t="str">
        <x:v>báo cáo</x:v>
      </x:c>
      <x:c r="H8" t="str">
        <x:v>Đã nghiệm thu</x:v>
      </x:c>
      <x:c r="I8" t="str">
        <x:v>Có</x:v>
      </x:c>
      <x:c r="J8" t="str">
        <x:v>Quyền tác giả</x:v>
      </x:c>
      <x:c r="K8" t="str">
        <x:v>Thấp</x:v>
      </x:c>
      <x:c r="L8" t="str">
        <x:v>Không</x:v>
      </x:c>
      <x:c r="M8" t="str">
        <x:v>Chưa cần</x:v>
      </x:c>
      <x:c r="N8" t="str">
        <x:v>Tổng hợp đề tài KHCN cấp cơ sở của GV 2021-2025.pdf, tr.2</x:v>
      </x:c>
      <x:c r="O8" t="str"/>
    </x:row>
    <x:row r="9">
      <x:c r="A9" t="str">
        <x:v>O-2021-28-02</x:v>
      </x:c>
      <x:c r="B9" t="str">
        <x:v>P2021-28</x:v>
      </x:c>
      <x:c r="C9" t="n">
        <x:v>2021</x:v>
      </x:c>
      <x:c r="D9" t="str">
        <x:v>Bài báo đăng tạp chí quốc tế</x:v>
      </x:c>
      <x:c r="E9" t="str">
        <x:v>Bài báo</x:v>
      </x:c>
      <x:c r="F9" t="n">
        <x:v>1</x:v>
      </x:c>
      <x:c r="G9" t="str">
        <x:v>bài</x:v>
      </x:c>
      <x:c r="H9" t="str">
        <x:v>Hồ sơ ghi nhận</x:v>
      </x:c>
      <x:c r="I9" t="str">
        <x:v>Có</x:v>
      </x:c>
      <x:c r="J9" t="str">
        <x:v>Quyền tác giả</x:v>
      </x:c>
      <x:c r="K9" t="str">
        <x:v>Thấp</x:v>
      </x:c>
      <x:c r="L9" t="str">
        <x:v>Không</x:v>
      </x:c>
      <x:c r="M9" t="str">
        <x:v>Cần đối chiếu</x:v>
      </x:c>
      <x:c r="N9" t="str">
        <x:v>Tổng hợp đề tài KHCN cấp cơ sở của GV 2021-2025.pdf, tr.2</x:v>
      </x:c>
      <x:c r="O9" t="str"/>
    </x:row>
    <x:row r="10">
      <x:c r="A10" t="str">
        <x:v>O-2021-28-03</x:v>
      </x:c>
      <x:c r="B10" t="str">
        <x:v>P2021-28</x:v>
      </x:c>
      <x:c r="C10" t="n">
        <x:v>2021</x:v>
      </x:c>
      <x:c r="D10" t="str">
        <x:v>Bài báo đăng tạp chí trong nước</x:v>
      </x:c>
      <x:c r="E10" t="str">
        <x:v>Bài báo</x:v>
      </x:c>
      <x:c r="F10" t="n">
        <x:v>2</x:v>
      </x:c>
      <x:c r="G10" t="str">
        <x:v>bài</x:v>
      </x:c>
      <x:c r="H10" t="str">
        <x:v>Hồ sơ ghi nhận</x:v>
      </x:c>
      <x:c r="I10" t="str">
        <x:v>Có</x:v>
      </x:c>
      <x:c r="J10" t="str">
        <x:v>Quyền tác giả</x:v>
      </x:c>
      <x:c r="K10" t="str">
        <x:v>Thấp</x:v>
      </x:c>
      <x:c r="L10" t="str">
        <x:v>Không</x:v>
      </x:c>
      <x:c r="M10" t="str">
        <x:v>Cần đối chiếu</x:v>
      </x:c>
      <x:c r="N10" t="str">
        <x:v>Tổng hợp đề tài KHCN cấp cơ sở của GV 2021-2025.pdf, tr.2</x:v>
      </x:c>
      <x:c r="O10" t="str"/>
    </x:row>
    <x:row r="11">
      <x:c r="A11" t="str">
        <x:v>O-2021-37-01</x:v>
      </x:c>
      <x:c r="B11" t="str">
        <x:v>P2021-37</x:v>
      </x:c>
      <x:c r="C11" t="n">
        <x:v>2021</x:v>
      </x:c>
      <x:c r="D11" t="str">
        <x:v>Báo cáo tổng kết đề tài</x:v>
      </x:c>
      <x:c r="E11" t="str">
        <x:v>Báo cáo nghiên cứu</x:v>
      </x:c>
      <x:c r="F11" t="n">
        <x:v>1</x:v>
      </x:c>
      <x:c r="G11" t="str">
        <x:v>báo cáo</x:v>
      </x:c>
      <x:c r="H11" t="str">
        <x:v>Đã nghiệm thu</x:v>
      </x:c>
      <x:c r="I11" t="str">
        <x:v>Có</x:v>
      </x:c>
      <x:c r="J11" t="str">
        <x:v>Quyền tác giả</x:v>
      </x:c>
      <x:c r="K11" t="str">
        <x:v>Thấp</x:v>
      </x:c>
      <x:c r="L11" t="str">
        <x:v>Không</x:v>
      </x:c>
      <x:c r="M11" t="str">
        <x:v>Chưa cần</x:v>
      </x:c>
      <x:c r="N11" t="str">
        <x:v>Tổng hợp đề tài KHCN cấp cơ sở của GV 2021-2025.pdf, tr.2</x:v>
      </x:c>
      <x:c r="O11" t="str"/>
    </x:row>
    <x:row r="12">
      <x:c r="A12" t="str">
        <x:v>O-2021-37-02</x:v>
      </x:c>
      <x:c r="B12" t="str">
        <x:v>P2021-37</x:v>
      </x:c>
      <x:c r="C12" t="n">
        <x:v>2021</x:v>
      </x:c>
      <x:c r="D12" t="str">
        <x:v>Bài báo đăng tạp chí trong nước</x:v>
      </x:c>
      <x:c r="E12" t="str">
        <x:v>Bài báo</x:v>
      </x:c>
      <x:c r="F12" t="n">
        <x:v>1</x:v>
      </x:c>
      <x:c r="G12" t="str">
        <x:v>bài</x:v>
      </x:c>
      <x:c r="H12" t="str">
        <x:v>Hồ sơ ghi nhận</x:v>
      </x:c>
      <x:c r="I12" t="str">
        <x:v>Có</x:v>
      </x:c>
      <x:c r="J12" t="str">
        <x:v>Quyền tác giả</x:v>
      </x:c>
      <x:c r="K12" t="str">
        <x:v>Thấp</x:v>
      </x:c>
      <x:c r="L12" t="str">
        <x:v>Không</x:v>
      </x:c>
      <x:c r="M12" t="str">
        <x:v>Cần đối chiếu</x:v>
      </x:c>
      <x:c r="N12" t="str">
        <x:v>Tổng hợp đề tài KHCN cấp cơ sở của GV 2021-2025.pdf, tr.2</x:v>
      </x:c>
      <x:c r="O12" t="str"/>
    </x:row>
    <x:row r="13">
      <x:c r="A13" t="str">
        <x:v>O-2022-01-01</x:v>
      </x:c>
      <x:c r="B13" t="str">
        <x:v>P2022-01</x:v>
      </x:c>
      <x:c r="C13" t="n">
        <x:v>2022</x:v>
      </x:c>
      <x:c r="D13" t="str">
        <x:v>Tạp chí Nghiên cứu khoa học và phát triển thuộc Trường Đại học Thành Đô</x:v>
      </x:c>
      <x:c r="E13" t="str">
        <x:v>Sản phẩm tổ chức/hạ tầng học thuật</x:v>
      </x:c>
      <x:c r="F13" t="n">
        <x:v>1</x:v>
      </x:c>
      <x:c r="G13" t="str">
        <x:v>tạp chí</x:v>
      </x:c>
      <x:c r="H13" t="str">
        <x:v>Đã nghiệm thu</x:v>
      </x:c>
      <x:c r="I13" t="str">
        <x:v>Có</x:v>
      </x:c>
      <x:c r="J13" t="str">
        <x:v>Tên/nhãn hiệu, nội dung tạp chí, quy trình vận hành - cần tách quyền</x:v>
      </x:c>
      <x:c r="K13" t="str">
        <x:v>Trung bình</x:v>
      </x:c>
      <x:c r="L13" t="str">
        <x:v>Có</x:v>
      </x:c>
      <x:c r="M13" t="str">
        <x:v>Cần kiểm tra</x:v>
      </x:c>
      <x:c r="N13" t="str">
        <x:v>Tổng hợp đề tài KHCN cấp cơ sở của GV 2021-2025.pdf, tr.2</x:v>
      </x:c>
      <x:c r="O13" t="str"/>
    </x:row>
    <x:row r="14">
      <x:c r="A14" t="str">
        <x:v>O-2022-02-01</x:v>
      </x:c>
      <x:c r="B14" t="str">
        <x:v>P2022-02</x:v>
      </x:c>
      <x:c r="C14" t="n">
        <x:v>2022</x:v>
      </x:c>
      <x:c r="D14" t="str">
        <x:v>Quy chế tuyển sinh và đào tạo trình độ thạc sĩ tại Trường Đại học Thành Đô</x:v>
      </x:c>
      <x:c r="E14" t="str">
        <x:v>Văn bản/quy trình quản trị</x:v>
      </x:c>
      <x:c r="F14" t="n">
        <x:v>1</x:v>
      </x:c>
      <x:c r="G14" t="str">
        <x:v>quy chế</x:v>
      </x:c>
      <x:c r="H14" t="str">
        <x:v>Đã nghiệm thu</x:v>
      </x:c>
      <x:c r="I14" t="str">
        <x:v>Có</x:v>
      </x:c>
      <x:c r="J14" t="str">
        <x:v>Quyền tác giả đối với hình thức thể hiện; tri thức/quy trình quản trị</x:v>
      </x:c>
      <x:c r="K14" t="str">
        <x:v>Trung bình</x:v>
      </x:c>
      <x:c r="L14" t="str">
        <x:v>Có</x:v>
      </x:c>
      <x:c r="M14" t="str">
        <x:v>Chưa cần</x:v>
      </x:c>
      <x:c r="N14" t="str">
        <x:v>Tổng hợp đề tài KHCN cấp cơ sở của GV 2021-2025.pdf, tr.2</x:v>
      </x:c>
      <x:c r="O14" t="str"/>
    </x:row>
    <x:row r="15">
      <x:c r="A15" t="str">
        <x:v>O-2022-12-01</x:v>
      </x:c>
      <x:c r="B15" t="str">
        <x:v>P2022-12</x:v>
      </x:c>
      <x:c r="C15" t="n">
        <x:v>2022</x:v>
      </x:c>
      <x:c r="D15" t="str">
        <x:v>Báo cáo tổng kết đề tài</x:v>
      </x:c>
      <x:c r="E15" t="str">
        <x:v>Báo cáo nghiên cứu</x:v>
      </x:c>
      <x:c r="F15" t="n">
        <x:v>1</x:v>
      </x:c>
      <x:c r="G15" t="str">
        <x:v>báo cáo</x:v>
      </x:c>
      <x:c r="H15" t="str">
        <x:v>Đã nghiệm thu</x:v>
      </x:c>
      <x:c r="I15" t="str">
        <x:v>Có</x:v>
      </x:c>
      <x:c r="J15" t="str">
        <x:v>Quyền tác giả</x:v>
      </x:c>
      <x:c r="K15" t="str">
        <x:v>Thấp</x:v>
      </x:c>
      <x:c r="L15" t="str">
        <x:v>Không</x:v>
      </x:c>
      <x:c r="M15" t="str">
        <x:v>Chưa cần</x:v>
      </x:c>
      <x:c r="N15" t="str">
        <x:v>Tổng hợp đề tài KHCN cấp cơ sở của GV 2021-2025.pdf, tr.2</x:v>
      </x:c>
      <x:c r="O15" t="str"/>
    </x:row>
    <x:row r="16">
      <x:c r="A16" t="str">
        <x:v>O-2022-13-01</x:v>
      </x:c>
      <x:c r="B16" t="str">
        <x:v>P2022-13</x:v>
      </x:c>
      <x:c r="C16" t="n">
        <x:v>2022</x:v>
      </x:c>
      <x:c r="D16" t="str">
        <x:v>Báo cáo tổng kết đề tài</x:v>
      </x:c>
      <x:c r="E16" t="str">
        <x:v>Báo cáo nghiên cứu</x:v>
      </x:c>
      <x:c r="F16" t="n">
        <x:v>1</x:v>
      </x:c>
      <x:c r="G16" t="str">
        <x:v>báo cáo</x:v>
      </x:c>
      <x:c r="H16" t="str">
        <x:v>Đã nghiệm thu</x:v>
      </x:c>
      <x:c r="I16" t="str">
        <x:v>Có</x:v>
      </x:c>
      <x:c r="J16" t="str">
        <x:v>Quyền tác giả</x:v>
      </x:c>
      <x:c r="K16" t="str">
        <x:v>Thấp</x:v>
      </x:c>
      <x:c r="L16" t="str">
        <x:v>Không</x:v>
      </x:c>
      <x:c r="M16" t="str">
        <x:v>Chưa cần</x:v>
      </x:c>
      <x:c r="N16" t="str">
        <x:v>Tổng hợp đề tài KHCN cấp cơ sở của GV 2021-2025.pdf, tr.3</x:v>
      </x:c>
      <x:c r="O16" t="str"/>
    </x:row>
    <x:row r="17">
      <x:c r="A17" t="str">
        <x:v>O-2022-14-01</x:v>
      </x:c>
      <x:c r="B17" t="str">
        <x:v>P2022-14</x:v>
      </x:c>
      <x:c r="C17" t="n">
        <x:v>2022</x:v>
      </x:c>
      <x:c r="D17" t="str">
        <x:v>Báo cáo tổng kết đề tài</x:v>
      </x:c>
      <x:c r="E17" t="str">
        <x:v>Báo cáo nghiên cứu</x:v>
      </x:c>
      <x:c r="F17" t="n">
        <x:v>1</x:v>
      </x:c>
      <x:c r="G17" t="str">
        <x:v>báo cáo</x:v>
      </x:c>
      <x:c r="H17" t="str">
        <x:v>Đã nghiệm thu</x:v>
      </x:c>
      <x:c r="I17" t="str">
        <x:v>Có</x:v>
      </x:c>
      <x:c r="J17" t="str">
        <x:v>Quyền tác giả</x:v>
      </x:c>
      <x:c r="K17" t="str">
        <x:v>Thấp</x:v>
      </x:c>
      <x:c r="L17" t="str">
        <x:v>Không</x:v>
      </x:c>
      <x:c r="M17" t="str">
        <x:v>Chưa cần</x:v>
      </x:c>
      <x:c r="N17" t="str">
        <x:v>Tổng hợp đề tài KHCN cấp cơ sở của GV 2021-2025.pdf, tr.3</x:v>
      </x:c>
      <x:c r="O17" t="str"/>
    </x:row>
    <x:row r="18">
      <x:c r="A18" t="str">
        <x:v>O-2022-15-01</x:v>
      </x:c>
      <x:c r="B18" t="str">
        <x:v>P2022-15</x:v>
      </x:c>
      <x:c r="C18" t="n">
        <x:v>2022</x:v>
      </x:c>
      <x:c r="D18" t="str">
        <x:v>Báo cáo tổng kết đề tài</x:v>
      </x:c>
      <x:c r="E18" t="str">
        <x:v>Báo cáo nghiên cứu</x:v>
      </x:c>
      <x:c r="F18" t="n">
        <x:v>1</x:v>
      </x:c>
      <x:c r="G18" t="str">
        <x:v>báo cáo</x:v>
      </x:c>
      <x:c r="H18" t="str">
        <x:v>Đã nghiệm thu</x:v>
      </x:c>
      <x:c r="I18" t="str">
        <x:v>Có</x:v>
      </x:c>
      <x:c r="J18" t="str">
        <x:v>Quyền tác giả</x:v>
      </x:c>
      <x:c r="K18" t="str">
        <x:v>Thấp</x:v>
      </x:c>
      <x:c r="L18" t="str">
        <x:v>Không</x:v>
      </x:c>
      <x:c r="M18" t="str">
        <x:v>Chưa cần</x:v>
      </x:c>
      <x:c r="N18" t="str">
        <x:v>Tổng hợp đề tài KHCN cấp cơ sở của GV 2021-2025.pdf, tr.3</x:v>
      </x:c>
      <x:c r="O18" t="str"/>
    </x:row>
    <x:row r="19">
      <x:c r="A19" t="str">
        <x:v>O-2022-37-01</x:v>
      </x:c>
      <x:c r="B19" t="str">
        <x:v>P2022-37</x:v>
      </x:c>
      <x:c r="C19" t="n">
        <x:v>2022</x:v>
      </x:c>
      <x:c r="D19" t="str">
        <x:v>Báo cáo tổng kết đề tài</x:v>
      </x:c>
      <x:c r="E19" t="str">
        <x:v>Báo cáo nghiên cứu</x:v>
      </x:c>
      <x:c r="F19" t="n">
        <x:v>1</x:v>
      </x:c>
      <x:c r="G19" t="str">
        <x:v>báo cáo</x:v>
      </x:c>
      <x:c r="H19" t="str">
        <x:v>Đã nghiệm thu</x:v>
      </x:c>
      <x:c r="I19" t="str">
        <x:v>Có</x:v>
      </x:c>
      <x:c r="J19" t="str">
        <x:v>Quyền tác giả</x:v>
      </x:c>
      <x:c r="K19" t="str">
        <x:v>Thấp</x:v>
      </x:c>
      <x:c r="L19" t="str">
        <x:v>Không</x:v>
      </x:c>
      <x:c r="M19" t="str">
        <x:v>Chưa cần</x:v>
      </x:c>
      <x:c r="N19" t="str">
        <x:v>Tổng hợp đề tài KHCN cấp cơ sở của GV 2021-2025.pdf, tr.3</x:v>
      </x:c>
      <x:c r="O19" t="str"/>
    </x:row>
    <x:row r="20">
      <x:c r="A20" t="str">
        <x:v>O-2022-37-02</x:v>
      </x:c>
      <x:c r="B20" t="str">
        <x:v>P2022-37</x:v>
      </x:c>
      <x:c r="C20" t="n">
        <x:v>2022</x:v>
      </x:c>
      <x:c r="D20" t="str">
        <x:v>Mô hình kiểm tra và sửa chữa hệ thống khởi động điện trên ô tô</x:v>
      </x:c>
      <x:c r="E20" t="str">
        <x:v>Mô hình/prototype</x:v>
      </x:c>
      <x:c r="F20" t="n">
        <x:v>1</x:v>
      </x:c>
      <x:c r="G20" t="str">
        <x:v>mô hình</x:v>
      </x:c>
      <x:c r="H20" t="str">
        <x:v>Đã nghiệm thu</x:v>
      </x:c>
      <x:c r="I20" t="str">
        <x:v>Có</x:v>
      </x:c>
      <x:c r="J20" t="str">
        <x:v>Giải pháp kỹ thuật/KDCN/know-how - cần sàng lọc</x:v>
      </x:c>
      <x:c r="K20" t="str">
        <x:v>Cao</x:v>
      </x:c>
      <x:c r="L20" t="str">
        <x:v>Có</x:v>
      </x:c>
      <x:c r="M20" t="str">
        <x:v>Chưa cần</x:v>
      </x:c>
      <x:c r="N20" t="str">
        <x:v>Tổng hợp đề tài KHCN cấp cơ sở của GV 2021-2025.pdf, tr.3</x:v>
      </x:c>
      <x:c r="O20" t="str"/>
    </x:row>
    <x:row r="21">
      <x:c r="A21" t="str">
        <x:v>O-2022-39-01</x:v>
      </x:c>
      <x:c r="B21" t="str">
        <x:v>P2022-39</x:v>
      </x:c>
      <x:c r="C21" t="n">
        <x:v>2022</x:v>
      </x:c>
      <x:c r="D21" t="str">
        <x:v>Báo cáo tổng kết đề tài</x:v>
      </x:c>
      <x:c r="E21" t="str">
        <x:v>Báo cáo nghiên cứu</x:v>
      </x:c>
      <x:c r="F21" t="n">
        <x:v>1</x:v>
      </x:c>
      <x:c r="G21" t="str">
        <x:v>báo cáo</x:v>
      </x:c>
      <x:c r="H21" t="str">
        <x:v>Đã nghiệm thu</x:v>
      </x:c>
      <x:c r="I21" t="str">
        <x:v>Có</x:v>
      </x:c>
      <x:c r="J21" t="str">
        <x:v>Quyền tác giả</x:v>
      </x:c>
      <x:c r="K21" t="str">
        <x:v>Thấp</x:v>
      </x:c>
      <x:c r="L21" t="str">
        <x:v>Không</x:v>
      </x:c>
      <x:c r="M21" t="str">
        <x:v>Chưa cần</x:v>
      </x:c>
      <x:c r="N21" t="str">
        <x:v>Tổng hợp đề tài KHCN cấp cơ sở của GV 2021-2025.pdf, tr.3</x:v>
      </x:c>
      <x:c r="O21" t="str"/>
    </x:row>
    <x:row r="22">
      <x:c r="A22" t="str">
        <x:v>O-2022-39-02</x:v>
      </x:c>
      <x:c r="B22" t="str">
        <x:v>P2022-39</x:v>
      </x:c>
      <x:c r="C22" t="n">
        <x:v>2022</x:v>
      </x:c>
      <x:c r="D22" t="str">
        <x:v>Sản phẩm cầm máu ở dạng màng</x:v>
      </x:c>
      <x:c r="E22" t="str">
        <x:v>Sản phẩm/prototype</x:v>
      </x:c>
      <x:c r="F22" t="n">
        <x:v>1</x:v>
      </x:c>
      <x:c r="G22" t="str">
        <x:v>sản phẩm</x:v>
      </x:c>
      <x:c r="H22" t="str">
        <x:v>Đã nghiệm thu</x:v>
      </x:c>
      <x:c r="I22" t="str">
        <x:v>Có</x:v>
      </x:c>
      <x:c r="J22" t="str">
        <x:v>Giải pháp kỹ thuật/sáng chế-GPHI/know-how - cần sàng lọc</x:v>
      </x:c>
      <x:c r="K22" t="str">
        <x:v>Cao</x:v>
      </x:c>
      <x:c r="L22" t="str">
        <x:v>Có</x:v>
      </x:c>
      <x:c r="M22" t="str">
        <x:v>Chưa cần</x:v>
      </x:c>
      <x:c r="N22" t="str">
        <x:v>Tổng hợp đề tài KHCN cấp cơ sở của GV 2021-2025.pdf, tr.3</x:v>
      </x:c>
      <x:c r="O22" t="str"/>
    </x:row>
    <x:row r="23">
      <x:c r="A23" t="str">
        <x:v>O-2022-40-01</x:v>
      </x:c>
      <x:c r="B23" t="str">
        <x:v>P2022-40</x:v>
      </x:c>
      <x:c r="C23" t="n">
        <x:v>2022</x:v>
      </x:c>
      <x:c r="D23" t="str">
        <x:v>Báo cáo tổng kết đề tài</x:v>
      </x:c>
      <x:c r="E23" t="str">
        <x:v>Báo cáo nghiên cứu</x:v>
      </x:c>
      <x:c r="F23" t="n">
        <x:v>1</x:v>
      </x:c>
      <x:c r="G23" t="str">
        <x:v>báo cáo</x:v>
      </x:c>
      <x:c r="H23" t="str">
        <x:v>Đã nghiệm thu</x:v>
      </x:c>
      <x:c r="I23" t="str">
        <x:v>Có</x:v>
      </x:c>
      <x:c r="J23" t="str">
        <x:v>Quyền tác giả</x:v>
      </x:c>
      <x:c r="K23" t="str">
        <x:v>Thấp</x:v>
      </x:c>
      <x:c r="L23" t="str">
        <x:v>Không</x:v>
      </x:c>
      <x:c r="M23" t="str">
        <x:v>Chưa cần</x:v>
      </x:c>
      <x:c r="N23" t="str">
        <x:v>Tổng hợp đề tài KHCN cấp cơ sở của GV 2021-2025.pdf, tr.3</x:v>
      </x:c>
      <x:c r="O23" t="str"/>
    </x:row>
    <x:row r="24">
      <x:c r="A24" t="str">
        <x:v>O-2022-40-02</x:v>
      </x:c>
      <x:c r="B24" t="str">
        <x:v>P2022-40</x:v>
      </x:c>
      <x:c r="C24" t="n">
        <x:v>2022</x:v>
      </x:c>
      <x:c r="D24" t="str">
        <x:v>Bộ mẫu cây thuốc</x:v>
      </x:c>
      <x:c r="E24" t="str">
        <x:v>Bộ mẫu/collection</x:v>
      </x:c>
      <x:c r="F24" t="n">
        <x:v>1</x:v>
      </x:c>
      <x:c r="G24" t="str">
        <x:v>bộ</x:v>
      </x:c>
      <x:c r="H24" t="str">
        <x:v>Đã nghiệm thu</x:v>
      </x:c>
      <x:c r="I24" t="str">
        <x:v>Có</x:v>
      </x:c>
      <x:c r="J24" t="str">
        <x:v>Tác phẩm sưu tập/CSDL/học liệu - cần xác định cấu trúc</x:v>
      </x:c>
      <x:c r="K24" t="str">
        <x:v>Trung bình</x:v>
      </x:c>
      <x:c r="L24" t="str">
        <x:v>Có</x:v>
      </x:c>
      <x:c r="M24" t="str">
        <x:v>Chưa cần</x:v>
      </x:c>
      <x:c r="N24" t="str">
        <x:v>Tổng hợp đề tài KHCN cấp cơ sở của GV 2021-2025.pdf, tr.3</x:v>
      </x:c>
      <x:c r="O24" t="str"/>
    </x:row>
    <x:row r="25">
      <x:c r="A25" t="str">
        <x:v>O-2022-51-01</x:v>
      </x:c>
      <x:c r="B25" t="str">
        <x:v>P2022-51</x:v>
      </x:c>
      <x:c r="C25" t="n">
        <x:v>2022</x:v>
      </x:c>
      <x:c r="D25" t="str">
        <x:v>Báo cáo tổng kết đề tài</x:v>
      </x:c>
      <x:c r="E25" t="str">
        <x:v>Báo cáo nghiên cứu</x:v>
      </x:c>
      <x:c r="F25" t="n">
        <x:v>1</x:v>
      </x:c>
      <x:c r="G25" t="str">
        <x:v>báo cáo</x:v>
      </x:c>
      <x:c r="H25" t="str">
        <x:v>Đã nghiệm thu</x:v>
      </x:c>
      <x:c r="I25" t="str">
        <x:v>Có</x:v>
      </x:c>
      <x:c r="J25" t="str">
        <x:v>Quyền tác giả</x:v>
      </x:c>
      <x:c r="K25" t="str">
        <x:v>Thấp</x:v>
      </x:c>
      <x:c r="L25" t="str">
        <x:v>Không</x:v>
      </x:c>
      <x:c r="M25" t="str">
        <x:v>Chưa cần</x:v>
      </x:c>
      <x:c r="N25" t="str">
        <x:v>Tổng hợp đề tài KHCN cấp cơ sở của GV 2021-2025.pdf, tr.4</x:v>
      </x:c>
      <x:c r="O25" t="str"/>
    </x:row>
    <x:row r="26">
      <x:c r="A26" t="str">
        <x:v>O-2022-51-02</x:v>
      </x:c>
      <x:c r="B26" t="str">
        <x:v>P2022-51</x:v>
      </x:c>
      <x:c r="C26" t="n">
        <x:v>2022</x:v>
      </x:c>
      <x:c r="D26" t="str">
        <x:v>Bài báo đăng tạp chí có ISSN</x:v>
      </x:c>
      <x:c r="E26" t="str">
        <x:v>Bài báo</x:v>
      </x:c>
      <x:c r="F26" t="n">
        <x:v>1</x:v>
      </x:c>
      <x:c r="G26" t="str">
        <x:v>bài</x:v>
      </x:c>
      <x:c r="H26" t="str">
        <x:v>Hồ sơ ghi nhận</x:v>
      </x:c>
      <x:c r="I26" t="str">
        <x:v>Có</x:v>
      </x:c>
      <x:c r="J26" t="str">
        <x:v>Quyền tác giả</x:v>
      </x:c>
      <x:c r="K26" t="str">
        <x:v>Thấp</x:v>
      </x:c>
      <x:c r="L26" t="str">
        <x:v>Không</x:v>
      </x:c>
      <x:c r="M26" t="str">
        <x:v>Cần đối chiếu</x:v>
      </x:c>
      <x:c r="N26" t="str">
        <x:v>Tổng hợp đề tài KHCN cấp cơ sở của GV 2021-2025.pdf, tr.4</x:v>
      </x:c>
      <x:c r="O26" t="str"/>
    </x:row>
    <x:row r="27">
      <x:c r="A27" t="str">
        <x:v>O-2023-01-01</x:v>
      </x:c>
      <x:c r="B27" t="str">
        <x:v>P2023-01</x:v>
      </x:c>
      <x:c r="C27" t="n">
        <x:v>2023</x:v>
      </x:c>
      <x:c r="D27" t="str">
        <x:v>Bài báo đăng trên tạp chí trong nước có chỉ số ISSN</x:v>
      </x:c>
      <x:c r="E27" t="str">
        <x:v>Bài báo</x:v>
      </x:c>
      <x:c r="F27" t="n">
        <x:v>1</x:v>
      </x:c>
      <x:c r="G27" t="str">
        <x:v>bài</x:v>
      </x:c>
      <x:c r="H27" t="str">
        <x:v>Hồ sơ ghi nhận</x:v>
      </x:c>
      <x:c r="I27" t="str">
        <x:v>Có</x:v>
      </x:c>
      <x:c r="J27" t="str">
        <x:v>Quyền tác giả</x:v>
      </x:c>
      <x:c r="K27" t="str">
        <x:v>Thấp</x:v>
      </x:c>
      <x:c r="L27" t="str">
        <x:v>Không</x:v>
      </x:c>
      <x:c r="M27" t="str">
        <x:v>Cần đối chiếu</x:v>
      </x:c>
      <x:c r="N27" t="str">
        <x:v>Tổng hợp đề tài KHCN cấp cơ sở của GV 2021-2025.pdf, tr.4</x:v>
      </x:c>
      <x:c r="O27" t="str"/>
    </x:row>
    <x:row r="28">
      <x:c r="A28" t="str">
        <x:v>O-2023-01-02</x:v>
      </x:c>
      <x:c r="B28" t="str">
        <x:v>P2023-01</x:v>
      </x:c>
      <x:c r="C28" t="n">
        <x:v>2023</x:v>
      </x:c>
      <x:c r="D28" t="str">
        <x:v>Báo cáo tổng kết</x:v>
      </x:c>
      <x:c r="E28" t="str">
        <x:v>Báo cáo nghiên cứu</x:v>
      </x:c>
      <x:c r="F28" t="n">
        <x:v>1</x:v>
      </x:c>
      <x:c r="G28" t="str">
        <x:v>báo cáo</x:v>
      </x:c>
      <x:c r="H28" t="str">
        <x:v>Đã nghiệm thu</x:v>
      </x:c>
      <x:c r="I28" t="str">
        <x:v>Có</x:v>
      </x:c>
      <x:c r="J28" t="str">
        <x:v>Quyền tác giả</x:v>
      </x:c>
      <x:c r="K28" t="str">
        <x:v>Thấp</x:v>
      </x:c>
      <x:c r="L28" t="str">
        <x:v>Không</x:v>
      </x:c>
      <x:c r="M28" t="str">
        <x:v>Chưa cần</x:v>
      </x:c>
      <x:c r="N28" t="str">
        <x:v>Tổng hợp đề tài KHCN cấp cơ sở của GV 2021-2025.pdf, tr.4</x:v>
      </x:c>
      <x:c r="O28" t="str"/>
    </x:row>
    <x:row r="29">
      <x:c r="A29" t="str">
        <x:v>O-2023-01-03</x:v>
      </x:c>
      <x:c r="B29" t="str">
        <x:v>P2023-01</x:v>
      </x:c>
      <x:c r="C29" t="n">
        <x:v>2023</x:v>
      </x:c>
      <x:c r="D29" t="str">
        <x:v>Giải pháp bồi dưỡng phương pháp tư duy biện chứng Hồ Chí Minh cho sinh viên Trường Đại học Thành Đô</x:v>
      </x:c>
      <x:c r="E29" t="str">
        <x:v>Giải pháp/phương pháp ứng dụng</x:v>
      </x:c>
      <x:c r="F29" t="n">
        <x:v>1</x:v>
      </x:c>
      <x:c r="G29" t="str">
        <x:v>giải pháp</x:v>
      </x:c>
      <x:c r="H29" t="str">
        <x:v>Hồ sơ ghi ứng dụng tại Trường</x:v>
      </x:c>
      <x:c r="I29" t="str">
        <x:v>Có</x:v>
      </x:c>
      <x:c r="J29" t="str">
        <x:v>Quyền tác giả/know-how phương pháp giáo dục</x:v>
      </x:c>
      <x:c r="K29" t="str">
        <x:v>Trung bình</x:v>
      </x:c>
      <x:c r="L29" t="str">
        <x:v>Có</x:v>
      </x:c>
      <x:c r="M29" t="str">
        <x:v>Chưa cần</x:v>
      </x:c>
      <x:c r="N29" t="str">
        <x:v>Tổng hợp đề tài KHCN cấp cơ sở của GV 2021-2025.pdf, tr.4</x:v>
      </x:c>
      <x:c r="O29" t="str"/>
    </x:row>
    <x:row r="30">
      <x:c r="A30" t="str">
        <x:v>O-2023-02-01</x:v>
      </x:c>
      <x:c r="B30" t="str">
        <x:v>P2023-02</x:v>
      </x:c>
      <x:c r="C30" t="n">
        <x:v>2023</x:v>
      </x:c>
      <x:c r="D30" t="str">
        <x:v>Bài báo đăng Kỷ yếu Hội thảo quốc tế có chỉ số ISBN</x:v>
      </x:c>
      <x:c r="E30" t="str">
        <x:v>Bài hội thảo</x:v>
      </x:c>
      <x:c r="F30" t="n">
        <x:v>1</x:v>
      </x:c>
      <x:c r="G30" t="str">
        <x:v>bài</x:v>
      </x:c>
      <x:c r="H30" t="str">
        <x:v>Hồ sơ ghi nhận</x:v>
      </x:c>
      <x:c r="I30" t="str">
        <x:v>Có</x:v>
      </x:c>
      <x:c r="J30" t="str">
        <x:v>Quyền tác giả</x:v>
      </x:c>
      <x:c r="K30" t="str">
        <x:v>Thấp</x:v>
      </x:c>
      <x:c r="L30" t="str">
        <x:v>Không</x:v>
      </x:c>
      <x:c r="M30" t="str">
        <x:v>Cần đối chiếu</x:v>
      </x:c>
      <x:c r="N30" t="str">
        <x:v>Tổng hợp đề tài KHCN cấp cơ sở của GV 2021-2025.pdf, tr.4</x:v>
      </x:c>
      <x:c r="O30" t="str"/>
    </x:row>
    <x:row r="31">
      <x:c r="A31" t="str">
        <x:v>O-2023-02-02</x:v>
      </x:c>
      <x:c r="B31" t="str">
        <x:v>P2023-02</x:v>
      </x:c>
      <x:c r="C31" t="n">
        <x:v>2023</x:v>
      </x:c>
      <x:c r="D31" t="str">
        <x:v>Báo cáo tổng kết</x:v>
      </x:c>
      <x:c r="E31" t="str">
        <x:v>Báo cáo nghiên cứu</x:v>
      </x:c>
      <x:c r="F31" t="n">
        <x:v>1</x:v>
      </x:c>
      <x:c r="G31" t="str">
        <x:v>báo cáo</x:v>
      </x:c>
      <x:c r="H31" t="str">
        <x:v>Đã nghiệm thu</x:v>
      </x:c>
      <x:c r="I31" t="str">
        <x:v>Có</x:v>
      </x:c>
      <x:c r="J31" t="str">
        <x:v>Quyền tác giả</x:v>
      </x:c>
      <x:c r="K31" t="str">
        <x:v>Thấp</x:v>
      </x:c>
      <x:c r="L31" t="str">
        <x:v>Không</x:v>
      </x:c>
      <x:c r="M31" t="str">
        <x:v>Chưa cần</x:v>
      </x:c>
      <x:c r="N31" t="str">
        <x:v>Tổng hợp đề tài KHCN cấp cơ sở của GV 2021-2025.pdf, tr.4</x:v>
      </x:c>
      <x:c r="O31" t="str"/>
    </x:row>
    <x:row r="32">
      <x:c r="A32" t="str">
        <x:v>O-2023-02-03</x:v>
      </x:c>
      <x:c r="B32" t="str">
        <x:v>P2023-02</x:v>
      </x:c>
      <x:c r="C32" t="n">
        <x:v>2023</x:v>
      </x:c>
      <x:c r="D32" t="str">
        <x:v>Giải pháp nâng cao chất lượng đào tạo học phần Thực hành hướng dẫn du lịch tại Trường Đại học Thành Đô</x:v>
      </x:c>
      <x:c r="E32" t="str">
        <x:v>Giải pháp/phương pháp ứng dụng</x:v>
      </x:c>
      <x:c r="F32" t="n">
        <x:v>1</x:v>
      </x:c>
      <x:c r="G32" t="str">
        <x:v>giải pháp</x:v>
      </x:c>
      <x:c r="H32" t="str">
        <x:v>Hồ sơ ghi ứng dụng tại Trường</x:v>
      </x:c>
      <x:c r="I32" t="str">
        <x:v>Có</x:v>
      </x:c>
      <x:c r="J32" t="str">
        <x:v>Quyền tác giả/know-how phương pháp đào tạo</x:v>
      </x:c>
      <x:c r="K32" t="str">
        <x:v>Trung bình</x:v>
      </x:c>
      <x:c r="L32" t="str">
        <x:v>Có</x:v>
      </x:c>
      <x:c r="M32" t="str">
        <x:v>Chưa cần</x:v>
      </x:c>
      <x:c r="N32" t="str">
        <x:v>Tổng hợp đề tài KHCN cấp cơ sở của GV 2021-2025.pdf, tr.4</x:v>
      </x:c>
      <x:c r="O32" t="str"/>
    </x:row>
    <x:row r="33">
      <x:c r="A33" t="str">
        <x:v>O-2023-03-01</x:v>
      </x:c>
      <x:c r="B33" t="str">
        <x:v>P2023-03</x:v>
      </x:c>
      <x:c r="C33" t="n">
        <x:v>2023</x:v>
      </x:c>
      <x:c r="D33" t="str">
        <x:v>Bài báo đăng trên tạp chí trong nước có chỉ số ISSN</x:v>
      </x:c>
      <x:c r="E33" t="str">
        <x:v>Bài báo</x:v>
      </x:c>
      <x:c r="F33" t="n">
        <x:v>1</x:v>
      </x:c>
      <x:c r="G33" t="str">
        <x:v>bài</x:v>
      </x:c>
      <x:c r="H33" t="str">
        <x:v>Hồ sơ ghi nhưng chú thích '(ko có bài báo)'</x:v>
      </x:c>
      <x:c r="I33" t="str">
        <x:v>Chưa xác minh</x:v>
      </x:c>
      <x:c r="J33" t="str">
        <x:v>Nếu tồn tại: Quyền tác giả</x:v>
      </x:c>
      <x:c r="K33" t="str">
        <x:v>Thấp</x:v>
      </x:c>
      <x:c r="L33" t="str">
        <x:v>Không</x:v>
      </x:c>
      <x:c r="M33" t="str">
        <x:v>Cần đối chiếu</x:v>
      </x:c>
      <x:c r="N33" t="str">
        <x:v>Tổng hợp đề tài KHCN cấp cơ sở của GV 2021-2025.pdf, tr.5</x:v>
      </x:c>
      <x:c r="O33" t="str"/>
    </x:row>
    <x:row r="34">
      <x:c r="A34" t="str">
        <x:v>O-2023-03-02</x:v>
      </x:c>
      <x:c r="B34" t="str">
        <x:v>P2023-03</x:v>
      </x:c>
      <x:c r="C34" t="n">
        <x:v>2023</x:v>
      </x:c>
      <x:c r="D34" t="str">
        <x:v>Báo cáo tổng kết</x:v>
      </x:c>
      <x:c r="E34" t="str">
        <x:v>Báo cáo nghiên cứu</x:v>
      </x:c>
      <x:c r="F34" t="n">
        <x:v>1</x:v>
      </x:c>
      <x:c r="G34" t="str">
        <x:v>báo cáo</x:v>
      </x:c>
      <x:c r="H34" t="str">
        <x:v>Đã nghiệm thu</x:v>
      </x:c>
      <x:c r="I34" t="str">
        <x:v>Có</x:v>
      </x:c>
      <x:c r="J34" t="str">
        <x:v>Quyền tác giả</x:v>
      </x:c>
      <x:c r="K34" t="str">
        <x:v>Thấp</x:v>
      </x:c>
      <x:c r="L34" t="str">
        <x:v>Không</x:v>
      </x:c>
      <x:c r="M34" t="str">
        <x:v>Chưa cần</x:v>
      </x:c>
      <x:c r="N34" t="str">
        <x:v>Tổng hợp đề tài KHCN cấp cơ sở của GV 2021-2025.pdf, tr.5</x:v>
      </x:c>
      <x:c r="O34" t="str"/>
    </x:row>
    <x:row r="35">
      <x:c r="A35" t="str">
        <x:v>O-2023-03-03</x:v>
      </x:c>
      <x:c r="B35" t="str">
        <x:v>P2023-03</x:v>
      </x:c>
      <x:c r="C35" t="n">
        <x:v>2023</x:v>
      </x:c>
      <x:c r="D35" t="str">
        <x:v>Phương pháp giảng dạy giúp sinh viên tự học nhằm nâng cao chất lượng học tập</x:v>
      </x:c>
      <x:c r="E35" t="str">
        <x:v>Giải pháp/phương pháp ứng dụng</x:v>
      </x:c>
      <x:c r="F35" t="n">
        <x:v>1</x:v>
      </x:c>
      <x:c r="G35" t="str">
        <x:v>giải pháp</x:v>
      </x:c>
      <x:c r="H35" t="str">
        <x:v>Hồ sơ ghi ứng dụng tại Trường</x:v>
      </x:c>
      <x:c r="I35" t="str">
        <x:v>Có</x:v>
      </x:c>
      <x:c r="J35" t="str">
        <x:v>Quyền tác giả/know-how phương pháp giáo dục</x:v>
      </x:c>
      <x:c r="K35" t="str">
        <x:v>Trung bình</x:v>
      </x:c>
      <x:c r="L35" t="str">
        <x:v>Có</x:v>
      </x:c>
      <x:c r="M35" t="str">
        <x:v>Chưa cần</x:v>
      </x:c>
      <x:c r="N35" t="str">
        <x:v>Tổng hợp đề tài KHCN cấp cơ sở của GV 2021-2025.pdf, tr.5</x:v>
      </x:c>
      <x:c r="O35" t="str"/>
    </x:row>
    <x:row r="36">
      <x:c r="A36" t="str">
        <x:v>O-2023-04-01</x:v>
      </x:c>
      <x:c r="B36" t="str">
        <x:v>P2023-04</x:v>
      </x:c>
      <x:c r="C36" t="n">
        <x:v>2023</x:v>
      </x:c>
      <x:c r="D36" t="str">
        <x:v>Bài báo đăng trên tạp chí trong nước có chỉ số ISSN</x:v>
      </x:c>
      <x:c r="E36" t="str">
        <x:v>Bài báo</x:v>
      </x:c>
      <x:c r="F36" t="n">
        <x:v>1</x:v>
      </x:c>
      <x:c r="G36" t="str">
        <x:v>bài</x:v>
      </x:c>
      <x:c r="H36" t="str">
        <x:v>Hồ sơ ghi nhưng chú thích '(ko có bài báo)'</x:v>
      </x:c>
      <x:c r="I36" t="str">
        <x:v>Chưa xác minh</x:v>
      </x:c>
      <x:c r="J36" t="str">
        <x:v>Nếu tồn tại: Quyền tác giả</x:v>
      </x:c>
      <x:c r="K36" t="str">
        <x:v>Thấp</x:v>
      </x:c>
      <x:c r="L36" t="str">
        <x:v>Không</x:v>
      </x:c>
      <x:c r="M36" t="str">
        <x:v>Cần đối chiếu</x:v>
      </x:c>
      <x:c r="N36" t="str">
        <x:v>Tổng hợp đề tài KHCN cấp cơ sở của GV 2021-2025.pdf, tr.5</x:v>
      </x:c>
      <x:c r="O36" t="str"/>
    </x:row>
    <x:row r="37">
      <x:c r="A37" t="str">
        <x:v>O-2023-04-02</x:v>
      </x:c>
      <x:c r="B37" t="str">
        <x:v>P2023-04</x:v>
      </x:c>
      <x:c r="C37" t="n">
        <x:v>2023</x:v>
      </x:c>
      <x:c r="D37" t="str">
        <x:v>Báo cáo tổng kết</x:v>
      </x:c>
      <x:c r="E37" t="str">
        <x:v>Báo cáo nghiên cứu</x:v>
      </x:c>
      <x:c r="F37" t="n">
        <x:v>1</x:v>
      </x:c>
      <x:c r="G37" t="str">
        <x:v>báo cáo</x:v>
      </x:c>
      <x:c r="H37" t="str">
        <x:v>Đã nghiệm thu</x:v>
      </x:c>
      <x:c r="I37" t="str">
        <x:v>Có</x:v>
      </x:c>
      <x:c r="J37" t="str">
        <x:v>Quyền tác giả</x:v>
      </x:c>
      <x:c r="K37" t="str">
        <x:v>Thấp</x:v>
      </x:c>
      <x:c r="L37" t="str">
        <x:v>Không</x:v>
      </x:c>
      <x:c r="M37" t="str">
        <x:v>Chưa cần</x:v>
      </x:c>
      <x:c r="N37" t="str">
        <x:v>Tổng hợp đề tài KHCN cấp cơ sở của GV 2021-2025.pdf, tr.5</x:v>
      </x:c>
      <x:c r="O37" t="str"/>
    </x:row>
    <x:row r="38">
      <x:c r="A38" t="str">
        <x:v>O-2023-04-03</x:v>
      </x:c>
      <x:c r="B38" t="str">
        <x:v>P2023-04</x:v>
      </x:c>
      <x:c r="C38" t="n">
        <x:v>2023</x:v>
      </x:c>
      <x:c r="D38" t="str">
        <x:v>Ứng dụng flipped classroom cho sinh viên</x:v>
      </x:c>
      <x:c r="E38" t="str">
        <x:v>Giải pháp/phương pháp ứng dụng</x:v>
      </x:c>
      <x:c r="F38" t="n">
        <x:v>1</x:v>
      </x:c>
      <x:c r="G38" t="str">
        <x:v>giải pháp</x:v>
      </x:c>
      <x:c r="H38" t="str">
        <x:v>Hồ sơ ghi ứng dụng tại Trường</x:v>
      </x:c>
      <x:c r="I38" t="str">
        <x:v>Có</x:v>
      </x:c>
      <x:c r="J38" t="str">
        <x:v>Quyền tác giả/know-how phương pháp giáo dục</x:v>
      </x:c>
      <x:c r="K38" t="str">
        <x:v>Trung bình</x:v>
      </x:c>
      <x:c r="L38" t="str">
        <x:v>Có</x:v>
      </x:c>
      <x:c r="M38" t="str">
        <x:v>Chưa cần</x:v>
      </x:c>
      <x:c r="N38" t="str">
        <x:v>Tổng hợp đề tài KHCN cấp cơ sở của GV 2021-2025.pdf, tr.5</x:v>
      </x:c>
      <x:c r="O38" t="str"/>
    </x:row>
    <x:row r="39">
      <x:c r="A39" t="str">
        <x:v>O-2023-05-01</x:v>
      </x:c>
      <x:c r="B39" t="str">
        <x:v>P2023-05</x:v>
      </x:c>
      <x:c r="C39" t="n">
        <x:v>2023</x:v>
      </x:c>
      <x:c r="D39" t="str">
        <x:v>Bài báo đăng trên tạp chí trong nước có chỉ số ISSN</x:v>
      </x:c>
      <x:c r="E39" t="str">
        <x:v>Bài báo</x:v>
      </x:c>
      <x:c r="F39" t="n">
        <x:v>1</x:v>
      </x:c>
      <x:c r="G39" t="str">
        <x:v>bài</x:v>
      </x:c>
      <x:c r="H39" t="str">
        <x:v>Hồ sơ ghi nhận</x:v>
      </x:c>
      <x:c r="I39" t="str">
        <x:v>Có</x:v>
      </x:c>
      <x:c r="J39" t="str">
        <x:v>Quyền tác giả</x:v>
      </x:c>
      <x:c r="K39" t="str">
        <x:v>Thấp</x:v>
      </x:c>
      <x:c r="L39" t="str">
        <x:v>Không</x:v>
      </x:c>
      <x:c r="M39" t="str">
        <x:v>Cần đối chiếu</x:v>
      </x:c>
      <x:c r="N39" t="str">
        <x:v>Tổng hợp đề tài KHCN cấp cơ sở của GV 2021-2025.pdf, tr.6</x:v>
      </x:c>
      <x:c r="O39" t="str"/>
    </x:row>
    <x:row r="40">
      <x:c r="A40" t="str">
        <x:v>O-2023-05-02</x:v>
      </x:c>
      <x:c r="B40" t="str">
        <x:v>P2023-05</x:v>
      </x:c>
      <x:c r="C40" t="n">
        <x:v>2023</x:v>
      </x:c>
      <x:c r="D40" t="str">
        <x:v>Báo cáo tổng kết</x:v>
      </x:c>
      <x:c r="E40" t="str">
        <x:v>Báo cáo nghiên cứu</x:v>
      </x:c>
      <x:c r="F40" t="n">
        <x:v>1</x:v>
      </x:c>
      <x:c r="G40" t="str">
        <x:v>báo cáo</x:v>
      </x:c>
      <x:c r="H40" t="str">
        <x:v>Đã nghiệm thu</x:v>
      </x:c>
      <x:c r="I40" t="str">
        <x:v>Có</x:v>
      </x:c>
      <x:c r="J40" t="str">
        <x:v>Quyền tác giả</x:v>
      </x:c>
      <x:c r="K40" t="str">
        <x:v>Thấp</x:v>
      </x:c>
      <x:c r="L40" t="str">
        <x:v>Không</x:v>
      </x:c>
      <x:c r="M40" t="str">
        <x:v>Chưa cần</x:v>
      </x:c>
      <x:c r="N40" t="str">
        <x:v>Tổng hợp đề tài KHCN cấp cơ sở của GV 2021-2025.pdf, tr.6</x:v>
      </x:c>
      <x:c r="O40" t="str"/>
    </x:row>
    <x:row r="41">
      <x:c r="A41" t="str">
        <x:v>O-2023-05-03</x:v>
      </x:c>
      <x:c r="B41" t="str">
        <x:v>P2023-05</x:v>
      </x:c>
      <x:c r="C41" t="n">
        <x:v>2023</x:v>
      </x:c>
      <x:c r="D41" t="str">
        <x:v>Tài liệu/giải pháp tham khảo xây dựng chính sách và Quy chế hoạt động KHCN</x:v>
      </x:c>
      <x:c r="E41" t="str">
        <x:v>Giải pháp/phương pháp ứng dụng</x:v>
      </x:c>
      <x:c r="F41" t="n">
        <x:v>1</x:v>
      </x:c>
      <x:c r="G41" t="str">
        <x:v>giải pháp</x:v>
      </x:c>
      <x:c r="H41" t="str">
        <x:v>Hồ sơ ghi khả năng ứng dụng</x:v>
      </x:c>
      <x:c r="I41" t="str">
        <x:v>Có</x:v>
      </x:c>
      <x:c r="J41" t="str">
        <x:v>Quyền tác giả/know-how quản trị</x:v>
      </x:c>
      <x:c r="K41" t="str">
        <x:v>Trung bình</x:v>
      </x:c>
      <x:c r="L41" t="str">
        <x:v>Có</x:v>
      </x:c>
      <x:c r="M41" t="str">
        <x:v>Chưa cần</x:v>
      </x:c>
      <x:c r="N41" t="str">
        <x:v>Tổng hợp đề tài KHCN cấp cơ sở của GV 2021-2025.pdf, tr.6</x:v>
      </x:c>
      <x:c r="O41" t="str"/>
    </x:row>
    <x:row r="42">
      <x:c r="A42" t="str">
        <x:v>O-2023-07-01</x:v>
      </x:c>
      <x:c r="B42" t="str">
        <x:v>P2023-07</x:v>
      </x:c>
      <x:c r="C42" t="n">
        <x:v>2023</x:v>
      </x:c>
      <x:c r="D42" t="str">
        <x:v>Bài báo đăng trên tạp chí trong nước có chỉ số ISSN</x:v>
      </x:c>
      <x:c r="E42" t="str">
        <x:v>Bài báo</x:v>
      </x:c>
      <x:c r="F42" t="n">
        <x:v>1</x:v>
      </x:c>
      <x:c r="G42" t="str">
        <x:v>bài</x:v>
      </x:c>
      <x:c r="H42" t="str">
        <x:v>Hồ sơ ghi nhưng chú thích '(ko có bài báo)'</x:v>
      </x:c>
      <x:c r="I42" t="str">
        <x:v>Chưa xác minh</x:v>
      </x:c>
      <x:c r="J42" t="str">
        <x:v>Nếu tồn tại: Quyền tác giả</x:v>
      </x:c>
      <x:c r="K42" t="str">
        <x:v>Thấp</x:v>
      </x:c>
      <x:c r="L42" t="str">
        <x:v>Không</x:v>
      </x:c>
      <x:c r="M42" t="str">
        <x:v>Cần đối chiếu</x:v>
      </x:c>
      <x:c r="N42" t="str">
        <x:v>Tổng hợp đề tài KHCN cấp cơ sở của GV 2021-2025.pdf, tr.6</x:v>
      </x:c>
      <x:c r="O42" t="str"/>
    </x:row>
    <x:row r="43">
      <x:c r="A43" t="str">
        <x:v>O-2023-07-02</x:v>
      </x:c>
      <x:c r="B43" t="str">
        <x:v>P2023-07</x:v>
      </x:c>
      <x:c r="C43" t="n">
        <x:v>2023</x:v>
      </x:c>
      <x:c r="D43" t="str">
        <x:v>Báo cáo tổng kết</x:v>
      </x:c>
      <x:c r="E43" t="str">
        <x:v>Báo cáo nghiên cứu</x:v>
      </x:c>
      <x:c r="F43" t="n">
        <x:v>1</x:v>
      </x:c>
      <x:c r="G43" t="str">
        <x:v>báo cáo</x:v>
      </x:c>
      <x:c r="H43" t="str">
        <x:v>Đã nghiệm thu</x:v>
      </x:c>
      <x:c r="I43" t="str">
        <x:v>Có</x:v>
      </x:c>
      <x:c r="J43" t="str">
        <x:v>Quyền tác giả</x:v>
      </x:c>
      <x:c r="K43" t="str">
        <x:v>Thấp</x:v>
      </x:c>
      <x:c r="L43" t="str">
        <x:v>Không</x:v>
      </x:c>
      <x:c r="M43" t="str">
        <x:v>Chưa cần</x:v>
      </x:c>
      <x:c r="N43" t="str">
        <x:v>Tổng hợp đề tài KHCN cấp cơ sở của GV 2021-2025.pdf, tr.6</x:v>
      </x:c>
      <x:c r="O43" t="str"/>
    </x:row>
    <x:row r="44">
      <x:c r="A44" t="str">
        <x:v>O-2023-07-03</x:v>
      </x:c>
      <x:c r="B44" t="str">
        <x:v>P2023-07</x:v>
      </x:c>
      <x:c r="C44" t="n">
        <x:v>2023</x:v>
      </x:c>
      <x:c r="D44" t="str">
        <x:v>Giải pháp nâng cao nhận thức pháp luật cho sinh viên</x:v>
      </x:c>
      <x:c r="E44" t="str">
        <x:v>Giải pháp/phương pháp ứng dụng</x:v>
      </x:c>
      <x:c r="F44" t="n">
        <x:v>1</x:v>
      </x:c>
      <x:c r="G44" t="str">
        <x:v>giải pháp</x:v>
      </x:c>
      <x:c r="H44" t="str">
        <x:v>Hồ sơ ghi ứng dụng tại Trường</x:v>
      </x:c>
      <x:c r="I44" t="str">
        <x:v>Có</x:v>
      </x:c>
      <x:c r="J44" t="str">
        <x:v>Quyền tác giả/know-how giáo dục pháp luật</x:v>
      </x:c>
      <x:c r="K44" t="str">
        <x:v>Trung bình</x:v>
      </x:c>
      <x:c r="L44" t="str">
        <x:v>Có</x:v>
      </x:c>
      <x:c r="M44" t="str">
        <x:v>Chưa cần</x:v>
      </x:c>
      <x:c r="N44" t="str">
        <x:v>Tổng hợp đề tài KHCN cấp cơ sở của GV 2021-2025.pdf, tr.6</x:v>
      </x:c>
      <x:c r="O44" t="str"/>
    </x:row>
    <x:row r="45">
      <x:c r="A45" t="str">
        <x:v>O-2023-08-01</x:v>
      </x:c>
      <x:c r="B45" t="str">
        <x:v>P2023-08</x:v>
      </x:c>
      <x:c r="C45" t="n">
        <x:v>2023</x:v>
      </x:c>
      <x:c r="D45" t="str">
        <x:v>Bài báo khoa học đăng tạp chí có chỉ số ISSN</x:v>
      </x:c>
      <x:c r="E45" t="str">
        <x:v>Bài báo</x:v>
      </x:c>
      <x:c r="F45" t="n">
        <x:v>1</x:v>
      </x:c>
      <x:c r="G45" t="str">
        <x:v>bài</x:v>
      </x:c>
      <x:c r="H45" t="str">
        <x:v>Hồ sơ ghi nhận</x:v>
      </x:c>
      <x:c r="I45" t="str">
        <x:v>Có</x:v>
      </x:c>
      <x:c r="J45" t="str">
        <x:v>Quyền tác giả</x:v>
      </x:c>
      <x:c r="K45" t="str">
        <x:v>Thấp</x:v>
      </x:c>
      <x:c r="L45" t="str">
        <x:v>Không</x:v>
      </x:c>
      <x:c r="M45" t="str">
        <x:v>Cần đối chiếu</x:v>
      </x:c>
      <x:c r="N45" t="str">
        <x:v>Tổng hợp đề tài KHCN cấp cơ sở của GV 2021-2025.pdf, tr.7</x:v>
      </x:c>
      <x:c r="O45" t="str"/>
    </x:row>
    <x:row r="46">
      <x:c r="A46" t="str">
        <x:v>O-2023-08-02</x:v>
      </x:c>
      <x:c r="B46" t="str">
        <x:v>P2023-08</x:v>
      </x:c>
      <x:c r="C46" t="n">
        <x:v>2023</x:v>
      </x:c>
      <x:c r="D46" t="str">
        <x:v>Tinh dầu Citrus grandis (L.) Osbeck 100ml</x:v>
      </x:c>
      <x:c r="E46" t="str">
        <x:v>Sản phẩm/prototype</x:v>
      </x:c>
      <x:c r="F46" t="n">
        <x:v>1</x:v>
      </x:c>
      <x:c r="G46" t="str">
        <x:v>mẫu 100ml</x:v>
      </x:c>
      <x:c r="H46" t="str">
        <x:v>Đã nghiệm thu</x:v>
      </x:c>
      <x:c r="I46" t="str">
        <x:v>Có</x:v>
      </x:c>
      <x:c r="J46" t="str">
        <x:v>Hiện thân của quy trình/know-how; có thể sàng lọc sáng chế-GPHI</x:v>
      </x:c>
      <x:c r="K46" t="str">
        <x:v>Cao</x:v>
      </x:c>
      <x:c r="L46" t="str">
        <x:v>Có</x:v>
      </x:c>
      <x:c r="M46" t="str">
        <x:v>Chưa cần</x:v>
      </x:c>
      <x:c r="N46" t="str">
        <x:v>Tổng hợp đề tài KHCN cấp cơ sở của GV 2021-2025.pdf, tr.7</x:v>
      </x:c>
      <x:c r="O46" t="str"/>
    </x:row>
    <x:row r="47">
      <x:c r="A47" t="str">
        <x:v>O-2023-08-03</x:v>
      </x:c>
      <x:c r="B47" t="str">
        <x:v>P2023-08</x:v>
      </x:c>
      <x:c r="C47" t="n">
        <x:v>2023</x:v>
      </x:c>
      <x:c r="D47" t="str">
        <x:v>Sản phẩm chuyển giao công nghệ cho Trường Đại học Thành Đô thương mại hóa</x:v>
      </x:c>
      <x:c r="E47" t="str">
        <x:v>Kết quả khai thác/chuyển giao</x:v>
      </x:c>
      <x:c r="F47" t="n">
        <x:v>1</x:v>
      </x:c>
      <x:c r="G47" t="str">
        <x:v>trường hợp</x:v>
      </x:c>
      <x:c r="H47" t="str">
        <x:v>Hồ sơ ghi nhận</x:v>
      </x:c>
      <x:c r="I47" t="str">
        <x:v>Có</x:v>
      </x:c>
      <x:c r="J47" t="str">
        <x:v>Cần xác định TSTT gốc và hình thức chuyển giao</x:v>
      </x:c>
      <x:c r="K47" t="str">
        <x:v>Cao</x:v>
      </x:c>
      <x:c r="L47" t="str">
        <x:v>Có</x:v>
      </x:c>
      <x:c r="M47" t="str">
        <x:v>Chưa cần</x:v>
      </x:c>
      <x:c r="N47" t="str">
        <x:v>Tổng hợp đề tài KHCN cấp cơ sở của GV 2021-2025.pdf, tr.7</x:v>
      </x:c>
      <x:c r="O47" t="str"/>
    </x:row>
    <x:row r="48">
      <x:c r="A48" t="str">
        <x:v>O-2024-06-01</x:v>
      </x:c>
      <x:c r="B48" t="str">
        <x:v>P2024-06</x:v>
      </x:c>
      <x:c r="C48" t="n">
        <x:v>2024</x:v>
      </x:c>
      <x:c r="D48" t="str">
        <x:v>Bài báo khoa học đăng trên Tạp chí NCKH&amp;PT Trường Đại học Thành Đô</x:v>
      </x:c>
      <x:c r="E48" t="str">
        <x:v>Bài báo</x:v>
      </x:c>
      <x:c r="F48" t="n">
        <x:v>1</x:v>
      </x:c>
      <x:c r="G48" t="str">
        <x:v>bài</x:v>
      </x:c>
      <x:c r="H48" t="str">
        <x:v>Hồ sơ ghi nhận</x:v>
      </x:c>
      <x:c r="I48" t="str">
        <x:v>Có</x:v>
      </x:c>
      <x:c r="J48" t="str">
        <x:v>Quyền tác giả</x:v>
      </x:c>
      <x:c r="K48" t="str">
        <x:v>Thấp</x:v>
      </x:c>
      <x:c r="L48" t="str">
        <x:v>Không</x:v>
      </x:c>
      <x:c r="M48" t="str">
        <x:v>Cần đối chiếu</x:v>
      </x:c>
      <x:c r="N48" t="str">
        <x:v>Tổng hợp đề tài KHCN cấp cơ sở của GV 2021-2025.pdf, tr.7</x:v>
      </x:c>
      <x:c r="O48" t="str"/>
    </x:row>
    <x:row r="49">
      <x:c r="A49" t="str">
        <x:v>O-2024-06-02</x:v>
      </x:c>
      <x:c r="B49" t="str">
        <x:v>P2024-06</x:v>
      </x:c>
      <x:c r="C49" t="n">
        <x:v>2024</x:v>
      </x:c>
      <x:c r="D49" t="str">
        <x:v>Bánh xà phòng hữu cơ tảo biển 60 gam</x:v>
      </x:c>
      <x:c r="E49" t="str">
        <x:v>Sản phẩm/prototype</x:v>
      </x:c>
      <x:c r="F49" t="n">
        <x:v>200</x:v>
      </x:c>
      <x:c r="G49" t="str">
        <x:v>bánh</x:v>
      </x:c>
      <x:c r="H49" t="str">
        <x:v>Đã nghiệm thu</x:v>
      </x:c>
      <x:c r="I49" t="str">
        <x:v>Có</x:v>
      </x:c>
      <x:c r="J49" t="str">
        <x:v>Hiện thân của công thức/quy trình; nhãn hiệu/KDCN nếu có dấu hiệu riêng</x:v>
      </x:c>
      <x:c r="K49" t="str">
        <x:v>Cao</x:v>
      </x:c>
      <x:c r="L49" t="str">
        <x:v>Có</x:v>
      </x:c>
      <x:c r="M49" t="str">
        <x:v>Chưa cần</x:v>
      </x:c>
      <x:c r="N49" t="str">
        <x:v>Tổng hợp đề tài KHCN cấp cơ sở của GV 2021-2025.pdf, tr.7</x:v>
      </x:c>
      <x:c r="O49" t="str"/>
    </x:row>
    <x:row r="50">
      <x:c r="A50" t="str">
        <x:v>O-2024-06-03</x:v>
      </x:c>
      <x:c r="B50" t="str">
        <x:v>P2024-06</x:v>
      </x:c>
      <x:c r="C50" t="n">
        <x:v>2024</x:v>
      </x:c>
      <x:c r="D50" t="str">
        <x:v>Quy trình sản xuất và công thức xà phòng hữu cơ tảo biển</x:v>
      </x:c>
      <x:c r="E50" t="str">
        <x:v>Quy trình/công thức</x:v>
      </x:c>
      <x:c r="F50" t="n">
        <x:v>1</x:v>
      </x:c>
      <x:c r="G50" t="str">
        <x:v>bộ</x:v>
      </x:c>
      <x:c r="H50" t="str">
        <x:v>Đã nghiệm thu</x:v>
      </x:c>
      <x:c r="I50" t="str">
        <x:v>Có</x:v>
      </x:c>
      <x:c r="J50" t="str">
        <x:v>Sáng chế/GPHI hoặc bí mật kinh doanh - cần sàng lọc</x:v>
      </x:c>
      <x:c r="K50" t="str">
        <x:v>Cao</x:v>
      </x:c>
      <x:c r="L50" t="str">
        <x:v>Có</x:v>
      </x:c>
      <x:c r="M50" t="str">
        <x:v>Chưa cần</x:v>
      </x:c>
      <x:c r="N50" t="str">
        <x:v>Tổng hợp đề tài KHCN cấp cơ sở của GV 2021-2025.pdf, tr.7</x:v>
      </x:c>
      <x:c r="O50" t="str"/>
    </x:row>
    <x:row r="51">
      <x:c r="A51" t="str">
        <x:v>O-2024-06-04</x:v>
      </x:c>
      <x:c r="B51" t="str">
        <x:v>P2024-06</x:v>
      </x:c>
      <x:c r="C51" t="n">
        <x:v>2024</x:v>
      </x:c>
      <x:c r="D51" t="str">
        <x:v>Báo cáo đề tài</x:v>
      </x:c>
      <x:c r="E51" t="str">
        <x:v>Báo cáo nghiên cứu</x:v>
      </x:c>
      <x:c r="F51" t="n">
        <x:v>1</x:v>
      </x:c>
      <x:c r="G51" t="str">
        <x:v>báo cáo</x:v>
      </x:c>
      <x:c r="H51" t="str">
        <x:v>Đã nghiệm thu</x:v>
      </x:c>
      <x:c r="I51" t="str">
        <x:v>Có</x:v>
      </x:c>
      <x:c r="J51" t="str">
        <x:v>Quyền tác giả</x:v>
      </x:c>
      <x:c r="K51" t="str">
        <x:v>Thấp</x:v>
      </x:c>
      <x:c r="L51" t="str">
        <x:v>Không</x:v>
      </x:c>
      <x:c r="M51" t="str">
        <x:v>Chưa cần</x:v>
      </x:c>
      <x:c r="N51" t="str">
        <x:v>Tổng hợp đề tài KHCN cấp cơ sở của GV 2021-2025.pdf, tr.7</x:v>
      </x:c>
      <x:c r="O51" t="str"/>
    </x:row>
    <x:row r="52">
      <x:c r="A52" t="str">
        <x:v>O-2024-07-01</x:v>
      </x:c>
      <x:c r="B52" t="str">
        <x:v>P2024-07</x:v>
      </x:c>
      <x:c r="C52" t="n">
        <x:v>2024</x:v>
      </x:c>
      <x:c r="D52" t="str">
        <x:v>Tiêu bản hiển vi cố định</x:v>
      </x:c>
      <x:c r="E52" t="str">
        <x:v>Bộ mẫu/collection</x:v>
      </x:c>
      <x:c r="F52" t="n">
        <x:v>100</x:v>
      </x:c>
      <x:c r="G52" t="str">
        <x:v>tiêu bản</x:v>
      </x:c>
      <x:c r="H52" t="str">
        <x:v>Đã nghiệm thu</x:v>
      </x:c>
      <x:c r="I52" t="str">
        <x:v>Có</x:v>
      </x:c>
      <x:c r="J52" t="str">
        <x:v>Học liệu/collection; quy trình kỹ thuật nếu có tính mới</x:v>
      </x:c>
      <x:c r="K52" t="str">
        <x:v>Trung bình</x:v>
      </x:c>
      <x:c r="L52" t="str">
        <x:v>Có</x:v>
      </x:c>
      <x:c r="M52" t="str">
        <x:v>Chưa cần</x:v>
      </x:c>
      <x:c r="N52" t="str">
        <x:v>Tổng hợp đề tài KHCN cấp cơ sở của GV 2021-2025.pdf, tr.7</x:v>
      </x:c>
      <x:c r="O52" t="str"/>
    </x:row>
    <x:row r="53">
      <x:c r="A53" t="str">
        <x:v>O-2024-07-02</x:v>
      </x:c>
      <x:c r="B53" t="str">
        <x:v>P2024-07</x:v>
      </x:c>
      <x:c r="C53" t="n">
        <x:v>2024</x:v>
      </x:c>
      <x:c r="D53" t="str">
        <x:v>Cẩm nang "Phát hiện giun sán truyền qua đất trong các mẫu môi trường"</x:v>
      </x:c>
      <x:c r="E53" t="str">
        <x:v>Cẩm nang/học liệu</x:v>
      </x:c>
      <x:c r="F53" t="n">
        <x:v>1</x:v>
      </x:c>
      <x:c r="G53" t="str">
        <x:v>cẩm nang</x:v>
      </x:c>
      <x:c r="H53" t="str">
        <x:v>Đã nghiệm thu</x:v>
      </x:c>
      <x:c r="I53" t="str">
        <x:v>Có</x:v>
      </x:c>
      <x:c r="J53" t="str">
        <x:v>Quyền tác giả</x:v>
      </x:c>
      <x:c r="K53" t="str">
        <x:v>Trung bình</x:v>
      </x:c>
      <x:c r="L53" t="str">
        <x:v>Có</x:v>
      </x:c>
      <x:c r="M53" t="str">
        <x:v>Chưa cần</x:v>
      </x:c>
      <x:c r="N53" t="str">
        <x:v>Tổng hợp đề tài KHCN cấp cơ sở của GV 2021-2025.pdf, tr.7</x:v>
      </x:c>
      <x:c r="O53" t="str"/>
    </x:row>
    <x:row r="54">
      <x:c r="A54" t="str">
        <x:v>O-2024-07-03</x:v>
      </x:c>
      <x:c r="B54" t="str">
        <x:v>P2024-07</x:v>
      </x:c>
      <x:c r="C54" t="n">
        <x:v>2024</x:v>
      </x:c>
      <x:c r="D54" t="str">
        <x:v>Bài báo đăng trên Tạp chí NCKH&amp;PT Trường Đại học Thành Đô</x:v>
      </x:c>
      <x:c r="E54" t="str">
        <x:v>Bài báo</x:v>
      </x:c>
      <x:c r="F54" t="n">
        <x:v>1</x:v>
      </x:c>
      <x:c r="G54" t="str">
        <x:v>bài</x:v>
      </x:c>
      <x:c r="H54" t="str">
        <x:v>Hồ sơ ghi nhận</x:v>
      </x:c>
      <x:c r="I54" t="str">
        <x:v>Có</x:v>
      </x:c>
      <x:c r="J54" t="str">
        <x:v>Quyền tác giả</x:v>
      </x:c>
      <x:c r="K54" t="str">
        <x:v>Thấp</x:v>
      </x:c>
      <x:c r="L54" t="str">
        <x:v>Không</x:v>
      </x:c>
      <x:c r="M54" t="str">
        <x:v>Cần đối chiếu</x:v>
      </x:c>
      <x:c r="N54" t="str">
        <x:v>Tổng hợp đề tài KHCN cấp cơ sở của GV 2021-2025.pdf, tr.7</x:v>
      </x:c>
      <x:c r="O54" t="str"/>
    </x:row>
    <x:row r="55">
      <x:c r="A55" t="str">
        <x:v>O-2024-07-04</x:v>
      </x:c>
      <x:c r="B55" t="str">
        <x:v>P2024-07</x:v>
      </x:c>
      <x:c r="C55" t="n">
        <x:v>2024</x:v>
      </x:c>
      <x:c r="D55" t="str">
        <x:v>Báo cáo đề tài</x:v>
      </x:c>
      <x:c r="E55" t="str">
        <x:v>Báo cáo nghiên cứu</x:v>
      </x:c>
      <x:c r="F55" t="n">
        <x:v>1</x:v>
      </x:c>
      <x:c r="G55" t="str">
        <x:v>báo cáo</x:v>
      </x:c>
      <x:c r="H55" t="str">
        <x:v>Đã nghiệm thu</x:v>
      </x:c>
      <x:c r="I55" t="str">
        <x:v>Có</x:v>
      </x:c>
      <x:c r="J55" t="str">
        <x:v>Quyền tác giả</x:v>
      </x:c>
      <x:c r="K55" t="str">
        <x:v>Thấp</x:v>
      </x:c>
      <x:c r="L55" t="str">
        <x:v>Không</x:v>
      </x:c>
      <x:c r="M55" t="str">
        <x:v>Chưa cần</x:v>
      </x:c>
      <x:c r="N55" t="str">
        <x:v>Tổng hợp đề tài KHCN cấp cơ sở của GV 2021-2025.pdf, tr.7</x:v>
      </x:c>
      <x:c r="O55" t="str"/>
    </x:row>
    <x:row r="56">
      <x:c r="A56" t="str">
        <x:v>O-2024-08-01</x:v>
      </x:c>
      <x:c r="B56" t="str">
        <x:v>P2024-08</x:v>
      </x:c>
      <x:c r="C56" t="n">
        <x:v>2024</x:v>
      </x:c>
      <x:c r="D56" t="str">
        <x:v>Công bố khoa học chuyên ngành có chỉ số ISSN/ISBN</x:v>
      </x:c>
      <x:c r="E56" t="str">
        <x:v>Công bố khoa học</x:v>
      </x:c>
      <x:c r="F56" t="n">
        <x:v>1</x:v>
      </x:c>
      <x:c r="G56" t="str">
        <x:v>công bố</x:v>
      </x:c>
      <x:c r="H56" t="str">
        <x:v>Hồ sơ ghi nhận</x:v>
      </x:c>
      <x:c r="I56" t="str">
        <x:v>Có</x:v>
      </x:c>
      <x:c r="J56" t="str">
        <x:v>Quyền tác giả</x:v>
      </x:c>
      <x:c r="K56" t="str">
        <x:v>Thấp</x:v>
      </x:c>
      <x:c r="L56" t="str">
        <x:v>Không</x:v>
      </x:c>
      <x:c r="M56" t="str">
        <x:v>Cần đối chiếu</x:v>
      </x:c>
      <x:c r="N56" t="str">
        <x:v>Tổng hợp đề tài KHCN cấp cơ sở của GV 2021-2025.pdf, tr.8</x:v>
      </x:c>
      <x:c r="O56" t="str"/>
    </x:row>
    <x:row r="57">
      <x:c r="A57" t="str">
        <x:v>O-2024-08-02</x:v>
      </x:c>
      <x:c r="B57" t="str">
        <x:v>P2024-08</x:v>
      </x:c>
      <x:c r="C57" t="n">
        <x:v>2024</x:v>
      </x:c>
      <x:c r="D57" t="str">
        <x:v>Rutin độ tinh khiết 90%</x:v>
      </x:c>
      <x:c r="E57" t="str">
        <x:v>Sản phẩm/prototype</x:v>
      </x:c>
      <x:c r="F57" t="n">
        <x:v>1</x:v>
      </x:c>
      <x:c r="G57" t="str">
        <x:v>gam</x:v>
      </x:c>
      <x:c r="H57" t="str">
        <x:v>Đã nghiệm thu</x:v>
      </x:c>
      <x:c r="I57" t="str">
        <x:v>Có</x:v>
      </x:c>
      <x:c r="J57" t="str">
        <x:v>Hiện thân của quy trình chiết/tinh chế</x:v>
      </x:c>
      <x:c r="K57" t="str">
        <x:v>Cao</x:v>
      </x:c>
      <x:c r="L57" t="str">
        <x:v>Có</x:v>
      </x:c>
      <x:c r="M57" t="str">
        <x:v>Chưa cần</x:v>
      </x:c>
      <x:c r="N57" t="str">
        <x:v>Tổng hợp đề tài KHCN cấp cơ sở của GV 2021-2025.pdf, tr.8</x:v>
      </x:c>
      <x:c r="O57" t="str"/>
    </x:row>
    <x:row r="58">
      <x:c r="A58" t="str">
        <x:v>O-2024-08-03</x:v>
      </x:c>
      <x:c r="B58" t="str">
        <x:v>P2024-08</x:v>
      </x:c>
      <x:c r="C58" t="n">
        <x:v>2024</x:v>
      </x:c>
      <x:c r="D58" t="str">
        <x:v>Báo cáo toàn văn</x:v>
      </x:c>
      <x:c r="E58" t="str">
        <x:v>Báo cáo nghiên cứu</x:v>
      </x:c>
      <x:c r="F58" t="n">
        <x:v>1</x:v>
      </x:c>
      <x:c r="G58" t="str">
        <x:v>báo cáo</x:v>
      </x:c>
      <x:c r="H58" t="str">
        <x:v>Đã nghiệm thu</x:v>
      </x:c>
      <x:c r="I58" t="str">
        <x:v>Có</x:v>
      </x:c>
      <x:c r="J58" t="str">
        <x:v>Quyền tác giả</x:v>
      </x:c>
      <x:c r="K58" t="str">
        <x:v>Thấp</x:v>
      </x:c>
      <x:c r="L58" t="str">
        <x:v>Không</x:v>
      </x:c>
      <x:c r="M58" t="str">
        <x:v>Chưa cần</x:v>
      </x:c>
      <x:c r="N58" t="str">
        <x:v>Tổng hợp đề tài KHCN cấp cơ sở của GV 2021-2025.pdf, tr.8</x:v>
      </x:c>
      <x:c r="O58" t="str"/>
    </x:row>
    <x:row r="59">
      <x:c r="A59" t="str">
        <x:v>O-2024-08-04</x:v>
      </x:c>
      <x:c r="B59" t="str">
        <x:v>P2024-08</x:v>
      </x:c>
      <x:c r="C59" t="n">
        <x:v>2024</x:v>
      </x:c>
      <x:c r="D59" t="str">
        <x:v>Quy trình chiết xuất và tinh chế rutin</x:v>
      </x:c>
      <x:c r="E59" t="str">
        <x:v>Quy trình/công thức</x:v>
      </x:c>
      <x:c r="F59" t="n">
        <x:v>1</x:v>
      </x:c>
      <x:c r="G59" t="str">
        <x:v>quy trình</x:v>
      </x:c>
      <x:c r="H59" t="str">
        <x:v>Đã nghiệm thu</x:v>
      </x:c>
      <x:c r="I59" t="str">
        <x:v>Có</x:v>
      </x:c>
      <x:c r="J59" t="str">
        <x:v>Sáng chế/GPHI hoặc bí mật kinh doanh - cần sàng lọc</x:v>
      </x:c>
      <x:c r="K59" t="str">
        <x:v>Cao</x:v>
      </x:c>
      <x:c r="L59" t="str">
        <x:v>Có</x:v>
      </x:c>
      <x:c r="M59" t="str">
        <x:v>Chưa cần</x:v>
      </x:c>
      <x:c r="N59" t="str">
        <x:v>Tổng hợp đề tài KHCN cấp cơ sở của GV 2021-2025.pdf, tr.8</x:v>
      </x:c>
      <x:c r="O59" t="str"/>
    </x:row>
    <x:row r="60">
      <x:c r="A60" t="str">
        <x:v>O-2024-08-05</x:v>
      </x:c>
      <x:c r="B60" t="str">
        <x:v>P2024-08</x:v>
      </x:c>
      <x:c r="C60" t="n">
        <x:v>2024</x:v>
      </x:c>
      <x:c r="D60" t="str">
        <x:v>Báo cáo đề tài</x:v>
      </x:c>
      <x:c r="E60" t="str">
        <x:v>Báo cáo nghiên cứu</x:v>
      </x:c>
      <x:c r="F60" t="n">
        <x:v>1</x:v>
      </x:c>
      <x:c r="G60" t="str">
        <x:v>báo cáo</x:v>
      </x:c>
      <x:c r="H60" t="str">
        <x:v>Đã nghiệm thu</x:v>
      </x:c>
      <x:c r="I60" t="str">
        <x:v>Có</x:v>
      </x:c>
      <x:c r="J60" t="str">
        <x:v>Quyền tác giả</x:v>
      </x:c>
      <x:c r="K60" t="str">
        <x:v>Thấp</x:v>
      </x:c>
      <x:c r="L60" t="str">
        <x:v>Không</x:v>
      </x:c>
      <x:c r="M60" t="str">
        <x:v>Chưa cần</x:v>
      </x:c>
      <x:c r="N60" t="str">
        <x:v>Tổng hợp đề tài KHCN cấp cơ sở của GV 2021-2025.pdf, tr.8</x:v>
      </x:c>
      <x:c r="O60" t="str"/>
    </x:row>
    <x:row r="61">
      <x:c r="A61" t="str">
        <x:v>O-2024-09-01</x:v>
      </x:c>
      <x:c r="B61" t="str">
        <x:v>P2024-09</x:v>
      </x:c>
      <x:c r="C61" t="n">
        <x:v>2024</x:v>
      </x:c>
      <x:c r="D61" t="str">
        <x:v>Bài báo đăng trên Tạp chí NCKH&amp;PT Trường Đại học Thành Đô</x:v>
      </x:c>
      <x:c r="E61" t="str">
        <x:v>Bài báo</x:v>
      </x:c>
      <x:c r="F61" t="n">
        <x:v>1</x:v>
      </x:c>
      <x:c r="G61" t="str">
        <x:v>bài</x:v>
      </x:c>
      <x:c r="H61" t="str">
        <x:v>Hồ sơ ghi nhận</x:v>
      </x:c>
      <x:c r="I61" t="str">
        <x:v>Có</x:v>
      </x:c>
      <x:c r="J61" t="str">
        <x:v>Quyền tác giả</x:v>
      </x:c>
      <x:c r="K61" t="str">
        <x:v>Thấp</x:v>
      </x:c>
      <x:c r="L61" t="str">
        <x:v>Không</x:v>
      </x:c>
      <x:c r="M61" t="str">
        <x:v>Cần đối chiếu</x:v>
      </x:c>
      <x:c r="N61" t="str">
        <x:v>Tổng hợp đề tài KHCN cấp cơ sở của GV 2021-2025.pdf, tr.8</x:v>
      </x:c>
      <x:c r="O61" t="str"/>
    </x:row>
    <x:row r="62">
      <x:c r="A62" t="str">
        <x:v>O-2024-09-02</x:v>
      </x:c>
      <x:c r="B62" t="str">
        <x:v>P2024-09</x:v>
      </x:c>
      <x:c r="C62" t="n">
        <x:v>2024</x:v>
      </x:c>
      <x:c r="D62" t="str">
        <x:v>Thang thuốc 100ml</x:v>
      </x:c>
      <x:c r="E62" t="str">
        <x:v>Sản phẩm/prototype</x:v>
      </x:c>
      <x:c r="F62" t="n">
        <x:v>60</x:v>
      </x:c>
      <x:c r="G62" t="str">
        <x:v>thang</x:v>
      </x:c>
      <x:c r="H62" t="str">
        <x:v>Đã nghiệm thu</x:v>
      </x:c>
      <x:c r="I62" t="str">
        <x:v>Có</x:v>
      </x:c>
      <x:c r="J62" t="str">
        <x:v>Hiện thân của công thức/quy trình</x:v>
      </x:c>
      <x:c r="K62" t="str">
        <x:v>Cao</x:v>
      </x:c>
      <x:c r="L62" t="str">
        <x:v>Có</x:v>
      </x:c>
      <x:c r="M62" t="str">
        <x:v>Chưa cần</x:v>
      </x:c>
      <x:c r="N62" t="str">
        <x:v>Tổng hợp đề tài KHCN cấp cơ sở của GV 2021-2025.pdf, tr.8</x:v>
      </x:c>
      <x:c r="O62" t="str"/>
    </x:row>
    <x:row r="63">
      <x:c r="A63" t="str">
        <x:v>O-2024-09-03</x:v>
      </x:c>
      <x:c r="B63" t="str">
        <x:v>P2024-09</x:v>
      </x:c>
      <x:c r="C63" t="n">
        <x:v>2024</x:v>
      </x:c>
      <x:c r="D63" t="str">
        <x:v>Công thức và quy trình sắc của thang thuốc giảm cân</x:v>
      </x:c>
      <x:c r="E63" t="str">
        <x:v>Quy trình/công thức</x:v>
      </x:c>
      <x:c r="F63" t="n">
        <x:v>1</x:v>
      </x:c>
      <x:c r="G63" t="str">
        <x:v>bộ</x:v>
      </x:c>
      <x:c r="H63" t="str">
        <x:v>Đã nghiệm thu</x:v>
      </x:c>
      <x:c r="I63" t="str">
        <x:v>Có</x:v>
      </x:c>
      <x:c r="J63" t="str">
        <x:v>Sáng chế/GPHI hoặc bí mật kinh doanh - cần sàng lọc</x:v>
      </x:c>
      <x:c r="K63" t="str">
        <x:v>Cao</x:v>
      </x:c>
      <x:c r="L63" t="str">
        <x:v>Có</x:v>
      </x:c>
      <x:c r="M63" t="str">
        <x:v>Chưa cần</x:v>
      </x:c>
      <x:c r="N63" t="str">
        <x:v>Tổng hợp đề tài KHCN cấp cơ sở của GV 2021-2025.pdf, tr.8</x:v>
      </x:c>
      <x:c r="O63" t="str"/>
    </x:row>
    <x:row r="64">
      <x:c r="A64" t="str">
        <x:v>O-2024-09-04</x:v>
      </x:c>
      <x:c r="B64" t="str">
        <x:v>P2024-09</x:v>
      </x:c>
      <x:c r="C64" t="n">
        <x:v>2024</x:v>
      </x:c>
      <x:c r="D64" t="str">
        <x:v>Báo cáo đề tài</x:v>
      </x:c>
      <x:c r="E64" t="str">
        <x:v>Báo cáo nghiên cứu</x:v>
      </x:c>
      <x:c r="F64" t="n">
        <x:v>1</x:v>
      </x:c>
      <x:c r="G64" t="str">
        <x:v>báo cáo</x:v>
      </x:c>
      <x:c r="H64" t="str">
        <x:v>Đã nghiệm thu</x:v>
      </x:c>
      <x:c r="I64" t="str">
        <x:v>Có</x:v>
      </x:c>
      <x:c r="J64" t="str">
        <x:v>Quyền tác giả</x:v>
      </x:c>
      <x:c r="K64" t="str">
        <x:v>Thấp</x:v>
      </x:c>
      <x:c r="L64" t="str">
        <x:v>Không</x:v>
      </x:c>
      <x:c r="M64" t="str">
        <x:v>Chưa cần</x:v>
      </x:c>
      <x:c r="N64" t="str">
        <x:v>Tổng hợp đề tài KHCN cấp cơ sở của GV 2021-2025.pdf, tr.8</x:v>
      </x:c>
      <x:c r="O64" t="str"/>
    </x:row>
    <x:row r="65">
      <x:c r="A65" t="str">
        <x:v>O-2024-10-01</x:v>
      </x:c>
      <x:c r="B65" t="str">
        <x:v>P2024-10</x:v>
      </x:c>
      <x:c r="C65" t="n">
        <x:v>2024</x:v>
      </x:c>
      <x:c r="D65" t="str">
        <x:v>Bài báo đăng trên Tạp chí NCKH&amp;PT Trường Đại học Thành Đô</x:v>
      </x:c>
      <x:c r="E65" t="str">
        <x:v>Bài báo</x:v>
      </x:c>
      <x:c r="F65" t="n">
        <x:v>1</x:v>
      </x:c>
      <x:c r="G65" t="str">
        <x:v>bài</x:v>
      </x:c>
      <x:c r="H65" t="str">
        <x:v>Hồ sơ ghi nhận</x:v>
      </x:c>
      <x:c r="I65" t="str">
        <x:v>Có</x:v>
      </x:c>
      <x:c r="J65" t="str">
        <x:v>Quyền tác giả</x:v>
      </x:c>
      <x:c r="K65" t="str">
        <x:v>Thấp</x:v>
      </x:c>
      <x:c r="L65" t="str">
        <x:v>Không</x:v>
      </x:c>
      <x:c r="M65" t="str">
        <x:v>Cần đối chiếu</x:v>
      </x:c>
      <x:c r="N65" t="str">
        <x:v>Tổng hợp đề tài KHCN cấp cơ sở của GV 2021-2025.pdf, tr.8</x:v>
      </x:c>
      <x:c r="O65" t="str"/>
    </x:row>
    <x:row r="66">
      <x:c r="A66" t="str">
        <x:v>O-2024-10-02</x:v>
      </x:c>
      <x:c r="B66" t="str">
        <x:v>P2024-10</x:v>
      </x:c>
      <x:c r="C66" t="n">
        <x:v>2024</x:v>
      </x:c>
      <x:c r="D66" t="str">
        <x:v>Báo cáo đề tài</x:v>
      </x:c>
      <x:c r="E66" t="str">
        <x:v>Báo cáo nghiên cứu</x:v>
      </x:c>
      <x:c r="F66" t="n">
        <x:v>1</x:v>
      </x:c>
      <x:c r="G66" t="str">
        <x:v>báo cáo</x:v>
      </x:c>
      <x:c r="H66" t="str">
        <x:v>Đã nghiệm thu</x:v>
      </x:c>
      <x:c r="I66" t="str">
        <x:v>Có</x:v>
      </x:c>
      <x:c r="J66" t="str">
        <x:v>Quyền tác giả</x:v>
      </x:c>
      <x:c r="K66" t="str">
        <x:v>Thấp</x:v>
      </x:c>
      <x:c r="L66" t="str">
        <x:v>Không</x:v>
      </x:c>
      <x:c r="M66" t="str">
        <x:v>Chưa cần</x:v>
      </x:c>
      <x:c r="N66" t="str">
        <x:v>Tổng hợp đề tài KHCN cấp cơ sở của GV 2021-2025.pdf, tr.8</x:v>
      </x:c>
      <x:c r="O66" t="str"/>
    </x:row>
    <x:row r="67">
      <x:c r="A67" t="str">
        <x:v>O-2024-12-01</x:v>
      </x:c>
      <x:c r="B67" t="str">
        <x:v>P2024-12</x:v>
      </x:c>
      <x:c r="C67" t="n">
        <x:v>2024</x:v>
      </x:c>
      <x:c r="D67" t="str">
        <x:v>Bài báo đăng trên Tạp chí Khoa học, Trường Đại học Thành Đô</x:v>
      </x:c>
      <x:c r="E67" t="str">
        <x:v>Bài báo</x:v>
      </x:c>
      <x:c r="F67" t="n">
        <x:v>1</x:v>
      </x:c>
      <x:c r="G67" t="str">
        <x:v>bài</x:v>
      </x:c>
      <x:c r="H67" t="str">
        <x:v>Hồ sơ ghi nhận</x:v>
      </x:c>
      <x:c r="I67" t="str">
        <x:v>Có</x:v>
      </x:c>
      <x:c r="J67" t="str">
        <x:v>Quyền tác giả</x:v>
      </x:c>
      <x:c r="K67" t="str">
        <x:v>Thấp</x:v>
      </x:c>
      <x:c r="L67" t="str">
        <x:v>Không</x:v>
      </x:c>
      <x:c r="M67" t="str">
        <x:v>Cần đối chiếu</x:v>
      </x:c>
      <x:c r="N67" t="str">
        <x:v>Tổng hợp đề tài KHCN cấp cơ sở của GV 2021-2025.pdf, tr.9</x:v>
      </x:c>
      <x:c r="O67" t="str"/>
    </x:row>
    <x:row r="68">
      <x:c r="A68" t="str">
        <x:v>O-2024-12-02</x:v>
      </x:c>
      <x:c r="B68" t="str">
        <x:v>P2024-12</x:v>
      </x:c>
      <x:c r="C68" t="n">
        <x:v>2024</x:v>
      </x:c>
      <x:c r="D68" t="str">
        <x:v>Bài báo khoa học đăng trên tạp chí khoa học chuyên ngành trong nước, mức 1.0 điểm trở lên</x:v>
      </x:c>
      <x:c r="E68" t="str">
        <x:v>Bài báo</x:v>
      </x:c>
      <x:c r="F68" t="n">
        <x:v>2</x:v>
      </x:c>
      <x:c r="G68" t="str">
        <x:v>bài</x:v>
      </x:c>
      <x:c r="H68" t="str">
        <x:v>Hồ sơ ghi nhận</x:v>
      </x:c>
      <x:c r="I68" t="str">
        <x:v>Có</x:v>
      </x:c>
      <x:c r="J68" t="str">
        <x:v>Quyền tác giả</x:v>
      </x:c>
      <x:c r="K68" t="str">
        <x:v>Thấp</x:v>
      </x:c>
      <x:c r="L68" t="str">
        <x:v>Không</x:v>
      </x:c>
      <x:c r="M68" t="str">
        <x:v>Cần đối chiếu</x:v>
      </x:c>
      <x:c r="N68" t="str">
        <x:v>Tổng hợp đề tài KHCN cấp cơ sở của GV 2021-2025.pdf, tr.9</x:v>
      </x:c>
      <x:c r="O68" t="str"/>
    </x:row>
    <x:row r="69">
      <x:c r="A69" t="str">
        <x:v>O-2024-12-03</x:v>
      </x:c>
      <x:c r="B69" t="str">
        <x:v>P2024-12</x:v>
      </x:c>
      <x:c r="C69" t="n">
        <x:v>2024</x:v>
      </x:c>
      <x:c r="D69" t="str">
        <x:v>Báo cáo đề tài</x:v>
      </x:c>
      <x:c r="E69" t="str">
        <x:v>Báo cáo nghiên cứu</x:v>
      </x:c>
      <x:c r="F69" t="n">
        <x:v>1</x:v>
      </x:c>
      <x:c r="G69" t="str">
        <x:v>báo cáo</x:v>
      </x:c>
      <x:c r="H69" t="str">
        <x:v>Đã nghiệm thu</x:v>
      </x:c>
      <x:c r="I69" t="str">
        <x:v>Có</x:v>
      </x:c>
      <x:c r="J69" t="str">
        <x:v>Quyền tác giả</x:v>
      </x:c>
      <x:c r="K69" t="str">
        <x:v>Thấp</x:v>
      </x:c>
      <x:c r="L69" t="str">
        <x:v>Không</x:v>
      </x:c>
      <x:c r="M69" t="str">
        <x:v>Chưa cần</x:v>
      </x:c>
      <x:c r="N69" t="str">
        <x:v>Tổng hợp đề tài KHCN cấp cơ sở của GV 2021-2025.pdf, tr.9</x:v>
      </x:c>
      <x:c r="O69" t="str"/>
    </x:row>
    <x:row r="70">
      <x:c r="A70" t="str">
        <x:v>O-2024-13-01</x:v>
      </x:c>
      <x:c r="B70" t="str">
        <x:v>P2024-13</x:v>
      </x:c>
      <x:c r="C70" t="n">
        <x:v>2024</x:v>
      </x:c>
      <x:c r="D70" t="str">
        <x:v>Bài báo có chỉ số ISSN</x:v>
      </x:c>
      <x:c r="E70" t="str">
        <x:v>Bài báo</x:v>
      </x:c>
      <x:c r="F70" t="n">
        <x:v>1</x:v>
      </x:c>
      <x:c r="G70" t="str">
        <x:v>bài</x:v>
      </x:c>
      <x:c r="H70" t="str">
        <x:v>Hồ sơ ghi nhận</x:v>
      </x:c>
      <x:c r="I70" t="str">
        <x:v>Có</x:v>
      </x:c>
      <x:c r="J70" t="str">
        <x:v>Quyền tác giả</x:v>
      </x:c>
      <x:c r="K70" t="str">
        <x:v>Thấp</x:v>
      </x:c>
      <x:c r="L70" t="str">
        <x:v>Không</x:v>
      </x:c>
      <x:c r="M70" t="str">
        <x:v>Cần đối chiếu</x:v>
      </x:c>
      <x:c r="N70" t="str">
        <x:v>Tổng hợp đề tài KHCN cấp cơ sở của GV 2021-2025.pdf, tr.9</x:v>
      </x:c>
      <x:c r="O70" t="str"/>
    </x:row>
    <x:row r="71">
      <x:c r="A71" t="str">
        <x:v>O-2024-13-02</x:v>
      </x:c>
      <x:c r="B71" t="str">
        <x:v>P2024-13</x:v>
      </x:c>
      <x:c r="C71" t="n">
        <x:v>2024</x:v>
      </x:c>
      <x:c r="D71" t="str">
        <x:v>Báo cáo đề tài</x:v>
      </x:c>
      <x:c r="E71" t="str">
        <x:v>Báo cáo nghiên cứu</x:v>
      </x:c>
      <x:c r="F71" t="n">
        <x:v>1</x:v>
      </x:c>
      <x:c r="G71" t="str">
        <x:v>báo cáo</x:v>
      </x:c>
      <x:c r="H71" t="str">
        <x:v>Đã nghiệm thu</x:v>
      </x:c>
      <x:c r="I71" t="str">
        <x:v>Có</x:v>
      </x:c>
      <x:c r="J71" t="str">
        <x:v>Quyền tác giả</x:v>
      </x:c>
      <x:c r="K71" t="str">
        <x:v>Thấp</x:v>
      </x:c>
      <x:c r="L71" t="str">
        <x:v>Không</x:v>
      </x:c>
      <x:c r="M71" t="str">
        <x:v>Chưa cần</x:v>
      </x:c>
      <x:c r="N71" t="str">
        <x:v>Tổng hợp đề tài KHCN cấp cơ sở của GV 2021-2025.pdf, tr.9</x:v>
      </x:c>
      <x:c r="O71" t="str"/>
    </x:row>
    <x:row r="72">
      <x:c r="A72" t="str">
        <x:v>O-2024-14-01</x:v>
      </x:c>
      <x:c r="B72" t="str">
        <x:v>P2024-14</x:v>
      </x:c>
      <x:c r="C72" t="n">
        <x:v>2024</x:v>
      </x:c>
      <x:c r="D72" t="str">
        <x:v>Bài báo khoa học đăng trên tạp chí khoa học Trường Đại học Thành Đô</x:v>
      </x:c>
      <x:c r="E72" t="str">
        <x:v>Bài báo</x:v>
      </x:c>
      <x:c r="F72" t="n">
        <x:v>1</x:v>
      </x:c>
      <x:c r="G72" t="str">
        <x:v>bài</x:v>
      </x:c>
      <x:c r="H72" t="str">
        <x:v>Hồ sơ ghi nhận</x:v>
      </x:c>
      <x:c r="I72" t="str">
        <x:v>Có</x:v>
      </x:c>
      <x:c r="J72" t="str">
        <x:v>Quyền tác giả</x:v>
      </x:c>
      <x:c r="K72" t="str">
        <x:v>Thấp</x:v>
      </x:c>
      <x:c r="L72" t="str">
        <x:v>Không</x:v>
      </x:c>
      <x:c r="M72" t="str">
        <x:v>Cần đối chiếu</x:v>
      </x:c>
      <x:c r="N72" t="str">
        <x:v>Tổng hợp đề tài KHCN cấp cơ sở của GV 2021-2025.pdf, phần chuyển tiếp 2024-2025</x:v>
      </x:c>
      <x:c r="O72" t="str"/>
    </x:row>
    <x:row r="73">
      <x:c r="A73" t="str">
        <x:v>O-2024-14-02</x:v>
      </x:c>
      <x:c r="B73" t="str">
        <x:v>P2024-14</x:v>
      </x:c>
      <x:c r="C73" t="n">
        <x:v>2024</x:v>
      </x:c>
      <x:c r="D73" t="str">
        <x:v>Bài báo khoa học đăng trên tạp chí 1.0 điểm theo danh mục HĐGSNN</x:v>
      </x:c>
      <x:c r="E73" t="str">
        <x:v>Bài báo</x:v>
      </x:c>
      <x:c r="F73" t="n">
        <x:v>1</x:v>
      </x:c>
      <x:c r="G73" t="str">
        <x:v>bài</x:v>
      </x:c>
      <x:c r="H73" t="str">
        <x:v>Hồ sơ ghi nhận</x:v>
      </x:c>
      <x:c r="I73" t="str">
        <x:v>Có</x:v>
      </x:c>
      <x:c r="J73" t="str">
        <x:v>Quyền tác giả</x:v>
      </x:c>
      <x:c r="K73" t="str">
        <x:v>Thấp</x:v>
      </x:c>
      <x:c r="L73" t="str">
        <x:v>Không</x:v>
      </x:c>
      <x:c r="M73" t="str">
        <x:v>Cần đối chiếu</x:v>
      </x:c>
      <x:c r="N73" t="str">
        <x:v>Tổng hợp đề tài KHCN cấp cơ sở của GV 2021-2025.pdf, phần chuyển tiếp 2024-2025</x:v>
      </x:c>
      <x:c r="O73" t="str"/>
    </x:row>
    <x:row r="74">
      <x:c r="A74" t="str">
        <x:v>O-2024-14-03</x:v>
      </x:c>
      <x:c r="B74" t="str">
        <x:v>P2024-14</x:v>
      </x:c>
      <x:c r="C74" t="n">
        <x:v>2024</x:v>
      </x:c>
      <x:c r="D74" t="str">
        <x:v>Báo cáo đề tài</x:v>
      </x:c>
      <x:c r="E74" t="str">
        <x:v>Báo cáo nghiên cứu</x:v>
      </x:c>
      <x:c r="F74" t="n">
        <x:v>1</x:v>
      </x:c>
      <x:c r="G74" t="str">
        <x:v>báo cáo</x:v>
      </x:c>
      <x:c r="H74" t="str">
        <x:v>Đã nghiệm thu</x:v>
      </x:c>
      <x:c r="I74" t="str">
        <x:v>Có</x:v>
      </x:c>
      <x:c r="J74" t="str">
        <x:v>Quyền tác giả</x:v>
      </x:c>
      <x:c r="K74" t="str">
        <x:v>Thấp</x:v>
      </x:c>
      <x:c r="L74" t="str">
        <x:v>Không</x:v>
      </x:c>
      <x:c r="M74" t="str">
        <x:v>Chưa cần</x:v>
      </x:c>
      <x:c r="N74" t="str">
        <x:v>Tổng hợp đề tài KHCN cấp cơ sở của GV 2021-2025.pdf, phần chuyển tiếp 2024-2025</x:v>
      </x:c>
      <x:c r="O74" t="str"/>
    </x:row>
    <x:row r="75">
      <x:c r="A75" t="str">
        <x:v>O-2025-01-01</x:v>
      </x:c>
      <x:c r="B75" t="str">
        <x:v>P2025-01</x:v>
      </x:c>
      <x:c r="C75" t="n">
        <x:v>2025</x:v>
      </x:c>
      <x:c r="D75" t="str">
        <x:v>Báo cáo toàn văn</x:v>
      </x:c>
      <x:c r="E75" t="str">
        <x:v>Báo cáo nghiên cứu</x:v>
      </x:c>
      <x:c r="F75" t="n">
        <x:v>1</x:v>
      </x:c>
      <x:c r="G75" t="str">
        <x:v>báo cáo</x:v>
      </x:c>
      <x:c r="H75" t="str">
        <x:v>Đã nghiệm thu</x:v>
      </x:c>
      <x:c r="I75" t="str">
        <x:v>Có</x:v>
      </x:c>
      <x:c r="J75" t="str">
        <x:v>Quyền tác giả</x:v>
      </x:c>
      <x:c r="K75" t="str">
        <x:v>Thấp</x:v>
      </x:c>
      <x:c r="L75" t="str">
        <x:v>Không</x:v>
      </x:c>
      <x:c r="M75" t="str">
        <x:v>Chưa cần</x:v>
      </x:c>
      <x:c r="N75" t="str">
        <x:v>Tổng hợp đề tài KHCN cấp cơ sở của GV 2021-2025.pdf, mục NĂM 2025</x:v>
      </x:c>
      <x:c r="O75" t="str"/>
    </x:row>
    <x:row r="76">
      <x:c r="A76" t="str">
        <x:v>O-2025-01-02</x:v>
      </x:c>
      <x:c r="B76" t="str">
        <x:v>P2025-01</x:v>
      </x:c>
      <x:c r="C76" t="n">
        <x:v>2025</x:v>
      </x:c>
      <x:c r="D76" t="str">
        <x:v>Bài báo đăng trên tạp chí có chỉ số ISSN</x:v>
      </x:c>
      <x:c r="E76" t="str">
        <x:v>Bài báo</x:v>
      </x:c>
      <x:c r="F76" t="n">
        <x:v>1</x:v>
      </x:c>
      <x:c r="G76" t="str">
        <x:v>bài</x:v>
      </x:c>
      <x:c r="H76" t="str">
        <x:v>Hồ sơ ghi nhận</x:v>
      </x:c>
      <x:c r="I76" t="str">
        <x:v>Có</x:v>
      </x:c>
      <x:c r="J76" t="str">
        <x:v>Quyền tác giả</x:v>
      </x:c>
      <x:c r="K76" t="str">
        <x:v>Thấp</x:v>
      </x:c>
      <x:c r="L76" t="str">
        <x:v>Không</x:v>
      </x:c>
      <x:c r="M76" t="str">
        <x:v>Cần đối chiếu</x:v>
      </x:c>
      <x:c r="N76" t="str">
        <x:v>Tổng hợp đề tài KHCN cấp cơ sở của GV 2021-2025.pdf, mục NĂM 2025</x:v>
      </x:c>
      <x:c r="O76" t="str"/>
    </x:row>
    <x:row r="77">
      <x:c r="A77" t="str">
        <x:v>O-2025-02-01</x:v>
      </x:c>
      <x:c r="B77" t="str">
        <x:v>P2025-02</x:v>
      </x:c>
      <x:c r="C77" t="n">
        <x:v>2025</x:v>
      </x:c>
      <x:c r="D77" t="str">
        <x:v>Báo cáo toàn văn</x:v>
      </x:c>
      <x:c r="E77" t="str">
        <x:v>Báo cáo nghiên cứu</x:v>
      </x:c>
      <x:c r="F77" t="n">
        <x:v>1</x:v>
      </x:c>
      <x:c r="G77" t="str">
        <x:v>báo cáo</x:v>
      </x:c>
      <x:c r="H77" t="str">
        <x:v>Đã nghiệm thu</x:v>
      </x:c>
      <x:c r="I77" t="str">
        <x:v>Có</x:v>
      </x:c>
      <x:c r="J77" t="str">
        <x:v>Quyền tác giả</x:v>
      </x:c>
      <x:c r="K77" t="str">
        <x:v>Thấp</x:v>
      </x:c>
      <x:c r="L77" t="str">
        <x:v>Không</x:v>
      </x:c>
      <x:c r="M77" t="str">
        <x:v>Chưa cần</x:v>
      </x:c>
      <x:c r="N77" t="str">
        <x:v>Tổng hợp đề tài KHCN cấp cơ sở của GV 2021-2025.pdf, mục NĂM 2025</x:v>
      </x:c>
      <x:c r="O77" t="str"/>
    </x:row>
    <x:row r="78">
      <x:c r="A78" t="str">
        <x:v>O-2025-02-02</x:v>
      </x:c>
      <x:c r="B78" t="str">
        <x:v>P2025-02</x:v>
      </x:c>
      <x:c r="C78" t="n">
        <x:v>2025</x:v>
      </x:c>
      <x:c r="D78" t="str">
        <x:v>Bài báo đăng trên tạp chí có chỉ số ISSN</x:v>
      </x:c>
      <x:c r="E78" t="str">
        <x:v>Bài báo</x:v>
      </x:c>
      <x:c r="F78" t="n">
        <x:v>1</x:v>
      </x:c>
      <x:c r="G78" t="str">
        <x:v>bài</x:v>
      </x:c>
      <x:c r="H78" t="str">
        <x:v>Hồ sơ ghi nhận</x:v>
      </x:c>
      <x:c r="I78" t="str">
        <x:v>Có</x:v>
      </x:c>
      <x:c r="J78" t="str">
        <x:v>Quyền tác giả</x:v>
      </x:c>
      <x:c r="K78" t="str">
        <x:v>Thấp</x:v>
      </x:c>
      <x:c r="L78" t="str">
        <x:v>Không</x:v>
      </x:c>
      <x:c r="M78" t="str">
        <x:v>Cần đối chiếu</x:v>
      </x:c>
      <x:c r="N78" t="str">
        <x:v>Tổng hợp đề tài KHCN cấp cơ sở của GV 2021-2025.pdf, mục NĂM 2025</x:v>
      </x:c>
      <x:c r="O78" t="str"/>
    </x:row>
    <x:row r="79">
      <x:c r="A79" t="str">
        <x:v>O-2025-03-01</x:v>
      </x:c>
      <x:c r="B79" t="str">
        <x:v>P2025-03</x:v>
      </x:c>
      <x:c r="C79" t="n">
        <x:v>2025</x:v>
      </x:c>
      <x:c r="D79" t="str">
        <x:v>Bài báo đăng trên tạp chí có chỉ số ISSN</x:v>
      </x:c>
      <x:c r="E79" t="str">
        <x:v>Bài báo</x:v>
      </x:c>
      <x:c r="F79" t="n">
        <x:v>1</x:v>
      </x:c>
      <x:c r="G79" t="str">
        <x:v>bài</x:v>
      </x:c>
      <x:c r="H79" t="str">
        <x:v>Hồ sơ ghi nhận</x:v>
      </x:c>
      <x:c r="I79" t="str">
        <x:v>Có</x:v>
      </x:c>
      <x:c r="J79" t="str">
        <x:v>Quyền tác giả</x:v>
      </x:c>
      <x:c r="K79" t="str">
        <x:v>Thấp</x:v>
      </x:c>
      <x:c r="L79" t="str">
        <x:v>Không</x:v>
      </x:c>
      <x:c r="M79" t="str">
        <x:v>Cần đối chiếu</x:v>
      </x:c>
      <x:c r="N79" t="str">
        <x:v>Tổng hợp đề tài KHCN cấp cơ sở của GV 2021-2025.pdf, mục NĂM 2025</x:v>
      </x:c>
      <x:c r="O79" t="str"/>
    </x:row>
    <x:row r="80">
      <x:c r="A80" t="str">
        <x:v>O-2025-03-02</x:v>
      </x:c>
      <x:c r="B80" t="str">
        <x:v>P2025-03</x:v>
      </x:c>
      <x:c r="C80" t="n">
        <x:v>2025</x:v>
      </x:c>
      <x:c r="D80" t="str">
        <x:v>Báo cáo toàn văn</x:v>
      </x:c>
      <x:c r="E80" t="str">
        <x:v>Báo cáo nghiên cứu</x:v>
      </x:c>
      <x:c r="F80" t="n">
        <x:v>1</x:v>
      </x:c>
      <x:c r="G80" t="str">
        <x:v>báo cáo</x:v>
      </x:c>
      <x:c r="H80" t="str">
        <x:v>Đã nghiệm thu</x:v>
      </x:c>
      <x:c r="I80" t="str">
        <x:v>Có</x:v>
      </x:c>
      <x:c r="J80" t="str">
        <x:v>Quyền tác giả</x:v>
      </x:c>
      <x:c r="K80" t="str">
        <x:v>Thấp</x:v>
      </x:c>
      <x:c r="L80" t="str">
        <x:v>Không</x:v>
      </x:c>
      <x:c r="M80" t="str">
        <x:v>Chưa cần</x:v>
      </x:c>
      <x:c r="N80" t="str">
        <x:v>Tổng hợp đề tài KHCN cấp cơ sở của GV 2021-2025.pdf, mục NĂM 2025</x:v>
      </x:c>
      <x:c r="O80" t="str"/>
    </x:row>
    <x:row r="81">
      <x:c r="A81" t="str">
        <x:v>O-2025-04-01</x:v>
      </x:c>
      <x:c r="B81" t="str">
        <x:v>P2025-04</x:v>
      </x:c>
      <x:c r="C81" t="n">
        <x:v>2025</x:v>
      </x:c>
      <x:c r="D81" t="str">
        <x:v>Bài báo đăng trên tạp chí có chỉ số ISSN</x:v>
      </x:c>
      <x:c r="E81" t="str">
        <x:v>Bài báo</x:v>
      </x:c>
      <x:c r="F81" t="n">
        <x:v>1</x:v>
      </x:c>
      <x:c r="G81" t="str">
        <x:v>bài</x:v>
      </x:c>
      <x:c r="H81" t="str">
        <x:v>Hồ sơ trích xuất ghi nhận</x:v>
      </x:c>
      <x:c r="I81" t="str">
        <x:v>Có</x:v>
      </x:c>
      <x:c r="J81" t="str">
        <x:v>Quyền tác giả</x:v>
      </x:c>
      <x:c r="K81" t="str">
        <x:v>Thấp</x:v>
      </x:c>
      <x:c r="L81" t="str">
        <x:v>Không</x:v>
      </x:c>
      <x:c r="M81" t="str">
        <x:v>Cần đối chiếu</x:v>
      </x:c>
      <x:c r="N81" t="str">
        <x:v>Tổng hợp đề tài KHCN cấp cơ sở của GV 2021-2025.pdf, mục NĂM 2025</x:v>
      </x:c>
      <x:c r="O81" t="str"/>
    </x:row>
    <x:row r="82">
      <x:c r="A82" t="str">
        <x:v>O-2025-06-01</x:v>
      </x:c>
      <x:c r="B82" t="str">
        <x:v>P2025-06</x:v>
      </x:c>
      <x:c r="C82" t="n">
        <x:v>2025</x:v>
      </x:c>
      <x:c r="D82" t="str">
        <x:v>Bài đăng trên Tạp chí NCKH&amp;PT</x:v>
      </x:c>
      <x:c r="E82" t="str">
        <x:v>Bài báo</x:v>
      </x:c>
      <x:c r="F82" t="n">
        <x:v>1</x:v>
      </x:c>
      <x:c r="G82" t="str">
        <x:v>bài</x:v>
      </x:c>
      <x:c r="H82" t="str">
        <x:v>Hồ sơ ghi nhận</x:v>
      </x:c>
      <x:c r="I82" t="str">
        <x:v>Có</x:v>
      </x:c>
      <x:c r="J82" t="str">
        <x:v>Quyền tác giả</x:v>
      </x:c>
      <x:c r="K82" t="str">
        <x:v>Thấp</x:v>
      </x:c>
      <x:c r="L82" t="str">
        <x:v>Không</x:v>
      </x:c>
      <x:c r="M82" t="str">
        <x:v>Cần đối chiếu</x:v>
      </x:c>
      <x:c r="N82" t="str">
        <x:v>Tổng hợp đề tài KHCN cấp cơ sở của GV 2021-2025.pdf, mục NĂM 2025</x:v>
      </x:c>
      <x:c r="O82" t="str"/>
    </x:row>
    <x:row r="83">
      <x:c r="A83" t="str">
        <x:v>O-2025-06-02</x:v>
      </x:c>
      <x:c r="B83" t="str">
        <x:v>P2025-06</x:v>
      </x:c>
      <x:c r="C83" t="n">
        <x:v>2025</x:v>
      </x:c>
      <x:c r="D83" t="str">
        <x:v>Công thức bào chế sản phẩm cồn thuốc xoa bóp hỗ trợ giảm đau nhức xương khớp</x:v>
      </x:c>
      <x:c r="E83" t="str">
        <x:v>Quy trình/công thức</x:v>
      </x:c>
      <x:c r="F83" t="n">
        <x:v>1</x:v>
      </x:c>
      <x:c r="G83" t="str">
        <x:v>công thức</x:v>
      </x:c>
      <x:c r="H83" t="str">
        <x:v>Đã nghiệm thu; ghi 'công thức mới, dự kiến đăng ký GPHI'</x:v>
      </x:c>
      <x:c r="I83" t="str">
        <x:v>Có</x:v>
      </x:c>
      <x:c r="J83" t="str">
        <x:v>Giải pháp hữu ích tiềm năng</x:v>
      </x:c>
      <x:c r="K83" t="str">
        <x:v>Cao</x:v>
      </x:c>
      <x:c r="L83" t="str">
        <x:v>Có</x:v>
      </x:c>
      <x:c r="M83" t="str">
        <x:v>Chưa cần</x:v>
      </x:c>
      <x:c r="N83" t="str">
        <x:v>Tổng hợp đề tài KHCN cấp cơ sở của GV 2021-2025.pdf, mục NĂM 2025</x:v>
      </x:c>
      <x:c r="O83" t="str"/>
    </x:row>
    <x:row r="84">
      <x:c r="A84" t="str">
        <x:v>O-2025-06-03</x:v>
      </x:c>
      <x:c r="B84" t="str">
        <x:v>P2025-06</x:v>
      </x:c>
      <x:c r="C84" t="n">
        <x:v>2025</x:v>
      </x:c>
      <x:c r="D84" t="str">
        <x:v>Sản phẩm cồn xoa bóp hỗ trợ giảm đau nhức xương khớp chai 50ml</x:v>
      </x:c>
      <x:c r="E84" t="str">
        <x:v>Sản phẩm/prototype</x:v>
      </x:c>
      <x:c r="F84" t="n">
        <x:v>50</x:v>
      </x:c>
      <x:c r="G84" t="str">
        <x:v>chai</x:v>
      </x:c>
      <x:c r="H84" t="str">
        <x:v>Đã nghiệm thu</x:v>
      </x:c>
      <x:c r="I84" t="str">
        <x:v>Có</x:v>
      </x:c>
      <x:c r="J84" t="str">
        <x:v>Hiện thân của công thức/quy trình; nhãn hiệu/KDCN nếu có yếu tố riêng</x:v>
      </x:c>
      <x:c r="K84" t="str">
        <x:v>Cao</x:v>
      </x:c>
      <x:c r="L84" t="str">
        <x:v>Có</x:v>
      </x:c>
      <x:c r="M84" t="str">
        <x:v>Chưa cần</x:v>
      </x:c>
      <x:c r="N84" t="str">
        <x:v>Tổng hợp đề tài KHCN cấp cơ sở của GV 2021-2025.pdf, mục NĂM 2025</x:v>
      </x:c>
      <x:c r="O84" t="str"/>
    </x:row>
    <x:row r="85">
      <x:c r="A85" t="str">
        <x:v>O-2025-07-01</x:v>
      </x:c>
      <x:c r="B85" t="str">
        <x:v>P2025-07</x:v>
      </x:c>
      <x:c r="C85" t="n">
        <x:v>2025</x:v>
      </x:c>
      <x:c r="D85" t="str">
        <x:v>Báo cáo đề tài</x:v>
      </x:c>
      <x:c r="E85" t="str">
        <x:v>Báo cáo nghiên cứu</x:v>
      </x:c>
      <x:c r="F85" t="n">
        <x:v>1</x:v>
      </x:c>
      <x:c r="G85" t="str">
        <x:v>báo cáo</x:v>
      </x:c>
      <x:c r="H85" t="str">
        <x:v>Đã nghiệm thu</x:v>
      </x:c>
      <x:c r="I85" t="str">
        <x:v>Có</x:v>
      </x:c>
      <x:c r="J85" t="str">
        <x:v>Quyền tác giả</x:v>
      </x:c>
      <x:c r="K85" t="str">
        <x:v>Thấp</x:v>
      </x:c>
      <x:c r="L85" t="str">
        <x:v>Không</x:v>
      </x:c>
      <x:c r="M85" t="str">
        <x:v>Chưa cần</x:v>
      </x:c>
      <x:c r="N85" t="str">
        <x:v>Tổng hợp đề tài KHCN cấp cơ sở của GV 2021-2025.pdf, mục NĂM 2025</x:v>
      </x:c>
      <x:c r="O85" t="str"/>
    </x:row>
    <x:row r="86">
      <x:c r="A86" t="str">
        <x:v>O-2025-07-02</x:v>
      </x:c>
      <x:c r="B86" t="str">
        <x:v>P2025-07</x:v>
      </x:c>
      <x:c r="C86" t="n">
        <x:v>2025</x:v>
      </x:c>
      <x:c r="D86" t="str">
        <x:v>Bài báo đăng trên tạp chí tính điểm/chỉ số ISSN</x:v>
      </x:c>
      <x:c r="E86" t="str">
        <x:v>Bài báo</x:v>
      </x:c>
      <x:c r="F86" t="n">
        <x:v>1</x:v>
      </x:c>
      <x:c r="G86" t="str">
        <x:v>bài</x:v>
      </x:c>
      <x:c r="H86" t="str">
        <x:v>Hồ sơ ghi nhận</x:v>
      </x:c>
      <x:c r="I86" t="str">
        <x:v>Có</x:v>
      </x:c>
      <x:c r="J86" t="str">
        <x:v>Quyền tác giả</x:v>
      </x:c>
      <x:c r="K86" t="str">
        <x:v>Thấp</x:v>
      </x:c>
      <x:c r="L86" t="str">
        <x:v>Không</x:v>
      </x:c>
      <x:c r="M86" t="str">
        <x:v>Cần đối chiếu</x:v>
      </x:c>
      <x:c r="N86" t="str">
        <x:v>Tổng hợp đề tài KHCN cấp cơ sở của GV 2021-2025.pdf, mục NĂM 2025</x:v>
      </x:c>
      <x:c r="O86" t="str"/>
    </x:row>
    <x:row r="87">
      <x:c r="A87" t="str">
        <x:v>O-2025-07-03</x:v>
      </x:c>
      <x:c r="B87" t="str">
        <x:v>P2025-07</x:v>
      </x:c>
      <x:c r="C87" t="n">
        <x:v>2025</x:v>
      </x:c>
      <x:c r="D87" t="str">
        <x:v>Quy trình bào chế viên ngậm hỗ trợ giảm ho từ Gừng và Húng chanh</x:v>
      </x:c>
      <x:c r="E87" t="str">
        <x:v>Quy trình/công thức</x:v>
      </x:c>
      <x:c r="F87" t="n">
        <x:v>1</x:v>
      </x:c>
      <x:c r="G87" t="str">
        <x:v>quy trình</x:v>
      </x:c>
      <x:c r="H87" t="str">
        <x:v>Đã nghiệm thu; ghi 'quy trình mới, dự kiến đăng ký GPHI'</x:v>
      </x:c>
      <x:c r="I87" t="str">
        <x:v>Có</x:v>
      </x:c>
      <x:c r="J87" t="str">
        <x:v>Giải pháp hữu ích tiềm năng</x:v>
      </x:c>
      <x:c r="K87" t="str">
        <x:v>Cao</x:v>
      </x:c>
      <x:c r="L87" t="str">
        <x:v>Có</x:v>
      </x:c>
      <x:c r="M87" t="str">
        <x:v>Chưa cần</x:v>
      </x:c>
      <x:c r="N87" t="str">
        <x:v>Tổng hợp đề tài KHCN cấp cơ sở của GV 2021-2025.pdf, mục NĂM 2025</x:v>
      </x:c>
      <x:c r="O87" t="str"/>
    </x:row>
    <x:row r="88">
      <x:c r="A88" t="str">
        <x:v>O-2025-07-04</x:v>
      </x:c>
      <x:c r="B88" t="str">
        <x:v>P2025-07</x:v>
      </x:c>
      <x:c r="C88" t="n">
        <x:v>2025</x:v>
      </x:c>
      <x:c r="D88" t="str">
        <x:v>Sản phẩm bào chế viên ngậm hỗ trợ giảm ho từ Gừng và Húng chanh</x:v>
      </x:c>
      <x:c r="E88" t="str">
        <x:v>Sản phẩm/prototype</x:v>
      </x:c>
      <x:c r="F88" t="n">
        <x:v>50</x:v>
      </x:c>
      <x:c r="G88" t="str">
        <x:v>thanh/10 viên</x:v>
      </x:c>
      <x:c r="H88" t="str">
        <x:v>Đã nghiệm thu</x:v>
      </x:c>
      <x:c r="I88" t="str">
        <x:v>Có</x:v>
      </x:c>
      <x:c r="J88" t="str">
        <x:v>Hiện thân của quy trình/công thức; nhãn hiệu/KDCN nếu có yếu tố riêng</x:v>
      </x:c>
      <x:c r="K88" t="str">
        <x:v>Cao</x:v>
      </x:c>
      <x:c r="L88" t="str">
        <x:v>Có</x:v>
      </x:c>
      <x:c r="M88" t="str">
        <x:v>Chưa cần</x:v>
      </x:c>
      <x:c r="N88" t="str">
        <x:v>Tổng hợp đề tài KHCN cấp cơ sở của GV 2021-2025.pdf, mục NĂM 2025</x:v>
      </x:c>
      <x:c r="O88" t="str"/>
    </x:row>
    <x:row r="89">
      <x:c r="A89" t="str">
        <x:v>O-2025-09-01</x:v>
      </x:c>
      <x:c r="B89" t="str">
        <x:v>P2025-09</x:v>
      </x:c>
      <x:c r="C89" t="n">
        <x:v>2025</x:v>
      </x:c>
      <x:c r="D89" t="str">
        <x:v>Báo cáo đề tài - Giai đoạn 1</x:v>
      </x:c>
      <x:c r="E89" t="str">
        <x:v>Báo cáo nghiên cứu</x:v>
      </x:c>
      <x:c r="F89" t="n">
        <x:v>1</x:v>
      </x:c>
      <x:c r="G89" t="str">
        <x:v>báo cáo</x:v>
      </x:c>
      <x:c r="H89" t="str">
        <x:v>Đã nghiệm thu giai đoạn 1</x:v>
      </x:c>
      <x:c r="I89" t="str">
        <x:v>Có</x:v>
      </x:c>
      <x:c r="J89" t="str">
        <x:v>Quyền tác giả</x:v>
      </x:c>
      <x:c r="K89" t="str">
        <x:v>Thấp</x:v>
      </x:c>
      <x:c r="L89" t="str">
        <x:v>Không</x:v>
      </x:c>
      <x:c r="M89" t="str">
        <x:v>Chưa cần</x:v>
      </x:c>
      <x:c r="N89" t="str">
        <x:v>Tổng hợp đề tài KHCN cấp cơ sở của GV 2021-2025.pdf, mục NĂM 2025</x:v>
      </x:c>
      <x:c r="O89" t="str"/>
    </x:row>
    <x:row r="90">
      <x:c r="A90" t="str">
        <x:v>O-2025-09-02</x:v>
      </x:c>
      <x:c r="B90" t="str">
        <x:v>P2025-09</x:v>
      </x:c>
      <x:c r="C90" t="n">
        <x:v>2025</x:v>
      </x:c>
      <x:c r="D90" t="str">
        <x:v>Tạp chí có chỉ số ISSN/kỷ yếu hội thảo có chỉ số ISBN - Giai đoạn 1</x:v>
      </x:c>
      <x:c r="E90" t="str">
        <x:v>Công bố khoa học</x:v>
      </x:c>
      <x:c r="F90" t="n">
        <x:v>1</x:v>
      </x:c>
      <x:c r="G90" t="str">
        <x:v>công bố</x:v>
      </x:c>
      <x:c r="H90" t="str">
        <x:v>Hồ sơ ghi nhận</x:v>
      </x:c>
      <x:c r="I90" t="str">
        <x:v>Có</x:v>
      </x:c>
      <x:c r="J90" t="str">
        <x:v>Quyền tác giả</x:v>
      </x:c>
      <x:c r="K90" t="str">
        <x:v>Thấp</x:v>
      </x:c>
      <x:c r="L90" t="str">
        <x:v>Không</x:v>
      </x:c>
      <x:c r="M90" t="str">
        <x:v>Cần đối chiếu</x:v>
      </x:c>
      <x:c r="N90" t="str">
        <x:v>Tổng hợp đề tài KHCN cấp cơ sở của GV 2021-2025.pdf, mục NĂM 2025</x:v>
      </x:c>
      <x:c r="O90" t="str"/>
    </x:row>
    <x:row r="91">
      <x:c r="A91" t="str">
        <x:v>O-2025-09-03</x:v>
      </x:c>
      <x:c r="B91" t="str">
        <x:v>P2025-09</x:v>
      </x:c>
      <x:c r="C91" t="n">
        <x:v>2025</x:v>
      </x:c>
      <x:c r="D91" t="str">
        <x:v>Sáng chế - Giai đoạn 2</x:v>
      </x:c>
      <x:c r="E91" t="str">
        <x:v>Sáng chế dự kiến</x:v>
      </x:c>
      <x:c r="F91" t="n">
        <x:v>1</x:v>
      </x:c>
      <x:c r="G91" t="str">
        <x:v>đầu ra dự kiến</x:v>
      </x:c>
      <x:c r="H91" t="str">
        <x:v>Kế hoạch giai đoạn 2; chưa có bằng chứng nộp/cấp</x:v>
      </x:c>
      <x:c r="I91" t="str">
        <x:v>Có</x:v>
      </x:c>
      <x:c r="J91" t="str">
        <x:v>Sáng chế - cần xác minh giai đoạn và hồ sơ đơn</x:v>
      </x:c>
      <x:c r="K91" t="str">
        <x:v>Cao</x:v>
      </x:c>
      <x:c r="L91" t="str">
        <x:v>Dự kiến</x:v>
      </x:c>
      <x:c r="M91" t="str">
        <x:v>Chưa cần</x:v>
      </x:c>
      <x:c r="N91" t="str">
        <x:v>Tổng hợp đề tài KHCN cấp cơ sở của GV 2021-2025.pdf, mục NĂM 2025</x:v>
      </x:c>
      <x:c r="O91" t="str"/>
    </x:row>
  </x:sheetData>
  <x:dataValidations count="1">
    <x:dataValidation type="list" sqref="K2:K500">
      <x:formula1>"Thấp,Trung bình,Cao"</x:formula1>
    </x:dataValidation>
  </x:dataValidations>
  <x:pageMargins left="0.7" right="0.7" top="0.75" bottom="0.75" header="0.3" footer="0.3"/>
  <x:tableParts count="1">
    <x:tablePart xmlns:r="http://schemas.openxmlformats.org/officeDocument/2006/relationships" r:id="R6dac424aa2fa4ac2"/>
  </x:tableParts>
</x:worksheet>
</file>

<file path=xl/worksheets/sheet13.xml><?xml version="1.0" encoding="utf-8"?>
<x:worksheet xmlns:x="http://schemas.openxmlformats.org/spreadsheetml/2006/main">
  <x:sheetFormatPr defaultRowHeight="15"/>
  <x:cols>
    <x:col min="1" max="1" width="15" hidden="0" customWidth="1"/>
    <x:col min="2" max="2" width="18" hidden="0" customWidth="1"/>
    <x:col min="3" max="3" width="14" hidden="0" customWidth="1"/>
    <x:col min="4" max="4" width="8" hidden="0" customWidth="1"/>
    <x:col min="5" max="5" width="58" hidden="0" customWidth="1"/>
    <x:col min="6" max="6" width="25" hidden="0" customWidth="1"/>
    <x:col min="7" max="7" width="14" hidden="0" customWidth="1"/>
    <x:col min="8" max="8" width="46" hidden="0" customWidth="1"/>
    <x:col min="9" max="9" width="16" hidden="0" customWidth="1"/>
    <x:col min="10" max="10" width="20" hidden="0" customWidth="1"/>
    <x:col min="11" max="11" width="18" hidden="0" customWidth="1"/>
    <x:col min="12" max="12" width="22" hidden="0" customWidth="1"/>
    <x:col min="13" max="13" width="58" hidden="0" customWidth="1"/>
    <x:col min="14" max="14" width="48" hidden="0" customWidth="1"/>
    <x:col min="15" max="15" width="34" hidden="0" customWidth="1"/>
  </x:cols>
  <x:sheetData>
    <x:row r="1">
      <x:c r="A1" s="39" t="str">
        <x:v>Priority_IP_ID</x:v>
      </x:c>
      <x:c r="B1" s="39" t="str">
        <x:v>Output_ID</x:v>
      </x:c>
      <x:c r="C1" s="39" t="str">
        <x:v>Project_ID</x:v>
      </x:c>
      <x:c r="D1" s="39" t="str">
        <x:v>Năm</x:v>
      </x:c>
      <x:c r="E1" s="39" t="str">
        <x:v>TSTT/đầu ra ưu tiên</x:v>
      </x:c>
      <x:c r="F1" s="39" t="str">
        <x:v>Loại đầu ra</x:v>
      </x:c>
      <x:c r="G1" s="39" t="str">
        <x:v>Mức ưu tiên</x:v>
      </x:c>
      <x:c r="H1" s="39" t="str">
        <x:v>Hình thức quyền/biện pháp sơ bộ</x:v>
      </x:c>
      <x:c r="I1" s="39" t="str">
        <x:v>Dấu hiệu ứng dụng</x:v>
      </x:c>
      <x:c r="J1" s="39" t="str">
        <x:v>Đã nhận diện chính thức?</x:v>
      </x:c>
      <x:c r="K1" s="39" t="str">
        <x:v>Đã sàng lọc IP?</x:v>
      </x:c>
      <x:c r="L1" s="39" t="str">
        <x:v>Chủ sở hữu đã xác minh?</x:v>
      </x:c>
      <x:c r="M1" s="39" t="str">
        <x:v>Hành động đề xuất</x:v>
      </x:c>
      <x:c r="N1" s="39" t="str">
        <x:v>Nguồn</x:v>
      </x:c>
      <x:c r="O1" s="39" t="str">
        <x:v>Trạng thái bằng chứng</x:v>
      </x:c>
    </x:row>
    <x:row r="2">
      <x:c r="A2" t="str">
        <x:v>PRI-001</x:v>
      </x:c>
      <x:c r="B2" t="str">
        <x:v>O-2022-01-01</x:v>
      </x:c>
      <x:c r="C2" t="str">
        <x:v>P2022-01</x:v>
      </x:c>
      <x:c r="D2" t="n">
        <x:v>2022</x:v>
      </x:c>
      <x:c r="E2" t="str">
        <x:v>Tạp chí Nghiên cứu khoa học và phát triển thuộc Trường Đại học Thành Đô</x:v>
      </x:c>
      <x:c r="F2" t="str">
        <x:v>Sản phẩm tổ chức/hạ tầng học thuật</x:v>
      </x:c>
      <x:c r="G2" t="str">
        <x:v>Trung bình</x:v>
      </x:c>
      <x:c r="H2" t="str">
        <x:v>Tên/nhãn hiệu, nội dung tạp chí, quy trình vận hành - cần tách quyền</x:v>
      </x:c>
      <x:c r="I2" t="str">
        <x:v>Có</x:v>
      </x:c>
      <x:c r="J2" t="str">
        <x:v>Chưa kiểm tra</x:v>
      </x:c>
      <x:c r="K2" t="str">
        <x:v>Chưa kiểm tra</x:v>
      </x:c>
      <x:c r="L2" t="str">
        <x:v>Chưa kiểm tra</x:v>
      </x:c>
      <x:c r="M2" t="str">
        <x:v>Tách quyền đối với tên/nhãn hiệu, nội dung, quy trình vận hành; xác minh chủ sở hữu và cơ chế khai thác.</x:v>
      </x:c>
      <x:c r="N2" t="str">
        <x:v>Tổng hợp đề tài KHCN cấp cơ sở của GV 2021-2025.pdf, tr.2</x:v>
      </x:c>
      <x:c r="O2" t="str">
        <x:v>Đã nghiệm thu</x:v>
      </x:c>
    </x:row>
    <x:row r="3">
      <x:c r="A3" t="str">
        <x:v>PRI-002</x:v>
      </x:c>
      <x:c r="B3" t="str">
        <x:v>O-2022-02-01</x:v>
      </x:c>
      <x:c r="C3" t="str">
        <x:v>P2022-02</x:v>
      </x:c>
      <x:c r="D3" t="n">
        <x:v>2022</x:v>
      </x:c>
      <x:c r="E3" t="str">
        <x:v>Quy chế tuyển sinh và đào tạo trình độ thạc sĩ tại Trường Đại học Thành Đô</x:v>
      </x:c>
      <x:c r="F3" t="str">
        <x:v>Văn bản/quy trình quản trị</x:v>
      </x:c>
      <x:c r="G3" t="str">
        <x:v>Trung bình</x:v>
      </x:c>
      <x:c r="H3" t="str">
        <x:v>Quyền tác giả đối với hình thức thể hiện; tri thức/quy trình quản trị</x:v>
      </x:c>
      <x:c r="I3" t="str">
        <x:v>Có</x:v>
      </x:c>
      <x:c r="J3" t="str">
        <x:v>Chưa kiểm tra</x:v>
      </x:c>
      <x:c r="K3" t="str">
        <x:v>Chưa kiểm tra</x:v>
      </x:c>
      <x:c r="L3" t="str">
        <x:v>Chưa kiểm tra</x:v>
      </x:c>
      <x:c r="M3" t="str">
        <x:v>Tài liệu hóa phương pháp/quy trình, xác định chủ sở hữu và bằng chứng sử dụng; xem xét quyền tác giả/know-how và giá trị ứng dụng.</x:v>
      </x:c>
      <x:c r="N3" t="str">
        <x:v>Tổng hợp đề tài KHCN cấp cơ sở của GV 2021-2025.pdf, tr.2</x:v>
      </x:c>
      <x:c r="O3" t="str">
        <x:v>Đã nghiệm thu</x:v>
      </x:c>
    </x:row>
    <x:row r="4">
      <x:c r="A4" t="str">
        <x:v>PRI-003</x:v>
      </x:c>
      <x:c r="B4" t="str">
        <x:v>O-2022-37-02</x:v>
      </x:c>
      <x:c r="C4" t="str">
        <x:v>P2022-37</x:v>
      </x:c>
      <x:c r="D4" t="n">
        <x:v>2022</x:v>
      </x:c>
      <x:c r="E4" t="str">
        <x:v>Mô hình kiểm tra và sửa chữa hệ thống khởi động điện trên ô tô</x:v>
      </x:c>
      <x:c r="F4" t="str">
        <x:v>Mô hình/prototype</x:v>
      </x:c>
      <x:c r="G4" t="str">
        <x:v>Cao</x:v>
      </x:c>
      <x:c r="H4" t="str">
        <x:v>Giải pháp kỹ thuật/KDCN/know-how - cần sàng lọc</x:v>
      </x:c>
      <x:c r="I4" t="str">
        <x:v>Có</x:v>
      </x:c>
      <x:c r="J4" t="str">
        <x:v>Chưa kiểm tra</x:v>
      </x:c>
      <x:c r="K4" t="str">
        <x:v>Chưa kiểm tra</x:v>
      </x:c>
      <x:c r="L4" t="str">
        <x:v>Chưa kiểm tra</x:v>
      </x:c>
      <x:c r="M4" t="str">
        <x:v>Rà soát tính mới/trình độ sáng tạo/khả năng áp dụng; kiểm tra công bố trước bảo hộ, chủ sở hữu và lựa chọn sáng chế/GPHI/BMKD/KDCN phù hợp.</x:v>
      </x:c>
      <x:c r="N4" t="str">
        <x:v>Tổng hợp đề tài KHCN cấp cơ sở của GV 2021-2025.pdf, tr.3</x:v>
      </x:c>
      <x:c r="O4" t="str">
        <x:v>Đã nghiệm thu</x:v>
      </x:c>
    </x:row>
    <x:row r="5">
      <x:c r="A5" t="str">
        <x:v>PRI-004</x:v>
      </x:c>
      <x:c r="B5" t="str">
        <x:v>O-2022-39-02</x:v>
      </x:c>
      <x:c r="C5" t="str">
        <x:v>P2022-39</x:v>
      </x:c>
      <x:c r="D5" t="n">
        <x:v>2022</x:v>
      </x:c>
      <x:c r="E5" t="str">
        <x:v>Sản phẩm cầm máu ở dạng màng</x:v>
      </x:c>
      <x:c r="F5" t="str">
        <x:v>Sản phẩm/prototype</x:v>
      </x:c>
      <x:c r="G5" t="str">
        <x:v>Cao</x:v>
      </x:c>
      <x:c r="H5" t="str">
        <x:v>Giải pháp kỹ thuật/sáng chế-GPHI/know-how - cần sàng lọc</x:v>
      </x:c>
      <x:c r="I5" t="str">
        <x:v>Có</x:v>
      </x:c>
      <x:c r="J5" t="str">
        <x:v>Chưa kiểm tra</x:v>
      </x:c>
      <x:c r="K5" t="str">
        <x:v>Chưa kiểm tra</x:v>
      </x:c>
      <x:c r="L5" t="str">
        <x:v>Chưa kiểm tra</x:v>
      </x:c>
      <x:c r="M5" t="str">
        <x:v>Rà soát tính mới/trình độ sáng tạo/khả năng áp dụng; kiểm tra công bố trước bảo hộ, chủ sở hữu và lựa chọn sáng chế/GPHI/BMKD/KDCN phù hợp.</x:v>
      </x:c>
      <x:c r="N5" t="str">
        <x:v>Tổng hợp đề tài KHCN cấp cơ sở của GV 2021-2025.pdf, tr.3</x:v>
      </x:c>
      <x:c r="O5" t="str">
        <x:v>Đã nghiệm thu</x:v>
      </x:c>
    </x:row>
    <x:row r="6">
      <x:c r="A6" t="str">
        <x:v>PRI-005</x:v>
      </x:c>
      <x:c r="B6" t="str">
        <x:v>O-2022-40-02</x:v>
      </x:c>
      <x:c r="C6" t="str">
        <x:v>P2022-40</x:v>
      </x:c>
      <x:c r="D6" t="n">
        <x:v>2022</x:v>
      </x:c>
      <x:c r="E6" t="str">
        <x:v>Bộ mẫu cây thuốc</x:v>
      </x:c>
      <x:c r="F6" t="str">
        <x:v>Bộ mẫu/collection</x:v>
      </x:c>
      <x:c r="G6" t="str">
        <x:v>Trung bình</x:v>
      </x:c>
      <x:c r="H6" t="str">
        <x:v>Tác phẩm sưu tập/CSDL/học liệu - cần xác định cấu trúc</x:v>
      </x:c>
      <x:c r="I6" t="str">
        <x:v>Có</x:v>
      </x:c>
      <x:c r="J6" t="str">
        <x:v>Chưa kiểm tra</x:v>
      </x:c>
      <x:c r="K6" t="str">
        <x:v>Chưa kiểm tra</x:v>
      </x:c>
      <x:c r="L6" t="str">
        <x:v>Chưa kiểm tra</x:v>
      </x:c>
      <x:c r="M6" t="str">
        <x:v>Xác định cấu trúc sáng tạo, quyền tác giả/CSDL nếu phù hợp; đo mức sử dụng trong đào tạo và chi phí thay thế.</x:v>
      </x:c>
      <x:c r="N6" t="str">
        <x:v>Tổng hợp đề tài KHCN cấp cơ sở của GV 2021-2025.pdf, tr.3</x:v>
      </x:c>
      <x:c r="O6" t="str">
        <x:v>Đã nghiệm thu</x:v>
      </x:c>
    </x:row>
    <x:row r="7">
      <x:c r="A7" t="str">
        <x:v>PRI-006</x:v>
      </x:c>
      <x:c r="B7" t="str">
        <x:v>O-2023-01-03</x:v>
      </x:c>
      <x:c r="C7" t="str">
        <x:v>P2023-01</x:v>
      </x:c>
      <x:c r="D7" t="n">
        <x:v>2023</x:v>
      </x:c>
      <x:c r="E7" t="str">
        <x:v>Giải pháp bồi dưỡng phương pháp tư duy biện chứng Hồ Chí Minh cho sinh viên Trường Đại học Thành Đô</x:v>
      </x:c>
      <x:c r="F7" t="str">
        <x:v>Giải pháp/phương pháp ứng dụng</x:v>
      </x:c>
      <x:c r="G7" t="str">
        <x:v>Trung bình</x:v>
      </x:c>
      <x:c r="H7" t="str">
        <x:v>Quyền tác giả/know-how phương pháp giáo dục</x:v>
      </x:c>
      <x:c r="I7" t="str">
        <x:v>Có</x:v>
      </x:c>
      <x:c r="J7" t="str">
        <x:v>Chưa kiểm tra</x:v>
      </x:c>
      <x:c r="K7" t="str">
        <x:v>Chưa kiểm tra</x:v>
      </x:c>
      <x:c r="L7" t="str">
        <x:v>Chưa kiểm tra</x:v>
      </x:c>
      <x:c r="M7" t="str">
        <x:v>Tài liệu hóa phương pháp/quy trình, xác định chủ sở hữu và bằng chứng sử dụng; xem xét quyền tác giả/know-how và giá trị ứng dụng.</x:v>
      </x:c>
      <x:c r="N7" t="str">
        <x:v>Tổng hợp đề tài KHCN cấp cơ sở của GV 2021-2025.pdf, tr.4</x:v>
      </x:c>
      <x:c r="O7" t="str">
        <x:v>Hồ sơ ghi ứng dụng tại Trường</x:v>
      </x:c>
    </x:row>
    <x:row r="8">
      <x:c r="A8" t="str">
        <x:v>PRI-007</x:v>
      </x:c>
      <x:c r="B8" t="str">
        <x:v>O-2023-02-03</x:v>
      </x:c>
      <x:c r="C8" t="str">
        <x:v>P2023-02</x:v>
      </x:c>
      <x:c r="D8" t="n">
        <x:v>2023</x:v>
      </x:c>
      <x:c r="E8" t="str">
        <x:v>Giải pháp nâng cao chất lượng đào tạo học phần Thực hành hướng dẫn du lịch tại Trường Đại học Thành Đô</x:v>
      </x:c>
      <x:c r="F8" t="str">
        <x:v>Giải pháp/phương pháp ứng dụng</x:v>
      </x:c>
      <x:c r="G8" t="str">
        <x:v>Trung bình</x:v>
      </x:c>
      <x:c r="H8" t="str">
        <x:v>Quyền tác giả/know-how phương pháp đào tạo</x:v>
      </x:c>
      <x:c r="I8" t="str">
        <x:v>Có</x:v>
      </x:c>
      <x:c r="J8" t="str">
        <x:v>Chưa kiểm tra</x:v>
      </x:c>
      <x:c r="K8" t="str">
        <x:v>Chưa kiểm tra</x:v>
      </x:c>
      <x:c r="L8" t="str">
        <x:v>Chưa kiểm tra</x:v>
      </x:c>
      <x:c r="M8" t="str">
        <x:v>Tài liệu hóa phương pháp/quy trình, xác định chủ sở hữu và bằng chứng sử dụng; xem xét quyền tác giả/know-how và giá trị ứng dụng.</x:v>
      </x:c>
      <x:c r="N8" t="str">
        <x:v>Tổng hợp đề tài KHCN cấp cơ sở của GV 2021-2025.pdf, tr.4</x:v>
      </x:c>
      <x:c r="O8" t="str">
        <x:v>Hồ sơ ghi ứng dụng tại Trường</x:v>
      </x:c>
    </x:row>
    <x:row r="9">
      <x:c r="A9" t="str">
        <x:v>PRI-008</x:v>
      </x:c>
      <x:c r="B9" t="str">
        <x:v>O-2023-03-03</x:v>
      </x:c>
      <x:c r="C9" t="str">
        <x:v>P2023-03</x:v>
      </x:c>
      <x:c r="D9" t="n">
        <x:v>2023</x:v>
      </x:c>
      <x:c r="E9" t="str">
        <x:v>Phương pháp giảng dạy giúp sinh viên tự học nhằm nâng cao chất lượng học tập</x:v>
      </x:c>
      <x:c r="F9" t="str">
        <x:v>Giải pháp/phương pháp ứng dụng</x:v>
      </x:c>
      <x:c r="G9" t="str">
        <x:v>Trung bình</x:v>
      </x:c>
      <x:c r="H9" t="str">
        <x:v>Quyền tác giả/know-how phương pháp giáo dục</x:v>
      </x:c>
      <x:c r="I9" t="str">
        <x:v>Có</x:v>
      </x:c>
      <x:c r="J9" t="str">
        <x:v>Chưa kiểm tra</x:v>
      </x:c>
      <x:c r="K9" t="str">
        <x:v>Chưa kiểm tra</x:v>
      </x:c>
      <x:c r="L9" t="str">
        <x:v>Chưa kiểm tra</x:v>
      </x:c>
      <x:c r="M9" t="str">
        <x:v>Tài liệu hóa phương pháp/quy trình, xác định chủ sở hữu và bằng chứng sử dụng; xem xét quyền tác giả/know-how và giá trị ứng dụng.</x:v>
      </x:c>
      <x:c r="N9" t="str">
        <x:v>Tổng hợp đề tài KHCN cấp cơ sở của GV 2021-2025.pdf, tr.5</x:v>
      </x:c>
      <x:c r="O9" t="str">
        <x:v>Hồ sơ ghi ứng dụng tại Trường</x:v>
      </x:c>
    </x:row>
    <x:row r="10">
      <x:c r="A10" t="str">
        <x:v>PRI-009</x:v>
      </x:c>
      <x:c r="B10" t="str">
        <x:v>O-2023-04-03</x:v>
      </x:c>
      <x:c r="C10" t="str">
        <x:v>P2023-04</x:v>
      </x:c>
      <x:c r="D10" t="n">
        <x:v>2023</x:v>
      </x:c>
      <x:c r="E10" t="str">
        <x:v>Ứng dụng flipped classroom cho sinh viên</x:v>
      </x:c>
      <x:c r="F10" t="str">
        <x:v>Giải pháp/phương pháp ứng dụng</x:v>
      </x:c>
      <x:c r="G10" t="str">
        <x:v>Trung bình</x:v>
      </x:c>
      <x:c r="H10" t="str">
        <x:v>Quyền tác giả/know-how phương pháp giáo dục</x:v>
      </x:c>
      <x:c r="I10" t="str">
        <x:v>Có</x:v>
      </x:c>
      <x:c r="J10" t="str">
        <x:v>Chưa kiểm tra</x:v>
      </x:c>
      <x:c r="K10" t="str">
        <x:v>Chưa kiểm tra</x:v>
      </x:c>
      <x:c r="L10" t="str">
        <x:v>Chưa kiểm tra</x:v>
      </x:c>
      <x:c r="M10" t="str">
        <x:v>Tài liệu hóa phương pháp/quy trình, xác định chủ sở hữu và bằng chứng sử dụng; xem xét quyền tác giả/know-how và giá trị ứng dụng.</x:v>
      </x:c>
      <x:c r="N10" t="str">
        <x:v>Tổng hợp đề tài KHCN cấp cơ sở của GV 2021-2025.pdf, tr.5</x:v>
      </x:c>
      <x:c r="O10" t="str">
        <x:v>Hồ sơ ghi ứng dụng tại Trường</x:v>
      </x:c>
    </x:row>
    <x:row r="11">
      <x:c r="A11" t="str">
        <x:v>PRI-010</x:v>
      </x:c>
      <x:c r="B11" t="str">
        <x:v>O-2023-05-03</x:v>
      </x:c>
      <x:c r="C11" t="str">
        <x:v>P2023-05</x:v>
      </x:c>
      <x:c r="D11" t="n">
        <x:v>2023</x:v>
      </x:c>
      <x:c r="E11" t="str">
        <x:v>Tài liệu/giải pháp tham khảo xây dựng chính sách và Quy chế hoạt động KHCN</x:v>
      </x:c>
      <x:c r="F11" t="str">
        <x:v>Giải pháp/phương pháp ứng dụng</x:v>
      </x:c>
      <x:c r="G11" t="str">
        <x:v>Trung bình</x:v>
      </x:c>
      <x:c r="H11" t="str">
        <x:v>Quyền tác giả/know-how quản trị</x:v>
      </x:c>
      <x:c r="I11" t="str">
        <x:v>Có</x:v>
      </x:c>
      <x:c r="J11" t="str">
        <x:v>Chưa kiểm tra</x:v>
      </x:c>
      <x:c r="K11" t="str">
        <x:v>Chưa kiểm tra</x:v>
      </x:c>
      <x:c r="L11" t="str">
        <x:v>Chưa kiểm tra</x:v>
      </x:c>
      <x:c r="M11" t="str">
        <x:v>Tài liệu hóa phương pháp/quy trình, xác định chủ sở hữu và bằng chứng sử dụng; xem xét quyền tác giả/know-how và giá trị ứng dụng.</x:v>
      </x:c>
      <x:c r="N11" t="str">
        <x:v>Tổng hợp đề tài KHCN cấp cơ sở của GV 2021-2025.pdf, tr.6</x:v>
      </x:c>
      <x:c r="O11" t="str">
        <x:v>Hồ sơ ghi khả năng ứng dụng</x:v>
      </x:c>
    </x:row>
    <x:row r="12">
      <x:c r="A12" t="str">
        <x:v>PRI-011</x:v>
      </x:c>
      <x:c r="B12" t="str">
        <x:v>O-2023-07-03</x:v>
      </x:c>
      <x:c r="C12" t="str">
        <x:v>P2023-07</x:v>
      </x:c>
      <x:c r="D12" t="n">
        <x:v>2023</x:v>
      </x:c>
      <x:c r="E12" t="str">
        <x:v>Giải pháp nâng cao nhận thức pháp luật cho sinh viên</x:v>
      </x:c>
      <x:c r="F12" t="str">
        <x:v>Giải pháp/phương pháp ứng dụng</x:v>
      </x:c>
      <x:c r="G12" t="str">
        <x:v>Trung bình</x:v>
      </x:c>
      <x:c r="H12" t="str">
        <x:v>Quyền tác giả/know-how giáo dục pháp luật</x:v>
      </x:c>
      <x:c r="I12" t="str">
        <x:v>Có</x:v>
      </x:c>
      <x:c r="J12" t="str">
        <x:v>Chưa kiểm tra</x:v>
      </x:c>
      <x:c r="K12" t="str">
        <x:v>Chưa kiểm tra</x:v>
      </x:c>
      <x:c r="L12" t="str">
        <x:v>Chưa kiểm tra</x:v>
      </x:c>
      <x:c r="M12" t="str">
        <x:v>Tài liệu hóa phương pháp/quy trình, xác định chủ sở hữu và bằng chứng sử dụng; xem xét quyền tác giả/know-how và giá trị ứng dụng.</x:v>
      </x:c>
      <x:c r="N12" t="str">
        <x:v>Tổng hợp đề tài KHCN cấp cơ sở của GV 2021-2025.pdf, tr.6</x:v>
      </x:c>
      <x:c r="O12" t="str">
        <x:v>Hồ sơ ghi ứng dụng tại Trường</x:v>
      </x:c>
    </x:row>
    <x:row r="13">
      <x:c r="A13" t="str">
        <x:v>PRI-012</x:v>
      </x:c>
      <x:c r="B13" t="str">
        <x:v>O-2023-08-02</x:v>
      </x:c>
      <x:c r="C13" t="str">
        <x:v>P2023-08</x:v>
      </x:c>
      <x:c r="D13" t="n">
        <x:v>2023</x:v>
      </x:c>
      <x:c r="E13" t="str">
        <x:v>Tinh dầu Citrus grandis (L.) Osbeck 100ml</x:v>
      </x:c>
      <x:c r="F13" t="str">
        <x:v>Sản phẩm/prototype</x:v>
      </x:c>
      <x:c r="G13" t="str">
        <x:v>Cao</x:v>
      </x:c>
      <x:c r="H13" t="str">
        <x:v>Hiện thân của quy trình/know-how; có thể sàng lọc sáng chế-GPHI</x:v>
      </x:c>
      <x:c r="I13" t="str">
        <x:v>Có</x:v>
      </x:c>
      <x:c r="J13" t="str">
        <x:v>Chưa kiểm tra</x:v>
      </x:c>
      <x:c r="K13" t="str">
        <x:v>Chưa kiểm tra</x:v>
      </x:c>
      <x:c r="L13" t="str">
        <x:v>Chưa kiểm tra</x:v>
      </x:c>
      <x:c r="M13" t="str">
        <x:v>Rà soát tính mới/trình độ sáng tạo/khả năng áp dụng; kiểm tra công bố trước bảo hộ, chủ sở hữu và lựa chọn sáng chế/GPHI/BMKD/KDCN phù hợp.</x:v>
      </x:c>
      <x:c r="N13" t="str">
        <x:v>Tổng hợp đề tài KHCN cấp cơ sở của GV 2021-2025.pdf, tr.7</x:v>
      </x:c>
      <x:c r="O13" t="str">
        <x:v>Đã nghiệm thu</x:v>
      </x:c>
    </x:row>
    <x:row r="14">
      <x:c r="A14" t="str">
        <x:v>PRI-013</x:v>
      </x:c>
      <x:c r="B14" t="str">
        <x:v>O-2023-08-03</x:v>
      </x:c>
      <x:c r="C14" t="str">
        <x:v>P2023-08</x:v>
      </x:c>
      <x:c r="D14" t="n">
        <x:v>2023</x:v>
      </x:c>
      <x:c r="E14" t="str">
        <x:v>Sản phẩm chuyển giao công nghệ cho Trường Đại học Thành Đô thương mại hóa</x:v>
      </x:c>
      <x:c r="F14" t="str">
        <x:v>Kết quả khai thác/chuyển giao</x:v>
      </x:c>
      <x:c r="G14" t="str">
        <x:v>Cao</x:v>
      </x:c>
      <x:c r="H14" t="str">
        <x:v>Cần xác định TSTT gốc và hình thức chuyển giao</x:v>
      </x:c>
      <x:c r="I14" t="str">
        <x:v>Có</x:v>
      </x:c>
      <x:c r="J14" t="str">
        <x:v>Chưa kiểm tra</x:v>
      </x:c>
      <x:c r="K14" t="str">
        <x:v>Chưa kiểm tra</x:v>
      </x:c>
      <x:c r="L14" t="str">
        <x:v>Chưa kiểm tra</x:v>
      </x:c>
      <x:c r="M14" t="str">
        <x:v>Xác minh TSTT gốc, chủ sở hữu, hợp đồng/biên bản chuyển giao, đối tác, doanh thu và phạm vi quyền.</x:v>
      </x:c>
      <x:c r="N14" t="str">
        <x:v>Tổng hợp đề tài KHCN cấp cơ sở của GV 2021-2025.pdf, tr.7</x:v>
      </x:c>
      <x:c r="O14" t="str">
        <x:v>Hồ sơ ghi nhận</x:v>
      </x:c>
    </x:row>
    <x:row r="15">
      <x:c r="A15" t="str">
        <x:v>PRI-014</x:v>
      </x:c>
      <x:c r="B15" t="str">
        <x:v>O-2024-06-02</x:v>
      </x:c>
      <x:c r="C15" t="str">
        <x:v>P2024-06</x:v>
      </x:c>
      <x:c r="D15" t="n">
        <x:v>2024</x:v>
      </x:c>
      <x:c r="E15" t="str">
        <x:v>Bánh xà phòng hữu cơ tảo biển 60 gam</x:v>
      </x:c>
      <x:c r="F15" t="str">
        <x:v>Sản phẩm/prototype</x:v>
      </x:c>
      <x:c r="G15" t="str">
        <x:v>Cao</x:v>
      </x:c>
      <x:c r="H15" t="str">
        <x:v>Hiện thân của công thức/quy trình; nhãn hiệu/KDCN nếu có dấu hiệu riêng</x:v>
      </x:c>
      <x:c r="I15" t="str">
        <x:v>Có</x:v>
      </x:c>
      <x:c r="J15" t="str">
        <x:v>Chưa kiểm tra</x:v>
      </x:c>
      <x:c r="K15" t="str">
        <x:v>Chưa kiểm tra</x:v>
      </x:c>
      <x:c r="L15" t="str">
        <x:v>Chưa kiểm tra</x:v>
      </x:c>
      <x:c r="M15" t="str">
        <x:v>Rà soát tính mới/trình độ sáng tạo/khả năng áp dụng; kiểm tra công bố trước bảo hộ, chủ sở hữu và lựa chọn sáng chế/GPHI/BMKD/KDCN phù hợp.</x:v>
      </x:c>
      <x:c r="N15" t="str">
        <x:v>Tổng hợp đề tài KHCN cấp cơ sở của GV 2021-2025.pdf, tr.7</x:v>
      </x:c>
      <x:c r="O15" t="str">
        <x:v>Đã nghiệm thu</x:v>
      </x:c>
    </x:row>
    <x:row r="16">
      <x:c r="A16" t="str">
        <x:v>PRI-015</x:v>
      </x:c>
      <x:c r="B16" t="str">
        <x:v>O-2024-06-03</x:v>
      </x:c>
      <x:c r="C16" t="str">
        <x:v>P2024-06</x:v>
      </x:c>
      <x:c r="D16" t="n">
        <x:v>2024</x:v>
      </x:c>
      <x:c r="E16" t="str">
        <x:v>Quy trình sản xuất và công thức xà phòng hữu cơ tảo biển</x:v>
      </x:c>
      <x:c r="F16" t="str">
        <x:v>Quy trình/công thức</x:v>
      </x:c>
      <x:c r="G16" t="str">
        <x:v>Cao</x:v>
      </x:c>
      <x:c r="H16" t="str">
        <x:v>Sáng chế/GPHI hoặc bí mật kinh doanh - cần sàng lọc</x:v>
      </x:c>
      <x:c r="I16" t="str">
        <x:v>Có</x:v>
      </x:c>
      <x:c r="J16" t="str">
        <x:v>Chưa kiểm tra</x:v>
      </x:c>
      <x:c r="K16" t="str">
        <x:v>Chưa kiểm tra</x:v>
      </x:c>
      <x:c r="L16" t="str">
        <x:v>Chưa kiểm tra</x:v>
      </x:c>
      <x:c r="M16" t="str">
        <x:v>Rà soát tính mới/trình độ sáng tạo/khả năng áp dụng; kiểm tra công bố trước bảo hộ, chủ sở hữu và lựa chọn sáng chế/GPHI/BMKD/KDCN phù hợp.</x:v>
      </x:c>
      <x:c r="N16" t="str">
        <x:v>Tổng hợp đề tài KHCN cấp cơ sở của GV 2021-2025.pdf, tr.7</x:v>
      </x:c>
      <x:c r="O16" t="str">
        <x:v>Đã nghiệm thu</x:v>
      </x:c>
    </x:row>
    <x:row r="17">
      <x:c r="A17" t="str">
        <x:v>PRI-016</x:v>
      </x:c>
      <x:c r="B17" t="str">
        <x:v>O-2024-07-01</x:v>
      </x:c>
      <x:c r="C17" t="str">
        <x:v>P2024-07</x:v>
      </x:c>
      <x:c r="D17" t="n">
        <x:v>2024</x:v>
      </x:c>
      <x:c r="E17" t="str">
        <x:v>Tiêu bản hiển vi cố định</x:v>
      </x:c>
      <x:c r="F17" t="str">
        <x:v>Bộ mẫu/collection</x:v>
      </x:c>
      <x:c r="G17" t="str">
        <x:v>Trung bình</x:v>
      </x:c>
      <x:c r="H17" t="str">
        <x:v>Học liệu/collection; quy trình kỹ thuật nếu có tính mới</x:v>
      </x:c>
      <x:c r="I17" t="str">
        <x:v>Có</x:v>
      </x:c>
      <x:c r="J17" t="str">
        <x:v>Chưa kiểm tra</x:v>
      </x:c>
      <x:c r="K17" t="str">
        <x:v>Chưa kiểm tra</x:v>
      </x:c>
      <x:c r="L17" t="str">
        <x:v>Chưa kiểm tra</x:v>
      </x:c>
      <x:c r="M17" t="str">
        <x:v>Xác định cấu trúc sáng tạo, quyền tác giả/CSDL nếu phù hợp; đo mức sử dụng trong đào tạo và chi phí thay thế.</x:v>
      </x:c>
      <x:c r="N17" t="str">
        <x:v>Tổng hợp đề tài KHCN cấp cơ sở của GV 2021-2025.pdf, tr.7</x:v>
      </x:c>
      <x:c r="O17" t="str">
        <x:v>Đã nghiệm thu</x:v>
      </x:c>
    </x:row>
    <x:row r="18">
      <x:c r="A18" t="str">
        <x:v>PRI-017</x:v>
      </x:c>
      <x:c r="B18" t="str">
        <x:v>O-2024-07-02</x:v>
      </x:c>
      <x:c r="C18" t="str">
        <x:v>P2024-07</x:v>
      </x:c>
      <x:c r="D18" t="n">
        <x:v>2024</x:v>
      </x:c>
      <x:c r="E18" t="str">
        <x:v>Cẩm nang "Phát hiện giun sán truyền qua đất trong các mẫu môi trường"</x:v>
      </x:c>
      <x:c r="F18" t="str">
        <x:v>Cẩm nang/học liệu</x:v>
      </x:c>
      <x:c r="G18" t="str">
        <x:v>Trung bình</x:v>
      </x:c>
      <x:c r="H18" t="str">
        <x:v>Quyền tác giả</x:v>
      </x:c>
      <x:c r="I18" t="str">
        <x:v>Có</x:v>
      </x:c>
      <x:c r="J18" t="str">
        <x:v>Chưa kiểm tra</x:v>
      </x:c>
      <x:c r="K18" t="str">
        <x:v>Chưa kiểm tra</x:v>
      </x:c>
      <x:c r="L18" t="str">
        <x:v>Chưa kiểm tra</x:v>
      </x:c>
      <x:c r="M18" t="str">
        <x:v>Xác định cấu trúc sáng tạo, quyền tác giả/CSDL nếu phù hợp; đo mức sử dụng trong đào tạo và chi phí thay thế.</x:v>
      </x:c>
      <x:c r="N18" t="str">
        <x:v>Tổng hợp đề tài KHCN cấp cơ sở của GV 2021-2025.pdf, tr.7</x:v>
      </x:c>
      <x:c r="O18" t="str">
        <x:v>Đã nghiệm thu</x:v>
      </x:c>
    </x:row>
    <x:row r="19">
      <x:c r="A19" t="str">
        <x:v>PRI-018</x:v>
      </x:c>
      <x:c r="B19" t="str">
        <x:v>O-2024-08-02</x:v>
      </x:c>
      <x:c r="C19" t="str">
        <x:v>P2024-08</x:v>
      </x:c>
      <x:c r="D19" t="n">
        <x:v>2024</x:v>
      </x:c>
      <x:c r="E19" t="str">
        <x:v>Rutin độ tinh khiết 90%</x:v>
      </x:c>
      <x:c r="F19" t="str">
        <x:v>Sản phẩm/prototype</x:v>
      </x:c>
      <x:c r="G19" t="str">
        <x:v>Cao</x:v>
      </x:c>
      <x:c r="H19" t="str">
        <x:v>Hiện thân của quy trình chiết/tinh chế</x:v>
      </x:c>
      <x:c r="I19" t="str">
        <x:v>Có</x:v>
      </x:c>
      <x:c r="J19" t="str">
        <x:v>Chưa kiểm tra</x:v>
      </x:c>
      <x:c r="K19" t="str">
        <x:v>Chưa kiểm tra</x:v>
      </x:c>
      <x:c r="L19" t="str">
        <x:v>Chưa kiểm tra</x:v>
      </x:c>
      <x:c r="M19" t="str">
        <x:v>Rà soát tính mới/trình độ sáng tạo/khả năng áp dụng; kiểm tra công bố trước bảo hộ, chủ sở hữu và lựa chọn sáng chế/GPHI/BMKD/KDCN phù hợp.</x:v>
      </x:c>
      <x:c r="N19" t="str">
        <x:v>Tổng hợp đề tài KHCN cấp cơ sở của GV 2021-2025.pdf, tr.8</x:v>
      </x:c>
      <x:c r="O19" t="str">
        <x:v>Đã nghiệm thu</x:v>
      </x:c>
    </x:row>
    <x:row r="20">
      <x:c r="A20" t="str">
        <x:v>PRI-019</x:v>
      </x:c>
      <x:c r="B20" t="str">
        <x:v>O-2024-08-04</x:v>
      </x:c>
      <x:c r="C20" t="str">
        <x:v>P2024-08</x:v>
      </x:c>
      <x:c r="D20" t="n">
        <x:v>2024</x:v>
      </x:c>
      <x:c r="E20" t="str">
        <x:v>Quy trình chiết xuất và tinh chế rutin</x:v>
      </x:c>
      <x:c r="F20" t="str">
        <x:v>Quy trình/công thức</x:v>
      </x:c>
      <x:c r="G20" t="str">
        <x:v>Cao</x:v>
      </x:c>
      <x:c r="H20" t="str">
        <x:v>Sáng chế/GPHI hoặc bí mật kinh doanh - cần sàng lọc</x:v>
      </x:c>
      <x:c r="I20" t="str">
        <x:v>Có</x:v>
      </x:c>
      <x:c r="J20" t="str">
        <x:v>Chưa kiểm tra</x:v>
      </x:c>
      <x:c r="K20" t="str">
        <x:v>Chưa kiểm tra</x:v>
      </x:c>
      <x:c r="L20" t="str">
        <x:v>Chưa kiểm tra</x:v>
      </x:c>
      <x:c r="M20" t="str">
        <x:v>Rà soát tính mới/trình độ sáng tạo/khả năng áp dụng; kiểm tra công bố trước bảo hộ, chủ sở hữu và lựa chọn sáng chế/GPHI/BMKD/KDCN phù hợp.</x:v>
      </x:c>
      <x:c r="N20" t="str">
        <x:v>Tổng hợp đề tài KHCN cấp cơ sở của GV 2021-2025.pdf, tr.8</x:v>
      </x:c>
      <x:c r="O20" t="str">
        <x:v>Đã nghiệm thu</x:v>
      </x:c>
    </x:row>
    <x:row r="21">
      <x:c r="A21" t="str">
        <x:v>PRI-020</x:v>
      </x:c>
      <x:c r="B21" t="str">
        <x:v>O-2024-09-02</x:v>
      </x:c>
      <x:c r="C21" t="str">
        <x:v>P2024-09</x:v>
      </x:c>
      <x:c r="D21" t="n">
        <x:v>2024</x:v>
      </x:c>
      <x:c r="E21" t="str">
        <x:v>Thang thuốc 100ml</x:v>
      </x:c>
      <x:c r="F21" t="str">
        <x:v>Sản phẩm/prototype</x:v>
      </x:c>
      <x:c r="G21" t="str">
        <x:v>Cao</x:v>
      </x:c>
      <x:c r="H21" t="str">
        <x:v>Hiện thân của công thức/quy trình</x:v>
      </x:c>
      <x:c r="I21" t="str">
        <x:v>Có</x:v>
      </x:c>
      <x:c r="J21" t="str">
        <x:v>Chưa kiểm tra</x:v>
      </x:c>
      <x:c r="K21" t="str">
        <x:v>Chưa kiểm tra</x:v>
      </x:c>
      <x:c r="L21" t="str">
        <x:v>Chưa kiểm tra</x:v>
      </x:c>
      <x:c r="M21" t="str">
        <x:v>Rà soát tính mới/trình độ sáng tạo/khả năng áp dụng; kiểm tra công bố trước bảo hộ, chủ sở hữu và lựa chọn sáng chế/GPHI/BMKD/KDCN phù hợp.</x:v>
      </x:c>
      <x:c r="N21" t="str">
        <x:v>Tổng hợp đề tài KHCN cấp cơ sở của GV 2021-2025.pdf, tr.8</x:v>
      </x:c>
      <x:c r="O21" t="str">
        <x:v>Đã nghiệm thu</x:v>
      </x:c>
    </x:row>
    <x:row r="22">
      <x:c r="A22" t="str">
        <x:v>PRI-021</x:v>
      </x:c>
      <x:c r="B22" t="str">
        <x:v>O-2024-09-03</x:v>
      </x:c>
      <x:c r="C22" t="str">
        <x:v>P2024-09</x:v>
      </x:c>
      <x:c r="D22" t="n">
        <x:v>2024</x:v>
      </x:c>
      <x:c r="E22" t="str">
        <x:v>Công thức và quy trình sắc của thang thuốc giảm cân</x:v>
      </x:c>
      <x:c r="F22" t="str">
        <x:v>Quy trình/công thức</x:v>
      </x:c>
      <x:c r="G22" t="str">
        <x:v>Cao</x:v>
      </x:c>
      <x:c r="H22" t="str">
        <x:v>Sáng chế/GPHI hoặc bí mật kinh doanh - cần sàng lọc</x:v>
      </x:c>
      <x:c r="I22" t="str">
        <x:v>Có</x:v>
      </x:c>
      <x:c r="J22" t="str">
        <x:v>Chưa kiểm tra</x:v>
      </x:c>
      <x:c r="K22" t="str">
        <x:v>Chưa kiểm tra</x:v>
      </x:c>
      <x:c r="L22" t="str">
        <x:v>Chưa kiểm tra</x:v>
      </x:c>
      <x:c r="M22" t="str">
        <x:v>Rà soát tính mới/trình độ sáng tạo/khả năng áp dụng; kiểm tra công bố trước bảo hộ, chủ sở hữu và lựa chọn sáng chế/GPHI/BMKD/KDCN phù hợp.</x:v>
      </x:c>
      <x:c r="N22" t="str">
        <x:v>Tổng hợp đề tài KHCN cấp cơ sở của GV 2021-2025.pdf, tr.8</x:v>
      </x:c>
      <x:c r="O22" t="str">
        <x:v>Đã nghiệm thu</x:v>
      </x:c>
    </x:row>
    <x:row r="23">
      <x:c r="A23" t="str">
        <x:v>PRI-022</x:v>
      </x:c>
      <x:c r="B23" t="str">
        <x:v>O-2025-06-02</x:v>
      </x:c>
      <x:c r="C23" t="str">
        <x:v>P2025-06</x:v>
      </x:c>
      <x:c r="D23" t="n">
        <x:v>2025</x:v>
      </x:c>
      <x:c r="E23" t="str">
        <x:v>Công thức bào chế sản phẩm cồn thuốc xoa bóp hỗ trợ giảm đau nhức xương khớp</x:v>
      </x:c>
      <x:c r="F23" t="str">
        <x:v>Quy trình/công thức</x:v>
      </x:c>
      <x:c r="G23" t="str">
        <x:v>Cao</x:v>
      </x:c>
      <x:c r="H23" t="str">
        <x:v>Giải pháp hữu ích tiềm năng</x:v>
      </x:c>
      <x:c r="I23" t="str">
        <x:v>Có</x:v>
      </x:c>
      <x:c r="J23" t="str">
        <x:v>Chưa kiểm tra</x:v>
      </x:c>
      <x:c r="K23" t="str">
        <x:v>Chưa kiểm tra</x:v>
      </x:c>
      <x:c r="L23" t="str">
        <x:v>Chưa kiểm tra</x:v>
      </x:c>
      <x:c r="M23" t="str">
        <x:v>Rà soát tính mới/trình độ sáng tạo/khả năng áp dụng; kiểm tra công bố trước bảo hộ, chủ sở hữu và lựa chọn sáng chế/GPHI/BMKD/KDCN phù hợp.</x:v>
      </x:c>
      <x:c r="N23" t="str">
        <x:v>Tổng hợp đề tài KHCN cấp cơ sở của GV 2021-2025.pdf, mục NĂM 2025</x:v>
      </x:c>
      <x:c r="O23" t="str">
        <x:v>Đã nghiệm thu; ghi 'công thức mới, dự kiến đăng ký GPHI'</x:v>
      </x:c>
    </x:row>
    <x:row r="24">
      <x:c r="A24" t="str">
        <x:v>PRI-023</x:v>
      </x:c>
      <x:c r="B24" t="str">
        <x:v>O-2025-06-03</x:v>
      </x:c>
      <x:c r="C24" t="str">
        <x:v>P2025-06</x:v>
      </x:c>
      <x:c r="D24" t="n">
        <x:v>2025</x:v>
      </x:c>
      <x:c r="E24" t="str">
        <x:v>Sản phẩm cồn xoa bóp hỗ trợ giảm đau nhức xương khớp chai 50ml</x:v>
      </x:c>
      <x:c r="F24" t="str">
        <x:v>Sản phẩm/prototype</x:v>
      </x:c>
      <x:c r="G24" t="str">
        <x:v>Cao</x:v>
      </x:c>
      <x:c r="H24" t="str">
        <x:v>Hiện thân của công thức/quy trình; nhãn hiệu/KDCN nếu có yếu tố riêng</x:v>
      </x:c>
      <x:c r="I24" t="str">
        <x:v>Có</x:v>
      </x:c>
      <x:c r="J24" t="str">
        <x:v>Chưa kiểm tra</x:v>
      </x:c>
      <x:c r="K24" t="str">
        <x:v>Chưa kiểm tra</x:v>
      </x:c>
      <x:c r="L24" t="str">
        <x:v>Chưa kiểm tra</x:v>
      </x:c>
      <x:c r="M24" t="str">
        <x:v>Rà soát tính mới/trình độ sáng tạo/khả năng áp dụng; kiểm tra công bố trước bảo hộ, chủ sở hữu và lựa chọn sáng chế/GPHI/BMKD/KDCN phù hợp.</x:v>
      </x:c>
      <x:c r="N24" t="str">
        <x:v>Tổng hợp đề tài KHCN cấp cơ sở của GV 2021-2025.pdf, mục NĂM 2025</x:v>
      </x:c>
      <x:c r="O24" t="str">
        <x:v>Đã nghiệm thu</x:v>
      </x:c>
    </x:row>
    <x:row r="25">
      <x:c r="A25" t="str">
        <x:v>PRI-024</x:v>
      </x:c>
      <x:c r="B25" t="str">
        <x:v>O-2025-07-03</x:v>
      </x:c>
      <x:c r="C25" t="str">
        <x:v>P2025-07</x:v>
      </x:c>
      <x:c r="D25" t="n">
        <x:v>2025</x:v>
      </x:c>
      <x:c r="E25" t="str">
        <x:v>Quy trình bào chế viên ngậm hỗ trợ giảm ho từ Gừng và Húng chanh</x:v>
      </x:c>
      <x:c r="F25" t="str">
        <x:v>Quy trình/công thức</x:v>
      </x:c>
      <x:c r="G25" t="str">
        <x:v>Cao</x:v>
      </x:c>
      <x:c r="H25" t="str">
        <x:v>Giải pháp hữu ích tiềm năng</x:v>
      </x:c>
      <x:c r="I25" t="str">
        <x:v>Có</x:v>
      </x:c>
      <x:c r="J25" t="str">
        <x:v>Chưa kiểm tra</x:v>
      </x:c>
      <x:c r="K25" t="str">
        <x:v>Chưa kiểm tra</x:v>
      </x:c>
      <x:c r="L25" t="str">
        <x:v>Chưa kiểm tra</x:v>
      </x:c>
      <x:c r="M25" t="str">
        <x:v>Rà soát tính mới/trình độ sáng tạo/khả năng áp dụng; kiểm tra công bố trước bảo hộ, chủ sở hữu và lựa chọn sáng chế/GPHI/BMKD/KDCN phù hợp.</x:v>
      </x:c>
      <x:c r="N25" t="str">
        <x:v>Tổng hợp đề tài KHCN cấp cơ sở của GV 2021-2025.pdf, mục NĂM 2025</x:v>
      </x:c>
      <x:c r="O25" t="str">
        <x:v>Đã nghiệm thu; ghi 'quy trình mới, dự kiến đăng ký GPHI'</x:v>
      </x:c>
    </x:row>
    <x:row r="26">
      <x:c r="A26" t="str">
        <x:v>PRI-025</x:v>
      </x:c>
      <x:c r="B26" t="str">
        <x:v>O-2025-07-04</x:v>
      </x:c>
      <x:c r="C26" t="str">
        <x:v>P2025-07</x:v>
      </x:c>
      <x:c r="D26" t="n">
        <x:v>2025</x:v>
      </x:c>
      <x:c r="E26" t="str">
        <x:v>Sản phẩm bào chế viên ngậm hỗ trợ giảm ho từ Gừng và Húng chanh</x:v>
      </x:c>
      <x:c r="F26" t="str">
        <x:v>Sản phẩm/prototype</x:v>
      </x:c>
      <x:c r="G26" t="str">
        <x:v>Cao</x:v>
      </x:c>
      <x:c r="H26" t="str">
        <x:v>Hiện thân của quy trình/công thức; nhãn hiệu/KDCN nếu có yếu tố riêng</x:v>
      </x:c>
      <x:c r="I26" t="str">
        <x:v>Có</x:v>
      </x:c>
      <x:c r="J26" t="str">
        <x:v>Chưa kiểm tra</x:v>
      </x:c>
      <x:c r="K26" t="str">
        <x:v>Chưa kiểm tra</x:v>
      </x:c>
      <x:c r="L26" t="str">
        <x:v>Chưa kiểm tra</x:v>
      </x:c>
      <x:c r="M26" t="str">
        <x:v>Rà soát tính mới/trình độ sáng tạo/khả năng áp dụng; kiểm tra công bố trước bảo hộ, chủ sở hữu và lựa chọn sáng chế/GPHI/BMKD/KDCN phù hợp.</x:v>
      </x:c>
      <x:c r="N26" t="str">
        <x:v>Tổng hợp đề tài KHCN cấp cơ sở của GV 2021-2025.pdf, mục NĂM 2025</x:v>
      </x:c>
      <x:c r="O26" t="str">
        <x:v>Đã nghiệm thu</x:v>
      </x:c>
    </x:row>
    <x:row r="27">
      <x:c r="A27" t="str">
        <x:v>PRI-026</x:v>
      </x:c>
      <x:c r="B27" t="str">
        <x:v>O-2025-09-03</x:v>
      </x:c>
      <x:c r="C27" t="str">
        <x:v>P2025-09</x:v>
      </x:c>
      <x:c r="D27" t="n">
        <x:v>2025</x:v>
      </x:c>
      <x:c r="E27" t="str">
        <x:v>Sáng chế - Giai đoạn 2</x:v>
      </x:c>
      <x:c r="F27" t="str">
        <x:v>Sáng chế dự kiến</x:v>
      </x:c>
      <x:c r="G27" t="str">
        <x:v>Cao</x:v>
      </x:c>
      <x:c r="H27" t="str">
        <x:v>Sáng chế - cần xác minh giai đoạn và hồ sơ đơn</x:v>
      </x:c>
      <x:c r="I27" t="str">
        <x:v>Dự kiến</x:v>
      </x:c>
      <x:c r="J27" t="str">
        <x:v>Chưa kiểm tra</x:v>
      </x:c>
      <x:c r="K27" t="str">
        <x:v>Chưa kiểm tra</x:v>
      </x:c>
      <x:c r="L27" t="str">
        <x:v>Chưa kiểm tra</x:v>
      </x:c>
      <x:c r="M27" t="str">
        <x:v>Rà soát tính mới/trình độ sáng tạo/khả năng áp dụng; kiểm tra công bố trước bảo hộ, chủ sở hữu và lựa chọn sáng chế/GPHI/BMKD/KDCN phù hợp.</x:v>
      </x:c>
      <x:c r="N27" t="str">
        <x:v>Tổng hợp đề tài KHCN cấp cơ sở của GV 2021-2025.pdf, mục NĂM 2025</x:v>
      </x:c>
      <x:c r="O27" t="str">
        <x:v>Kế hoạch giai đoạn 2; chưa có bằng chứng nộp/cấp</x:v>
      </x:c>
    </x:row>
  </x:sheetData>
  <x:pageMargins left="0.7" right="0.7" top="0.75" bottom="0.75" header="0.3" footer="0.3"/>
  <x:tableParts count="1">
    <x:tablePart xmlns:r="http://schemas.openxmlformats.org/officeDocument/2006/relationships" r:id="Re89cb598e3b74fe1"/>
  </x:tableParts>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8" hidden="0" customWidth="1"/>
    <x:col min="5" max="5" width="58" hidden="0" customWidth="1"/>
    <x:col min="6" max="6" width="26" hidden="0" customWidth="1"/>
    <x:col min="7" max="7" width="18" hidden="0" customWidth="1"/>
    <x:col min="8" max="8" width="56" hidden="0" customWidth="1"/>
    <x:col min="9" max="9" width="34" hidden="0" customWidth="1"/>
    <x:col min="10" max="10" width="18" hidden="0" customWidth="1"/>
    <x:col min="11" max="11" width="34" hidden="0" customWidth="1"/>
    <x:col min="12" max="12" width="48" hidden="0" customWidth="1"/>
    <x:col min="13" max="13" width="58" hidden="0" customWidth="1"/>
  </x:cols>
  <x:sheetData>
    <x:row r="1">
      <x:c r="A1" s="39" t="str">
        <x:v>Crosslink_ID</x:v>
      </x:c>
      <x:c r="B1" s="39" t="str">
        <x:v>Output_ID</x:v>
      </x:c>
      <x:c r="C1" s="39" t="str">
        <x:v>Project_ID</x:v>
      </x:c>
      <x:c r="D1" s="39" t="str">
        <x:v>Năm</x:v>
      </x:c>
      <x:c r="E1" s="39" t="str">
        <x:v>Đầu ra ghi trong hồ sơ</x:v>
      </x:c>
      <x:c r="F1" s="39" t="str">
        <x:v>CSDL đích</x:v>
      </x:c>
      <x:c r="G1" s="39" t="str">
        <x:v>Match_Status</x:v>
      </x:c>
      <x:c r="H1" s="39" t="str">
        <x:v>Tiêu đề ghép được</x:v>
      </x:c>
      <x:c r="I1" s="39" t="str">
        <x:v>DOI/Link</x:v>
      </x:c>
      <x:c r="J1" s="39" t="str">
        <x:v>Mức tin cậy ghép</x:v>
      </x:c>
      <x:c r="K1" s="39" t="str">
        <x:v>Trạng thái bằng chứng gốc</x:v>
      </x:c>
      <x:c r="L1" s="39" t="str">
        <x:v>Nguồn</x:v>
      </x:c>
      <x:c r="M1" s="39" t="str">
        <x:v>Ghi chú</x:v>
      </x:c>
    </x:row>
    <x:row r="2">
      <x:c r="A2" t="str">
        <x:v>XL-001</x:v>
      </x:c>
      <x:c r="B2" t="str">
        <x:v>O-2021-27-02</x:v>
      </x:c>
      <x:c r="C2" t="str">
        <x:v>P2021-27</x:v>
      </x:c>
      <x:c r="D2" t="n">
        <x:v>2021</x:v>
      </x:c>
      <x:c r="E2" t="str">
        <x:v>Bài báo đăng tạp chí quốc tế</x:v>
      </x:c>
      <x:c r="F2" t="str">
        <x:v>Bài báo quốc tế</x:v>
      </x:c>
      <x:c r="G2" t="str">
        <x:v>Chưa đối chiếu</x:v>
      </x:c>
      <x:c r="H2" t="str"/>
      <x:c r="I2" t="str"/>
      <x:c r="J2" t="str"/>
      <x:c r="K2" t="str">
        <x:v>Hồ sơ ghi nhận</x:v>
      </x:c>
      <x:c r="L2" t="str">
        <x:v>Tổng hợp đề tài KHCN cấp cơ sở của GV 2021-2025.pdf, tr.1</x:v>
      </x:c>
      <x:c r="M2" t="str">
        <x:v>Không khẳng định đầu ra đã công bố cho đến khi ghép được tiêu đề/tác giả/năm hoặc DOI/link.</x:v>
      </x:c>
    </x:row>
    <x:row r="3">
      <x:c r="A3" t="str">
        <x:v>XL-002</x:v>
      </x:c>
      <x:c r="B3" t="str">
        <x:v>O-2021-27-03</x:v>
      </x:c>
      <x:c r="C3" t="str">
        <x:v>P2021-27</x:v>
      </x:c>
      <x:c r="D3" t="n">
        <x:v>2021</x:v>
      </x:c>
      <x:c r="E3" t="str">
        <x:v>Bài báo đăng tạp chí trong nước</x:v>
      </x:c>
      <x:c r="F3" t="str">
        <x:v>Bài báo trong nước/khác</x:v>
      </x:c>
      <x:c r="G3" t="str">
        <x:v>Chưa đối chiếu</x:v>
      </x:c>
      <x:c r="H3" t="str"/>
      <x:c r="I3" t="str"/>
      <x:c r="J3" t="str"/>
      <x:c r="K3" t="str">
        <x:v>Hồ sơ ghi nhận</x:v>
      </x:c>
      <x:c r="L3" t="str">
        <x:v>Tổng hợp đề tài KHCN cấp cơ sở của GV 2021-2025.pdf, tr.1</x:v>
      </x:c>
      <x:c r="M3" t="str">
        <x:v>Không khẳng định đầu ra đã công bố cho đến khi ghép được tiêu đề/tác giả/năm hoặc DOI/link.</x:v>
      </x:c>
    </x:row>
    <x:row r="4">
      <x:c r="A4" t="str">
        <x:v>XL-003</x:v>
      </x:c>
      <x:c r="B4" t="str">
        <x:v>O-2021-28-02</x:v>
      </x:c>
      <x:c r="C4" t="str">
        <x:v>P2021-28</x:v>
      </x:c>
      <x:c r="D4" t="n">
        <x:v>2021</x:v>
      </x:c>
      <x:c r="E4" t="str">
        <x:v>Bài báo đăng tạp chí quốc tế</x:v>
      </x:c>
      <x:c r="F4" t="str">
        <x:v>Bài báo quốc tế</x:v>
      </x:c>
      <x:c r="G4" t="str">
        <x:v>Chưa đối chiếu</x:v>
      </x:c>
      <x:c r="H4" t="str"/>
      <x:c r="I4" t="str"/>
      <x:c r="J4" t="str"/>
      <x:c r="K4" t="str">
        <x:v>Hồ sơ ghi nhận</x:v>
      </x:c>
      <x:c r="L4" t="str">
        <x:v>Tổng hợp đề tài KHCN cấp cơ sở của GV 2021-2025.pdf, tr.2</x:v>
      </x:c>
      <x:c r="M4" t="str">
        <x:v>Không khẳng định đầu ra đã công bố cho đến khi ghép được tiêu đề/tác giả/năm hoặc DOI/link.</x:v>
      </x:c>
    </x:row>
    <x:row r="5">
      <x:c r="A5" t="str">
        <x:v>XL-004</x:v>
      </x:c>
      <x:c r="B5" t="str">
        <x:v>O-2021-28-03</x:v>
      </x:c>
      <x:c r="C5" t="str">
        <x:v>P2021-28</x:v>
      </x:c>
      <x:c r="D5" t="n">
        <x:v>2021</x:v>
      </x:c>
      <x:c r="E5" t="str">
        <x:v>Bài báo đăng tạp chí trong nước</x:v>
      </x:c>
      <x:c r="F5" t="str">
        <x:v>Bài báo trong nước/khác</x:v>
      </x:c>
      <x:c r="G5" t="str">
        <x:v>Chưa đối chiếu</x:v>
      </x:c>
      <x:c r="H5" t="str"/>
      <x:c r="I5" t="str"/>
      <x:c r="J5" t="str"/>
      <x:c r="K5" t="str">
        <x:v>Hồ sơ ghi nhận</x:v>
      </x:c>
      <x:c r="L5" t="str">
        <x:v>Tổng hợp đề tài KHCN cấp cơ sở của GV 2021-2025.pdf, tr.2</x:v>
      </x:c>
      <x:c r="M5" t="str">
        <x:v>Không khẳng định đầu ra đã công bố cho đến khi ghép được tiêu đề/tác giả/năm hoặc DOI/link.</x:v>
      </x:c>
    </x:row>
    <x:row r="6">
      <x:c r="A6" t="str">
        <x:v>XL-005</x:v>
      </x:c>
      <x:c r="B6" t="str">
        <x:v>O-2021-37-02</x:v>
      </x:c>
      <x:c r="C6" t="str">
        <x:v>P2021-37</x:v>
      </x:c>
      <x:c r="D6" t="n">
        <x:v>2021</x:v>
      </x:c>
      <x:c r="E6" t="str">
        <x:v>Bài báo đăng tạp chí trong nước</x:v>
      </x:c>
      <x:c r="F6" t="str">
        <x:v>Bài báo trong nước/khác</x:v>
      </x:c>
      <x:c r="G6" t="str">
        <x:v>Chưa đối chiếu</x:v>
      </x:c>
      <x:c r="H6" t="str"/>
      <x:c r="I6" t="str"/>
      <x:c r="J6" t="str"/>
      <x:c r="K6" t="str">
        <x:v>Hồ sơ ghi nhận</x:v>
      </x:c>
      <x:c r="L6" t="str">
        <x:v>Tổng hợp đề tài KHCN cấp cơ sở của GV 2021-2025.pdf, tr.2</x:v>
      </x:c>
      <x:c r="M6" t="str">
        <x:v>Không khẳng định đầu ra đã công bố cho đến khi ghép được tiêu đề/tác giả/năm hoặc DOI/link.</x:v>
      </x:c>
    </x:row>
    <x:row r="7">
      <x:c r="A7" t="str">
        <x:v>XL-006</x:v>
      </x:c>
      <x:c r="B7" t="str">
        <x:v>O-2022-51-02</x:v>
      </x:c>
      <x:c r="C7" t="str">
        <x:v>P2022-51</x:v>
      </x:c>
      <x:c r="D7" t="n">
        <x:v>2022</x:v>
      </x:c>
      <x:c r="E7" t="str">
        <x:v>Bài báo đăng tạp chí có ISSN</x:v>
      </x:c>
      <x:c r="F7" t="str">
        <x:v>Bài báo trong nước/khác</x:v>
      </x:c>
      <x:c r="G7" t="str">
        <x:v>Chưa đối chiếu</x:v>
      </x:c>
      <x:c r="H7" t="str"/>
      <x:c r="I7" t="str"/>
      <x:c r="J7" t="str"/>
      <x:c r="K7" t="str">
        <x:v>Hồ sơ ghi nhận</x:v>
      </x:c>
      <x:c r="L7" t="str">
        <x:v>Tổng hợp đề tài KHCN cấp cơ sở của GV 2021-2025.pdf, tr.4</x:v>
      </x:c>
      <x:c r="M7" t="str">
        <x:v>Không khẳng định đầu ra đã công bố cho đến khi ghép được tiêu đề/tác giả/năm hoặc DOI/link.</x:v>
      </x:c>
    </x:row>
    <x:row r="8">
      <x:c r="A8" t="str">
        <x:v>XL-007</x:v>
      </x:c>
      <x:c r="B8" t="str">
        <x:v>O-2023-01-01</x:v>
      </x:c>
      <x:c r="C8" t="str">
        <x:v>P2023-01</x:v>
      </x:c>
      <x:c r="D8" t="n">
        <x:v>2023</x:v>
      </x:c>
      <x:c r="E8" t="str">
        <x:v>Bài báo đăng trên tạp chí trong nước có chỉ số ISSN</x:v>
      </x:c>
      <x:c r="F8" t="str">
        <x:v>Bài báo trong nước/khác</x:v>
      </x:c>
      <x:c r="G8" t="str">
        <x:v>Chưa đối chiếu</x:v>
      </x:c>
      <x:c r="H8" t="str"/>
      <x:c r="I8" t="str"/>
      <x:c r="J8" t="str"/>
      <x:c r="K8" t="str">
        <x:v>Hồ sơ ghi nhận</x:v>
      </x:c>
      <x:c r="L8" t="str">
        <x:v>Tổng hợp đề tài KHCN cấp cơ sở của GV 2021-2025.pdf, tr.4</x:v>
      </x:c>
      <x:c r="M8" t="str">
        <x:v>Không khẳng định đầu ra đã công bố cho đến khi ghép được tiêu đề/tác giả/năm hoặc DOI/link.</x:v>
      </x:c>
    </x:row>
    <x:row r="9">
      <x:c r="A9" t="str">
        <x:v>XL-008</x:v>
      </x:c>
      <x:c r="B9" t="str">
        <x:v>O-2023-02-01</x:v>
      </x:c>
      <x:c r="C9" t="str">
        <x:v>P2023-02</x:v>
      </x:c>
      <x:c r="D9" t="n">
        <x:v>2023</x:v>
      </x:c>
      <x:c r="E9" t="str">
        <x:v>Bài báo đăng Kỷ yếu Hội thảo quốc tế có chỉ số ISBN</x:v>
      </x:c>
      <x:c r="F9" t="str">
        <x:v>Hội nghị/Hội thảo</x:v>
      </x:c>
      <x:c r="G9" t="str">
        <x:v>Chưa đối chiếu</x:v>
      </x:c>
      <x:c r="H9" t="str"/>
      <x:c r="I9" t="str"/>
      <x:c r="J9" t="str"/>
      <x:c r="K9" t="str">
        <x:v>Hồ sơ ghi nhận</x:v>
      </x:c>
      <x:c r="L9" t="str">
        <x:v>Tổng hợp đề tài KHCN cấp cơ sở của GV 2021-2025.pdf, tr.4</x:v>
      </x:c>
      <x:c r="M9" t="str">
        <x:v>Không khẳng định đầu ra đã công bố cho đến khi ghép được tiêu đề/tác giả/năm hoặc DOI/link.</x:v>
      </x:c>
    </x:row>
    <x:row r="10">
      <x:c r="A10" t="str">
        <x:v>XL-009</x:v>
      </x:c>
      <x:c r="B10" t="str">
        <x:v>O-2023-03-01</x:v>
      </x:c>
      <x:c r="C10" t="str">
        <x:v>P2023-03</x:v>
      </x:c>
      <x:c r="D10" t="n">
        <x:v>2023</x:v>
      </x:c>
      <x:c r="E10" t="str">
        <x:v>Bài báo đăng trên tạp chí trong nước có chỉ số ISSN</x:v>
      </x:c>
      <x:c r="F10" t="str">
        <x:v>Bài báo trong nước/khác</x:v>
      </x:c>
      <x:c r="G10" t="str">
        <x:v>Chưa đối chiếu</x:v>
      </x:c>
      <x:c r="H10" t="str"/>
      <x:c r="I10" t="str"/>
      <x:c r="J10" t="str"/>
      <x:c r="K10" t="str">
        <x:v>Hồ sơ ghi nhưng chú thích '(ko có bài báo)'</x:v>
      </x:c>
      <x:c r="L10" t="str">
        <x:v>Tổng hợp đề tài KHCN cấp cơ sở của GV 2021-2025.pdf, tr.5</x:v>
      </x:c>
      <x:c r="M10" t="str">
        <x:v>Không khẳng định đầu ra đã công bố cho đến khi ghép được tiêu đề/tác giả/năm hoặc DOI/link.</x:v>
      </x:c>
    </x:row>
    <x:row r="11">
      <x:c r="A11" t="str">
        <x:v>XL-010</x:v>
      </x:c>
      <x:c r="B11" t="str">
        <x:v>O-2023-04-01</x:v>
      </x:c>
      <x:c r="C11" t="str">
        <x:v>P2023-04</x:v>
      </x:c>
      <x:c r="D11" t="n">
        <x:v>2023</x:v>
      </x:c>
      <x:c r="E11" t="str">
        <x:v>Bài báo đăng trên tạp chí trong nước có chỉ số ISSN</x:v>
      </x:c>
      <x:c r="F11" t="str">
        <x:v>Bài báo trong nước/khác</x:v>
      </x:c>
      <x:c r="G11" t="str">
        <x:v>Chưa đối chiếu</x:v>
      </x:c>
      <x:c r="H11" t="str"/>
      <x:c r="I11" t="str"/>
      <x:c r="J11" t="str"/>
      <x:c r="K11" t="str">
        <x:v>Hồ sơ ghi nhưng chú thích '(ko có bài báo)'</x:v>
      </x:c>
      <x:c r="L11" t="str">
        <x:v>Tổng hợp đề tài KHCN cấp cơ sở của GV 2021-2025.pdf, tr.5</x:v>
      </x:c>
      <x:c r="M11" t="str">
        <x:v>Không khẳng định đầu ra đã công bố cho đến khi ghép được tiêu đề/tác giả/năm hoặc DOI/link.</x:v>
      </x:c>
    </x:row>
    <x:row r="12">
      <x:c r="A12" t="str">
        <x:v>XL-011</x:v>
      </x:c>
      <x:c r="B12" t="str">
        <x:v>O-2023-05-01</x:v>
      </x:c>
      <x:c r="C12" t="str">
        <x:v>P2023-05</x:v>
      </x:c>
      <x:c r="D12" t="n">
        <x:v>2023</x:v>
      </x:c>
      <x:c r="E12" t="str">
        <x:v>Bài báo đăng trên tạp chí trong nước có chỉ số ISSN</x:v>
      </x:c>
      <x:c r="F12" t="str">
        <x:v>Bài báo trong nước/khác</x:v>
      </x:c>
      <x:c r="G12" t="str">
        <x:v>Chưa đối chiếu</x:v>
      </x:c>
      <x:c r="H12" t="str"/>
      <x:c r="I12" t="str"/>
      <x:c r="J12" t="str"/>
      <x:c r="K12" t="str">
        <x:v>Hồ sơ ghi nhận</x:v>
      </x:c>
      <x:c r="L12" t="str">
        <x:v>Tổng hợp đề tài KHCN cấp cơ sở của GV 2021-2025.pdf, tr.6</x:v>
      </x:c>
      <x:c r="M12" t="str">
        <x:v>Không khẳng định đầu ra đã công bố cho đến khi ghép được tiêu đề/tác giả/năm hoặc DOI/link.</x:v>
      </x:c>
    </x:row>
    <x:row r="13">
      <x:c r="A13" t="str">
        <x:v>XL-012</x:v>
      </x:c>
      <x:c r="B13" t="str">
        <x:v>O-2023-07-01</x:v>
      </x:c>
      <x:c r="C13" t="str">
        <x:v>P2023-07</x:v>
      </x:c>
      <x:c r="D13" t="n">
        <x:v>2023</x:v>
      </x:c>
      <x:c r="E13" t="str">
        <x:v>Bài báo đăng trên tạp chí trong nước có chỉ số ISSN</x:v>
      </x:c>
      <x:c r="F13" t="str">
        <x:v>Bài báo trong nước/khác</x:v>
      </x:c>
      <x:c r="G13" t="str">
        <x:v>Chưa đối chiếu</x:v>
      </x:c>
      <x:c r="H13" t="str"/>
      <x:c r="I13" t="str"/>
      <x:c r="J13" t="str"/>
      <x:c r="K13" t="str">
        <x:v>Hồ sơ ghi nhưng chú thích '(ko có bài báo)'</x:v>
      </x:c>
      <x:c r="L13" t="str">
        <x:v>Tổng hợp đề tài KHCN cấp cơ sở của GV 2021-2025.pdf, tr.6</x:v>
      </x:c>
      <x:c r="M13" t="str">
        <x:v>Không khẳng định đầu ra đã công bố cho đến khi ghép được tiêu đề/tác giả/năm hoặc DOI/link.</x:v>
      </x:c>
    </x:row>
    <x:row r="14">
      <x:c r="A14" t="str">
        <x:v>XL-013</x:v>
      </x:c>
      <x:c r="B14" t="str">
        <x:v>O-2023-08-01</x:v>
      </x:c>
      <x:c r="C14" t="str">
        <x:v>P2023-08</x:v>
      </x:c>
      <x:c r="D14" t="n">
        <x:v>2023</x:v>
      </x:c>
      <x:c r="E14" t="str">
        <x:v>Bài báo khoa học đăng tạp chí có chỉ số ISSN</x:v>
      </x:c>
      <x:c r="F14" t="str">
        <x:v>Bài báo trong nước/khác</x:v>
      </x:c>
      <x:c r="G14" t="str">
        <x:v>Chưa đối chiếu</x:v>
      </x:c>
      <x:c r="H14" t="str"/>
      <x:c r="I14" t="str"/>
      <x:c r="J14" t="str"/>
      <x:c r="K14" t="str">
        <x:v>Hồ sơ ghi nhận</x:v>
      </x:c>
      <x:c r="L14" t="str">
        <x:v>Tổng hợp đề tài KHCN cấp cơ sở của GV 2021-2025.pdf, tr.7</x:v>
      </x:c>
      <x:c r="M14" t="str">
        <x:v>Không khẳng định đầu ra đã công bố cho đến khi ghép được tiêu đề/tác giả/năm hoặc DOI/link.</x:v>
      </x:c>
    </x:row>
    <x:row r="15">
      <x:c r="A15" t="str">
        <x:v>XL-014</x:v>
      </x:c>
      <x:c r="B15" t="str">
        <x:v>O-2024-06-01</x:v>
      </x:c>
      <x:c r="C15" t="str">
        <x:v>P2024-06</x:v>
      </x:c>
      <x:c r="D15" t="n">
        <x:v>2024</x:v>
      </x:c>
      <x:c r="E15" t="str">
        <x:v>Bài báo khoa học đăng trên Tạp chí NCKH&amp;PT Trường Đại học Thành Đô</x:v>
      </x:c>
      <x:c r="F15" t="str">
        <x:v>Bài báo trong nước/khác</x:v>
      </x:c>
      <x:c r="G15" t="str">
        <x:v>Chưa đối chiếu</x:v>
      </x:c>
      <x:c r="H15" t="str"/>
      <x:c r="I15" t="str"/>
      <x:c r="J15" t="str"/>
      <x:c r="K15" t="str">
        <x:v>Hồ sơ ghi nhận</x:v>
      </x:c>
      <x:c r="L15" t="str">
        <x:v>Tổng hợp đề tài KHCN cấp cơ sở của GV 2021-2025.pdf, tr.7</x:v>
      </x:c>
      <x:c r="M15" t="str">
        <x:v>Không khẳng định đầu ra đã công bố cho đến khi ghép được tiêu đề/tác giả/năm hoặc DOI/link.</x:v>
      </x:c>
    </x:row>
    <x:row r="16">
      <x:c r="A16" t="str">
        <x:v>XL-015</x:v>
      </x:c>
      <x:c r="B16" t="str">
        <x:v>O-2024-07-03</x:v>
      </x:c>
      <x:c r="C16" t="str">
        <x:v>P2024-07</x:v>
      </x:c>
      <x:c r="D16" t="n">
        <x:v>2024</x:v>
      </x:c>
      <x:c r="E16" t="str">
        <x:v>Bài báo đăng trên Tạp chí NCKH&amp;PT Trường Đại học Thành Đô</x:v>
      </x:c>
      <x:c r="F16" t="str">
        <x:v>Bài báo trong nước/khác</x:v>
      </x:c>
      <x:c r="G16" t="str">
        <x:v>Chưa đối chiếu</x:v>
      </x:c>
      <x:c r="H16" t="str"/>
      <x:c r="I16" t="str"/>
      <x:c r="J16" t="str"/>
      <x:c r="K16" t="str">
        <x:v>Hồ sơ ghi nhận</x:v>
      </x:c>
      <x:c r="L16" t="str">
        <x:v>Tổng hợp đề tài KHCN cấp cơ sở của GV 2021-2025.pdf, tr.7</x:v>
      </x:c>
      <x:c r="M16" t="str">
        <x:v>Không khẳng định đầu ra đã công bố cho đến khi ghép được tiêu đề/tác giả/năm hoặc DOI/link.</x:v>
      </x:c>
    </x:row>
    <x:row r="17">
      <x:c r="A17" t="str">
        <x:v>XL-016</x:v>
      </x:c>
      <x:c r="B17" t="str">
        <x:v>O-2024-08-01</x:v>
      </x:c>
      <x:c r="C17" t="str">
        <x:v>P2024-08</x:v>
      </x:c>
      <x:c r="D17" t="n">
        <x:v>2024</x:v>
      </x:c>
      <x:c r="E17" t="str">
        <x:v>Công bố khoa học chuyên ngành có chỉ số ISSN/ISBN</x:v>
      </x:c>
      <x:c r="F17" t="str">
        <x:v>Bài báo trong nước/khác</x:v>
      </x:c>
      <x:c r="G17" t="str">
        <x:v>Chưa đối chiếu</x:v>
      </x:c>
      <x:c r="H17" t="str"/>
      <x:c r="I17" t="str"/>
      <x:c r="J17" t="str"/>
      <x:c r="K17" t="str">
        <x:v>Hồ sơ ghi nhận</x:v>
      </x:c>
      <x:c r="L17" t="str">
        <x:v>Tổng hợp đề tài KHCN cấp cơ sở của GV 2021-2025.pdf, tr.8</x:v>
      </x:c>
      <x:c r="M17" t="str">
        <x:v>Không khẳng định đầu ra đã công bố cho đến khi ghép được tiêu đề/tác giả/năm hoặc DOI/link.</x:v>
      </x:c>
    </x:row>
    <x:row r="18">
      <x:c r="A18" t="str">
        <x:v>XL-017</x:v>
      </x:c>
      <x:c r="B18" t="str">
        <x:v>O-2024-09-01</x:v>
      </x:c>
      <x:c r="C18" t="str">
        <x:v>P2024-09</x:v>
      </x:c>
      <x:c r="D18" t="n">
        <x:v>2024</x:v>
      </x:c>
      <x:c r="E18" t="str">
        <x:v>Bài báo đăng trên Tạp chí NCKH&amp;PT Trường Đại học Thành Đô</x:v>
      </x:c>
      <x:c r="F18" t="str">
        <x:v>Bài báo trong nước/khác</x:v>
      </x:c>
      <x:c r="G18" t="str">
        <x:v>Chưa đối chiếu</x:v>
      </x:c>
      <x:c r="H18" t="str"/>
      <x:c r="I18" t="str"/>
      <x:c r="J18" t="str"/>
      <x:c r="K18" t="str">
        <x:v>Hồ sơ ghi nhận</x:v>
      </x:c>
      <x:c r="L18" t="str">
        <x:v>Tổng hợp đề tài KHCN cấp cơ sở của GV 2021-2025.pdf, tr.8</x:v>
      </x:c>
      <x:c r="M18" t="str">
        <x:v>Không khẳng định đầu ra đã công bố cho đến khi ghép được tiêu đề/tác giả/năm hoặc DOI/link.</x:v>
      </x:c>
    </x:row>
    <x:row r="19">
      <x:c r="A19" t="str">
        <x:v>XL-018</x:v>
      </x:c>
      <x:c r="B19" t="str">
        <x:v>O-2024-10-01</x:v>
      </x:c>
      <x:c r="C19" t="str">
        <x:v>P2024-10</x:v>
      </x:c>
      <x:c r="D19" t="n">
        <x:v>2024</x:v>
      </x:c>
      <x:c r="E19" t="str">
        <x:v>Bài báo đăng trên Tạp chí NCKH&amp;PT Trường Đại học Thành Đô</x:v>
      </x:c>
      <x:c r="F19" t="str">
        <x:v>Bài báo trong nước/khác</x:v>
      </x:c>
      <x:c r="G19" t="str">
        <x:v>Chưa đối chiếu</x:v>
      </x:c>
      <x:c r="H19" t="str"/>
      <x:c r="I19" t="str"/>
      <x:c r="J19" t="str"/>
      <x:c r="K19" t="str">
        <x:v>Hồ sơ ghi nhận</x:v>
      </x:c>
      <x:c r="L19" t="str">
        <x:v>Tổng hợp đề tài KHCN cấp cơ sở của GV 2021-2025.pdf, tr.8</x:v>
      </x:c>
      <x:c r="M19" t="str">
        <x:v>Không khẳng định đầu ra đã công bố cho đến khi ghép được tiêu đề/tác giả/năm hoặc DOI/link.</x:v>
      </x:c>
    </x:row>
    <x:row r="20">
      <x:c r="A20" t="str">
        <x:v>XL-019</x:v>
      </x:c>
      <x:c r="B20" t="str">
        <x:v>O-2024-12-01</x:v>
      </x:c>
      <x:c r="C20" t="str">
        <x:v>P2024-12</x:v>
      </x:c>
      <x:c r="D20" t="n">
        <x:v>2024</x:v>
      </x:c>
      <x:c r="E20" t="str">
        <x:v>Bài báo đăng trên Tạp chí Khoa học, Trường Đại học Thành Đô</x:v>
      </x:c>
      <x:c r="F20" t="str">
        <x:v>Bài báo trong nước/khác</x:v>
      </x:c>
      <x:c r="G20" t="str">
        <x:v>Chưa đối chiếu</x:v>
      </x:c>
      <x:c r="H20" t="str"/>
      <x:c r="I20" t="str"/>
      <x:c r="J20" t="str"/>
      <x:c r="K20" t="str">
        <x:v>Hồ sơ ghi nhận</x:v>
      </x:c>
      <x:c r="L20" t="str">
        <x:v>Tổng hợp đề tài KHCN cấp cơ sở của GV 2021-2025.pdf, tr.9</x:v>
      </x:c>
      <x:c r="M20" t="str">
        <x:v>Không khẳng định đầu ra đã công bố cho đến khi ghép được tiêu đề/tác giả/năm hoặc DOI/link.</x:v>
      </x:c>
    </x:row>
    <x:row r="21">
      <x:c r="A21" t="str">
        <x:v>XL-020</x:v>
      </x:c>
      <x:c r="B21" t="str">
        <x:v>O-2024-12-02</x:v>
      </x:c>
      <x:c r="C21" t="str">
        <x:v>P2024-12</x:v>
      </x:c>
      <x:c r="D21" t="n">
        <x:v>2024</x:v>
      </x:c>
      <x:c r="E21" t="str">
        <x:v>Bài báo khoa học đăng trên tạp chí khoa học chuyên ngành trong nước, mức 1.0 điểm trở lên</x:v>
      </x:c>
      <x:c r="F21" t="str">
        <x:v>Bài báo trong nước/khác</x:v>
      </x:c>
      <x:c r="G21" t="str">
        <x:v>Chưa đối chiếu</x:v>
      </x:c>
      <x:c r="H21" t="str"/>
      <x:c r="I21" t="str"/>
      <x:c r="J21" t="str"/>
      <x:c r="K21" t="str">
        <x:v>Hồ sơ ghi nhận</x:v>
      </x:c>
      <x:c r="L21" t="str">
        <x:v>Tổng hợp đề tài KHCN cấp cơ sở của GV 2021-2025.pdf, tr.9</x:v>
      </x:c>
      <x:c r="M21" t="str">
        <x:v>Không khẳng định đầu ra đã công bố cho đến khi ghép được tiêu đề/tác giả/năm hoặc DOI/link.</x:v>
      </x:c>
    </x:row>
    <x:row r="22">
      <x:c r="A22" t="str">
        <x:v>XL-021</x:v>
      </x:c>
      <x:c r="B22" t="str">
        <x:v>O-2024-13-01</x:v>
      </x:c>
      <x:c r="C22" t="str">
        <x:v>P2024-13</x:v>
      </x:c>
      <x:c r="D22" t="n">
        <x:v>2024</x:v>
      </x:c>
      <x:c r="E22" t="str">
        <x:v>Bài báo có chỉ số ISSN</x:v>
      </x:c>
      <x:c r="F22" t="str">
        <x:v>Bài báo trong nước/khác</x:v>
      </x:c>
      <x:c r="G22" t="str">
        <x:v>Chưa đối chiếu</x:v>
      </x:c>
      <x:c r="H22" t="str"/>
      <x:c r="I22" t="str"/>
      <x:c r="J22" t="str"/>
      <x:c r="K22" t="str">
        <x:v>Hồ sơ ghi nhận</x:v>
      </x:c>
      <x:c r="L22" t="str">
        <x:v>Tổng hợp đề tài KHCN cấp cơ sở của GV 2021-2025.pdf, tr.9</x:v>
      </x:c>
      <x:c r="M22" t="str">
        <x:v>Không khẳng định đầu ra đã công bố cho đến khi ghép được tiêu đề/tác giả/năm hoặc DOI/link.</x:v>
      </x:c>
    </x:row>
    <x:row r="23">
      <x:c r="A23" t="str">
        <x:v>XL-022</x:v>
      </x:c>
      <x:c r="B23" t="str">
        <x:v>O-2024-14-01</x:v>
      </x:c>
      <x:c r="C23" t="str">
        <x:v>P2024-14</x:v>
      </x:c>
      <x:c r="D23" t="n">
        <x:v>2024</x:v>
      </x:c>
      <x:c r="E23" t="str">
        <x:v>Bài báo khoa học đăng trên tạp chí khoa học Trường Đại học Thành Đô</x:v>
      </x:c>
      <x:c r="F23" t="str">
        <x:v>Bài báo trong nước/khác</x:v>
      </x:c>
      <x:c r="G23" t="str">
        <x:v>Chưa đối chiếu</x:v>
      </x:c>
      <x:c r="H23" t="str"/>
      <x:c r="I23" t="str"/>
      <x:c r="J23" t="str"/>
      <x:c r="K23" t="str">
        <x:v>Hồ sơ ghi nhận</x:v>
      </x:c>
      <x:c r="L23" t="str">
        <x:v>Tổng hợp đề tài KHCN cấp cơ sở của GV 2021-2025.pdf, phần chuyển tiếp 2024-2025</x:v>
      </x:c>
      <x:c r="M23" t="str">
        <x:v>Không khẳng định đầu ra đã công bố cho đến khi ghép được tiêu đề/tác giả/năm hoặc DOI/link.</x:v>
      </x:c>
    </x:row>
    <x:row r="24">
      <x:c r="A24" t="str">
        <x:v>XL-023</x:v>
      </x:c>
      <x:c r="B24" t="str">
        <x:v>O-2024-14-02</x:v>
      </x:c>
      <x:c r="C24" t="str">
        <x:v>P2024-14</x:v>
      </x:c>
      <x:c r="D24" t="n">
        <x:v>2024</x:v>
      </x:c>
      <x:c r="E24" t="str">
        <x:v>Bài báo khoa học đăng trên tạp chí 1.0 điểm theo danh mục HĐGSNN</x:v>
      </x:c>
      <x:c r="F24" t="str">
        <x:v>Bài báo trong nước/khác</x:v>
      </x:c>
      <x:c r="G24" t="str">
        <x:v>Chưa đối chiếu</x:v>
      </x:c>
      <x:c r="H24" t="str"/>
      <x:c r="I24" t="str"/>
      <x:c r="J24" t="str"/>
      <x:c r="K24" t="str">
        <x:v>Hồ sơ ghi nhận</x:v>
      </x:c>
      <x:c r="L24" t="str">
        <x:v>Tổng hợp đề tài KHCN cấp cơ sở của GV 2021-2025.pdf, phần chuyển tiếp 2024-2025</x:v>
      </x:c>
      <x:c r="M24" t="str">
        <x:v>Không khẳng định đầu ra đã công bố cho đến khi ghép được tiêu đề/tác giả/năm hoặc DOI/link.</x:v>
      </x:c>
    </x:row>
    <x:row r="25">
      <x:c r="A25" t="str">
        <x:v>XL-024</x:v>
      </x:c>
      <x:c r="B25" t="str">
        <x:v>O-2025-01-02</x:v>
      </x:c>
      <x:c r="C25" t="str">
        <x:v>P2025-01</x:v>
      </x:c>
      <x:c r="D25" t="n">
        <x:v>2025</x:v>
      </x:c>
      <x:c r="E25" t="str">
        <x:v>Bài báo đăng trên tạp chí có chỉ số ISSN</x:v>
      </x:c>
      <x:c r="F25" t="str">
        <x:v>Bài báo trong nước/khác</x:v>
      </x:c>
      <x:c r="G25" t="str">
        <x:v>Chưa đối chiếu</x:v>
      </x:c>
      <x:c r="H25" t="str"/>
      <x:c r="I25" t="str"/>
      <x:c r="J25" t="str"/>
      <x:c r="K25" t="str">
        <x:v>Hồ sơ ghi nhận</x:v>
      </x:c>
      <x:c r="L25" t="str">
        <x:v>Tổng hợp đề tài KHCN cấp cơ sở của GV 2021-2025.pdf, mục NĂM 2025</x:v>
      </x:c>
      <x:c r="M25" t="str">
        <x:v>Không khẳng định đầu ra đã công bố cho đến khi ghép được tiêu đề/tác giả/năm hoặc DOI/link.</x:v>
      </x:c>
    </x:row>
    <x:row r="26">
      <x:c r="A26" t="str">
        <x:v>XL-025</x:v>
      </x:c>
      <x:c r="B26" t="str">
        <x:v>O-2025-02-02</x:v>
      </x:c>
      <x:c r="C26" t="str">
        <x:v>P2025-02</x:v>
      </x:c>
      <x:c r="D26" t="n">
        <x:v>2025</x:v>
      </x:c>
      <x:c r="E26" t="str">
        <x:v>Bài báo đăng trên tạp chí có chỉ số ISSN</x:v>
      </x:c>
      <x:c r="F26" t="str">
        <x:v>Bài báo trong nước/khác</x:v>
      </x:c>
      <x:c r="G26" t="str">
        <x:v>Chưa đối chiếu</x:v>
      </x:c>
      <x:c r="H26" t="str"/>
      <x:c r="I26" t="str"/>
      <x:c r="J26" t="str"/>
      <x:c r="K26" t="str">
        <x:v>Hồ sơ ghi nhận</x:v>
      </x:c>
      <x:c r="L26" t="str">
        <x:v>Tổng hợp đề tài KHCN cấp cơ sở của GV 2021-2025.pdf, mục NĂM 2025</x:v>
      </x:c>
      <x:c r="M26" t="str">
        <x:v>Không khẳng định đầu ra đã công bố cho đến khi ghép được tiêu đề/tác giả/năm hoặc DOI/link.</x:v>
      </x:c>
    </x:row>
    <x:row r="27">
      <x:c r="A27" t="str">
        <x:v>XL-026</x:v>
      </x:c>
      <x:c r="B27" t="str">
        <x:v>O-2025-03-01</x:v>
      </x:c>
      <x:c r="C27" t="str">
        <x:v>P2025-03</x:v>
      </x:c>
      <x:c r="D27" t="n">
        <x:v>2025</x:v>
      </x:c>
      <x:c r="E27" t="str">
        <x:v>Bài báo đăng trên tạp chí có chỉ số ISSN</x:v>
      </x:c>
      <x:c r="F27" t="str">
        <x:v>Bài báo trong nước/khác</x:v>
      </x:c>
      <x:c r="G27" t="str">
        <x:v>Chưa đối chiếu</x:v>
      </x:c>
      <x:c r="H27" t="str"/>
      <x:c r="I27" t="str"/>
      <x:c r="J27" t="str"/>
      <x:c r="K27" t="str">
        <x:v>Hồ sơ ghi nhận</x:v>
      </x:c>
      <x:c r="L27" t="str">
        <x:v>Tổng hợp đề tài KHCN cấp cơ sở của GV 2021-2025.pdf, mục NĂM 2025</x:v>
      </x:c>
      <x:c r="M27" t="str">
        <x:v>Không khẳng định đầu ra đã công bố cho đến khi ghép được tiêu đề/tác giả/năm hoặc DOI/link.</x:v>
      </x:c>
    </x:row>
    <x:row r="28">
      <x:c r="A28" t="str">
        <x:v>XL-027</x:v>
      </x:c>
      <x:c r="B28" t="str">
        <x:v>O-2025-04-01</x:v>
      </x:c>
      <x:c r="C28" t="str">
        <x:v>P2025-04</x:v>
      </x:c>
      <x:c r="D28" t="n">
        <x:v>2025</x:v>
      </x:c>
      <x:c r="E28" t="str">
        <x:v>Bài báo đăng trên tạp chí có chỉ số ISSN</x:v>
      </x:c>
      <x:c r="F28" t="str">
        <x:v>Bài báo trong nước/khác</x:v>
      </x:c>
      <x:c r="G28" t="str">
        <x:v>Chưa đối chiếu</x:v>
      </x:c>
      <x:c r="H28" t="str"/>
      <x:c r="I28" t="str"/>
      <x:c r="J28" t="str"/>
      <x:c r="K28" t="str">
        <x:v>Hồ sơ trích xuất ghi nhận</x:v>
      </x:c>
      <x:c r="L28" t="str">
        <x:v>Tổng hợp đề tài KHCN cấp cơ sở của GV 2021-2025.pdf, mục NĂM 2025</x:v>
      </x:c>
      <x:c r="M28" t="str">
        <x:v>Không khẳng định đầu ra đã công bố cho đến khi ghép được tiêu đề/tác giả/năm hoặc DOI/link.</x:v>
      </x:c>
    </x:row>
    <x:row r="29">
      <x:c r="A29" t="str">
        <x:v>XL-028</x:v>
      </x:c>
      <x:c r="B29" t="str">
        <x:v>O-2025-06-01</x:v>
      </x:c>
      <x:c r="C29" t="str">
        <x:v>P2025-06</x:v>
      </x:c>
      <x:c r="D29" t="n">
        <x:v>2025</x:v>
      </x:c>
      <x:c r="E29" t="str">
        <x:v>Bài đăng trên Tạp chí NCKH&amp;PT</x:v>
      </x:c>
      <x:c r="F29" t="str">
        <x:v>Bài báo trong nước/khác</x:v>
      </x:c>
      <x:c r="G29" t="str">
        <x:v>Chưa đối chiếu</x:v>
      </x:c>
      <x:c r="H29" t="str"/>
      <x:c r="I29" t="str"/>
      <x:c r="J29" t="str"/>
      <x:c r="K29" t="str">
        <x:v>Hồ sơ ghi nhận</x:v>
      </x:c>
      <x:c r="L29" t="str">
        <x:v>Tổng hợp đề tài KHCN cấp cơ sở của GV 2021-2025.pdf, mục NĂM 2025</x:v>
      </x:c>
      <x:c r="M29" t="str">
        <x:v>Không khẳng định đầu ra đã công bố cho đến khi ghép được tiêu đề/tác giả/năm hoặc DOI/link.</x:v>
      </x:c>
    </x:row>
    <x:row r="30">
      <x:c r="A30" t="str">
        <x:v>XL-029</x:v>
      </x:c>
      <x:c r="B30" t="str">
        <x:v>O-2025-07-02</x:v>
      </x:c>
      <x:c r="C30" t="str">
        <x:v>P2025-07</x:v>
      </x:c>
      <x:c r="D30" t="n">
        <x:v>2025</x:v>
      </x:c>
      <x:c r="E30" t="str">
        <x:v>Bài báo đăng trên tạp chí tính điểm/chỉ số ISSN</x:v>
      </x:c>
      <x:c r="F30" t="str">
        <x:v>Bài báo trong nước/khác</x:v>
      </x:c>
      <x:c r="G30" t="str">
        <x:v>Chưa đối chiếu</x:v>
      </x:c>
      <x:c r="H30" t="str"/>
      <x:c r="I30" t="str"/>
      <x:c r="J30" t="str"/>
      <x:c r="K30" t="str">
        <x:v>Hồ sơ ghi nhận</x:v>
      </x:c>
      <x:c r="L30" t="str">
        <x:v>Tổng hợp đề tài KHCN cấp cơ sở của GV 2021-2025.pdf, mục NĂM 2025</x:v>
      </x:c>
      <x:c r="M30" t="str">
        <x:v>Không khẳng định đầu ra đã công bố cho đến khi ghép được tiêu đề/tác giả/năm hoặc DOI/link.</x:v>
      </x:c>
    </x:row>
    <x:row r="31">
      <x:c r="A31" t="str">
        <x:v>XL-030</x:v>
      </x:c>
      <x:c r="B31" t="str">
        <x:v>O-2025-09-02</x:v>
      </x:c>
      <x:c r="C31" t="str">
        <x:v>P2025-09</x:v>
      </x:c>
      <x:c r="D31" t="n">
        <x:v>2025</x:v>
      </x:c>
      <x:c r="E31" t="str">
        <x:v>Tạp chí có chỉ số ISSN/kỷ yếu hội thảo có chỉ số ISBN - Giai đoạn 1</x:v>
      </x:c>
      <x:c r="F31" t="str">
        <x:v>Hội nghị/Hội thảo</x:v>
      </x:c>
      <x:c r="G31" t="str">
        <x:v>Chưa đối chiếu</x:v>
      </x:c>
      <x:c r="H31" t="str"/>
      <x:c r="I31" t="str"/>
      <x:c r="J31" t="str"/>
      <x:c r="K31" t="str">
        <x:v>Hồ sơ ghi nhận</x:v>
      </x:c>
      <x:c r="L31" t="str">
        <x:v>Tổng hợp đề tài KHCN cấp cơ sở của GV 2021-2025.pdf, mục NĂM 2025</x:v>
      </x:c>
      <x:c r="M31" t="str">
        <x:v>Không khẳng định đầu ra đã công bố cho đến khi ghép được tiêu đề/tác giả/năm hoặc DOI/link.</x:v>
      </x:c>
    </x:row>
  </x:sheetData>
  <x:pageMargins left="0.7" right="0.7" top="0.75" bottom="0.75" header="0.3" footer="0.3"/>
  <x:tableParts count="1">
    <x:tablePart xmlns:r="http://schemas.openxmlformats.org/officeDocument/2006/relationships" r:id="R6cb11f3f35084fdf"/>
  </x:tableParts>
</x:worksheet>
</file>

<file path=xl/worksheets/sheet15.xml><?xml version="1.0" encoding="utf-8"?>
<x:worksheet xmlns:x="http://schemas.openxmlformats.org/spreadsheetml/2006/main">
  <x:sheetFormatPr defaultRowHeight="15"/>
  <x:cols>
    <x:col min="1" max="1" width="12" hidden="0" customWidth="1"/>
    <x:col min="2" max="2" width="58" hidden="0" customWidth="1"/>
    <x:col min="3" max="3" width="20" hidden="0" customWidth="1"/>
    <x:col min="4" max="4" width="32" hidden="0" customWidth="1"/>
    <x:col min="5" max="5" width="58" hidden="0" customWidth="1"/>
    <x:col min="6" max="6" width="34" hidden="0" customWidth="1"/>
    <x:col min="7" max="7" width="14" hidden="0" customWidth="1"/>
    <x:col min="8" max="8" width="16" hidden="0" customWidth="1"/>
    <x:col min="9" max="9" width="52" hidden="0" customWidth="1"/>
  </x:cols>
  <x:sheetData>
    <x:row r="1">
      <x:c r="A1" s="39" t="str">
        <x:v>Request_ID</x:v>
      </x:c>
      <x:c r="B1" s="39" t="str">
        <x:v>Dữ liệu/hồ sơ cần xin</x:v>
      </x:c>
      <x:c r="C1" s="39" t="str">
        <x:v>Giai đoạn</x:v>
      </x:c>
      <x:c r="D1" s="39" t="str">
        <x:v>Đơn vị dự kiến lưu giữ</x:v>
      </x:c>
      <x:c r="E1" s="39" t="str">
        <x:v>Trường dữ liệu tối thiểu</x:v>
      </x:c>
      <x:c r="F1" s="39" t="str">
        <x:v>Phục vụ chỉ số/phân tích</x:v>
      </x:c>
      <x:c r="G1" s="39" t="str">
        <x:v>Ưu tiên</x:v>
      </x:c>
      <x:c r="H1" s="39" t="str">
        <x:v>Trạng thái</x:v>
      </x:c>
      <x:c r="I1" s="39" t="str">
        <x:v>Ghi chú</x:v>
      </x:c>
    </x:row>
    <x:row r="2">
      <x:c r="A2" t="str">
        <x:v>R01</x:v>
      </x:c>
      <x:c r="B2" t="str">
        <x:v>Danh mục toàn bộ đơn đăng ký và văn bằng SHTT của Trường giai đoạn 2021–2025</x:v>
      </x:c>
      <x:c r="C2" t="str">
        <x:v>Bảo hộ</x:v>
      </x:c>
      <x:c r="D2" t="str">
        <x:v>Phòng KHCN</x:v>
      </x:c>
      <x:c r="E2" t="str">
        <x:v>Tên TSTT; loại quyền; số đơn; ngày nộp; chủ đơn; trạng thái; số văn bằng; ngày cấp</x:v>
      </x:c>
      <x:c r="F2" t="str">
        <x:v>IP funnel; protection rate; time-to-IP</x:v>
      </x:c>
      <x:c r="G2" t="str">
        <x:v>Rất cao</x:v>
      </x:c>
      <x:c r="H2" t="str">
        <x:v>Đã có danh sách tổng hợp</x:v>
      </x:c>
      <x:c r="I2" t="str">
        <x:v>Người dùng đã cung cấp danh sách 16 đối tượng trong nguồn tổng hợp; 12 đối tượng có ĐHTĐ là chủ sở hữu/đồng sở hữu, trong đó 11 thuộc 2021-2025. Vẫn thiếu số đơn/văn bằng đối với 2 sáng chế và số đơn cụ thể của Double2n.</x:v>
      </x:c>
    </x:row>
    <x:row r="3">
      <x:c r="A3" t="str">
        <x:v>R02</x:v>
      </x:c>
      <x:c r="B3" t="str">
        <x:v>Phiếu khai báo/biên bản nhận diện TSTT hoặc sổ/CSDL TSTT</x:v>
      </x:c>
      <x:c r="C3" t="str">
        <x:v>Nhận diện</x:v>
      </x:c>
      <x:c r="D3" t="str">
        <x:v>Phòng KHCN</x:v>
      </x:c>
      <x:c r="E3" t="str">
        <x:v>Tên tài sản; ngày khai báo; tác giả; đơn vị; nguồn kinh phí; chủ sở hữu dự kiến</x:v>
      </x:c>
      <x:c r="F3" t="str">
        <x:v>Disclosure rate; identification gap</x:v>
      </x:c>
      <x:c r="G3" t="str">
        <x:v>Rất cao</x:v>
      </x:c>
      <x:c r="H3" t="str">
        <x:v>Không có theo xác nhận hiện tại</x:v>
      </x:c>
      <x:c r="I3" t="str">
        <x:v>Theo người dùng, không có phiếu khai báo/biên bản nhận diện TSTT hoặc sổ/CSDL tương đương. Đây là một phát hiện thực chứng về hồ sơ quản trị; không tự động đồng nghĩa hoạt động nhận diện chưa từng diễn ra.</x:v>
      </x:c>
    </x:row>
    <x:row r="4">
      <x:c r="A4" t="str">
        <x:v>R03</x:v>
      </x:c>
      <x:c r="B4" t="str">
        <x:v>Biên bản/ý kiến sàng lọc khả năng bảo hộ và tra cứu tính mới</x:v>
      </x:c>
      <x:c r="C4" t="str">
        <x:v>Sàng lọc</x:v>
      </x:c>
      <x:c r="D4" t="str">
        <x:v>Phòng KHCN/đơn vị chuyên môn</x:v>
      </x:c>
      <x:c r="E4" t="str">
        <x:v>Ngày sàng lọc; kết luận; loại quyền khuyến nghị; lý do tiếp tục/không tiếp tục</x:v>
      </x:c>
      <x:c r="F4" t="str">
        <x:v>Screening rate; protection potential</x:v>
      </x:c>
      <x:c r="G4" t="str">
        <x:v>Rất cao</x:v>
      </x:c>
      <x:c r="H4" t="str">
        <x:v>Không có theo xác nhận hiện tại</x:v>
      </x:c>
      <x:c r="I4" t="str">
        <x:v>Theo người dùng, không có hồ sơ sàng lọc/tra cứu khả năng bảo hộ. Vì vậy không thể tính Screening Rate theo hồ sơ; có thể đánh giá 'không có bằng chứng tài liệu hóa quy trình' trong giai đoạn nghiên cứu.</x:v>
      </x:c>
    </x:row>
    <x:row r="5">
      <x:c r="A5" t="str">
        <x:v>R04</x:v>
      </x:c>
      <x:c r="B5" t="str">
        <x:v>Thuyết minh, hợp đồng và biên bản nghiệm thu đầy đủ của các đề tài có đầu ra ứng dụng</x:v>
      </x:c>
      <x:c r="C5" t="str">
        <x:v>Tạo lập</x:v>
      </x:c>
      <x:c r="D5" t="str">
        <x:v>Phòng KHCN</x:v>
      </x:c>
      <x:c r="E5" t="str">
        <x:v>Nguồn lực; sản phẩm đăng ký; sản phẩm đạt được; tác giả; điều khoản SHTT; kiến nghị chuyển giao</x:v>
      </x:c>
      <x:c r="F5" t="str">
        <x:v>Ownership audit; legal-practice gap</x:v>
      </x:c>
      <x:c r="G5" t="str">
        <x:v>Rất cao</x:v>
      </x:c>
      <x:c r="H5" t="str">
        <x:v>Chưa xin</x:v>
      </x:c>
      <x:c r="I5" t="str">
        <x:v>Lấy trước 10–15 case ưu tiên.</x:v>
      </x:c>
    </x:row>
    <x:row r="6">
      <x:c r="A6" t="str">
        <x:v>R05</x:v>
      </x:c>
      <x:c r="B6" t="str">
        <x:v>Hợp đồng/thỏa thuận hợp tác Nhà trường–Doanh nghiệp có điều khoản SHTT</x:v>
      </x:c>
      <x:c r="C6" t="str">
        <x:v>Đồng sáng tạo</x:v>
      </x:c>
      <x:c r="D6" t="str">
        <x:v>Phòng KHCN/Pháp chế/Đơn vị</x:v>
      </x:c>
      <x:c r="E6" t="str">
        <x:v>Background IP; foreground IP; quyền nộp đơn; chia sẻ lợi ích; bảo mật</x:v>
      </x:c>
      <x:c r="F6" t="str">
        <x:v>University-industry IP governance</x:v>
      </x:c>
      <x:c r="G6" t="str">
        <x:v>Cao</x:v>
      </x:c>
      <x:c r="H6" t="str">
        <x:v>Chưa xin</x:v>
      </x:c>
      <x:c r="I6" t="str">
        <x:v>Đặc biệt case tinh dầu vỏ bưởi.</x:v>
      </x:c>
    </x:row>
    <x:row r="7">
      <x:c r="A7" t="str">
        <x:v>R06</x:v>
      </x:c>
      <x:c r="B7" t="str">
        <x:v>Hợp đồng chuyển giao, cấp phép, bàn giao sản phẩm hoặc biên bản thương mại hóa</x:v>
      </x:c>
      <x:c r="C7" t="str">
        <x:v>Khai thác</x:v>
      </x:c>
      <x:c r="D7" t="str">
        <x:v>Phòng KHCN/Bộ phận Khởi nghiệp</x:v>
      </x:c>
      <x:c r="E7" t="str">
        <x:v>TSTT gốc; đối tác; hình thức giao dịch; thời hạn; phạm vi; giá trị</x:v>
      </x:c>
      <x:c r="F7" t="str">
        <x:v>IP-to-Value; commercialization rate</x:v>
      </x:c>
      <x:c r="G7" t="str">
        <x:v>Rất cao</x:v>
      </x:c>
      <x:c r="H7" t="str">
        <x:v>Không có theo xác nhận hiện tại</x:v>
      </x:c>
      <x:c r="I7" t="str">
        <x:v>Theo người dùng, không có hợp đồng chuyển giao/cấp phép/biên bản thương mại hóa trong bộ hồ sơ hiện có. Cần phân biệt: 'không có hồ sơ' với 'không có hoạt động'. Các dòng nghiệm thu ghi chuyển giao/ứng dụng chỉ được coi là dấu hiệu, chưa phải giao dịch thương mại đã xác nhận.</x:v>
      </x:c>
    </x:row>
    <x:row r="8">
      <x:c r="A8" t="str">
        <x:v>R07</x:v>
      </x:c>
      <x:c r="B8" t="str">
        <x:v>Dữ liệu doanh thu/thu nhập từ chuyển giao, cấp phép, bán sản phẩm dựa trên TSTT</x:v>
      </x:c>
      <x:c r="C8" t="str">
        <x:v>Giá trị</x:v>
      </x:c>
      <x:c r="D8" t="str">
        <x:v>Phòng Tài chính-Kế toán</x:v>
      </x:c>
      <x:c r="E8" t="str">
        <x:v>Doanh thu; năm; TSTT; hợp đồng; chi phí liên quan</x:v>
      </x:c>
      <x:c r="F8" t="str">
        <x:v>Economic value; ROI</x:v>
      </x:c>
      <x:c r="G8" t="str">
        <x:v>Rất cao</x:v>
      </x:c>
      <x:c r="H8" t="str">
        <x:v>Chưa xin</x:v>
      </x:c>
      <x:c r="I8" t="str">
        <x:v>Có thể tổng hợp theo mã hóa nếu dữ liệu nhạy cảm.</x:v>
      </x:c>
    </x:row>
    <x:row r="9">
      <x:c r="A9" t="str">
        <x:v>R08</x:v>
      </x:c>
      <x:c r="B9" t="str">
        <x:v>Chi phí đăng ký, gia hạn, duy trì và tư vấn SHTT</x:v>
      </x:c>
      <x:c r="C9" t="str">
        <x:v>Bảo hộ/giá trị</x:v>
      </x:c>
      <x:c r="D9" t="str">
        <x:v>Phòng Tài chính-Kế toán/Phòng KHCN</x:v>
      </x:c>
      <x:c r="E9" t="str">
        <x:v>Loại chi phí; TSTT; năm; số tiền</x:v>
      </x:c>
      <x:c r="F9" t="str">
        <x:v>Cost of protection; portfolio efficiency</x:v>
      </x:c>
      <x:c r="G9" t="str">
        <x:v>Cao</x:v>
      </x:c>
      <x:c r="H9" t="str">
        <x:v>Chưa xin</x:v>
      </x:c>
      <x:c r="I9" t="str"/>
    </x:row>
    <x:row r="10">
      <x:c r="A10" t="str">
        <x:v>R09</x:v>
      </x:c>
      <x:c r="B10" t="str">
        <x:v>Chứng từ phân chia lợi ích, nhuận bút, thù lao liên quan khai thác TSTT</x:v>
      </x:c>
      <x:c r="C10" t="str">
        <x:v>Lợi ích</x:v>
      </x:c>
      <x:c r="D10" t="str">
        <x:v>Phòng Tài chính-Kế toán</x:v>
      </x:c>
      <x:c r="E10" t="str">
        <x:v>TSTT; người nhận; căn cứ; số tiền/tỷ lệ; thời điểm</x:v>
      </x:c>
      <x:c r="F10" t="str">
        <x:v>Incentive effectiveness; compliance gap</x:v>
      </x:c>
      <x:c r="G10" t="str">
        <x:v>Cao</x:v>
      </x:c>
      <x:c r="H10" t="str">
        <x:v>Chưa xin</x:v>
      </x:c>
      <x:c r="I10" t="str"/>
    </x:row>
    <x:row r="11">
      <x:c r="A11" t="str">
        <x:v>R10</x:v>
      </x:c>
      <x:c r="B11" t="str">
        <x:v>Minh chứng sử dụng sản phẩm nghiên cứu trong giảng dạy/phòng thực hành/quản trị</x:v>
      </x:c>
      <x:c r="C11" t="str">
        <x:v>Ứng dụng nội bộ</x:v>
      </x:c>
      <x:c r="D11" t="str">
        <x:v>Khoa/Viện/Phòng Đào tạo</x:v>
      </x:c>
      <x:c r="E11" t="str">
        <x:v>Tên sản phẩm; học phần/đơn vị; số lớp/lượt người dùng; thời điểm; quyết định/biên bản</x:v>
      </x:c>
      <x:c r="F11" t="str">
        <x:v>Utilization rate; training value</x:v>
      </x:c>
      <x:c r="G11" t="str">
        <x:v>Rất cao</x:v>
      </x:c>
      <x:c r="H11" t="str">
        <x:v>Chưa xin</x:v>
      </x:c>
      <x:c r="I11" t="str">
        <x:v>Đặc biệt panel ô tô, bộ mẫu dược liệu, tiêu bản, quy trình thực hành.</x:v>
      </x:c>
    </x:row>
    <x:row r="12">
      <x:c r="A12" t="str">
        <x:v>R11</x:v>
      </x:c>
      <x:c r="B12" t="str">
        <x:v>Danh sách bài báo thực tế kèm DOI/link, tác giả, năm; danh mục hội thảo/kỷ yếu</x:v>
      </x:c>
      <x:c r="C12" t="str">
        <x:v>Công bố</x:v>
      </x:c>
      <x:c r="D12" t="str">
        <x:v>Phòng KHCN/Tạp chí</x:v>
      </x:c>
      <x:c r="E12" t="str">
        <x:v>Tiêu đề; tác giả; năm; DOI/link; loại công bố; liên kết đề tài nếu có</x:v>
      </x:c>
      <x:c r="F12" t="str">
        <x:v>Cross-link outputs; tránh đếm trùng</x:v>
      </x:c>
      <x:c r="G12" t="str">
        <x:v>Cao</x:v>
      </x:c>
      <x:c r="H12" t="str">
        <x:v>Một phần đã có</x:v>
      </x:c>
      <x:c r="I12" t="str">
        <x:v>Cần ghép 1:1 với các dòng 'bài báo' trong hồ sơ nghiệm thu.</x:v>
      </x:c>
    </x:row>
    <x:row r="13">
      <x:c r="A13" t="str">
        <x:v>R12</x:v>
      </x:c>
      <x:c r="B13" t="str">
        <x:v>Danh mục giáo trình, tài liệu giảng dạy và hồ sơ quyền tác giả/chủ sở hữu</x:v>
      </x:c>
      <x:c r="C13" t="str">
        <x:v>Học liệu</x:v>
      </x:c>
      <x:c r="D13" t="str">
        <x:v>Phòng KHCN/Thư viện/Đào tạo</x:v>
      </x:c>
      <x:c r="E13" t="str">
        <x:v>Tên; tác giả; đơn vị; năm; quyết định; phạm vi sử dụng; đăng ký QTG nếu có</x:v>
      </x:c>
      <x:c r="F13" t="str">
        <x:v>Academic IP portfolio; ownership audit</x:v>
      </x:c>
      <x:c r="G13" t="str">
        <x:v>Cao</x:v>
      </x:c>
      <x:c r="H13" t="str">
        <x:v>Một phần đã có</x:v>
      </x:c>
      <x:c r="I13" t="str">
        <x:v>Dữ liệu thống kê 2021–2025 đã có, còn thiếu liên kết quyền và mức sử dụng.</x:v>
      </x:c>
    </x:row>
    <x:row r="14">
      <x:c r="A14" t="str">
        <x:v>R13</x:v>
      </x:c>
      <x:c r="B14" t="str">
        <x:v>Số giảng viên/nghiên cứu viên theo đơn vị và năm</x:v>
      </x:c>
      <x:c r="C14" t="str">
        <x:v>Chuẩn hóa</x:v>
      </x:c>
      <x:c r="D14" t="str">
        <x:v>Phòng TCCB</x:v>
      </x:c>
      <x:c r="E14" t="str">
        <x:v>Đơn vị; năm; số GV/NV nghiên cứu; FTE nếu có</x:v>
      </x:c>
      <x:c r="F14" t="str">
        <x:v>IP/output per capita by faculty</x:v>
      </x:c>
      <x:c r="G14" t="str">
        <x:v>Trung bình</x:v>
      </x:c>
      <x:c r="H14" t="str">
        <x:v>Chưa xin</x:v>
      </x:c>
      <x:c r="I14" t="str">
        <x:v>Dùng chuẩn hóa so sánh giữa khoa, tránh thiên lệch quy mô.</x:v>
      </x:c>
    </x:row>
    <x:row r="15">
      <x:c r="A15" t="str">
        <x:v>R14</x:v>
      </x:c>
      <x:c r="B15" t="str">
        <x:v>Dữ liệu sinh viên, số học phần và quy mô đào tạo theo nhóm ngành</x:v>
      </x:c>
      <x:c r="C15" t="str">
        <x:v>Chuẩn hóa/giá trị</x:v>
      </x:c>
      <x:c r="D15" t="str">
        <x:v>Phòng Đào tạo</x:v>
      </x:c>
      <x:c r="E15" t="str">
        <x:v>Ngành; năm; số SV; học phần; quy mô sử dụng học liệu</x:v>
      </x:c>
      <x:c r="F15" t="str">
        <x:v>Training reach; value per user</x:v>
      </x:c>
      <x:c r="G15" t="str">
        <x:v>Trung bình</x:v>
      </x:c>
      <x:c r="H15" t="str">
        <x:v>Chưa xin</x:v>
      </x:c>
      <x:c r="I15" t="str"/>
    </x:row>
    <x:row r="16">
      <x:c r="A16" t="str">
        <x:v>R15</x:v>
      </x:c>
      <x:c r="B16" t="str">
        <x:v>Bằng chứng sử dụng TSTT trong truyền thông, tuyển sinh, kiểm định và xếp hạng</x:v>
      </x:c>
      <x:c r="C16" t="str">
        <x:v>Giá trị chiến lược</x:v>
      </x:c>
      <x:c r="D16" t="str">
        <x:v>Phòng TT/ĐBCL/HTQT</x:v>
      </x:c>
      <x:c r="E16" t="str">
        <x:v>Tài sản; chỉ số/ranking/tiêu chí; minh chứng; năm</x:v>
      </x:c>
      <x:c r="F16" t="str">
        <x:v>Strategic/ranking value mapping</x:v>
      </x:c>
      <x:c r="G16" t="str">
        <x:v>Cao</x:v>
      </x:c>
      <x:c r="H16" t="str">
        <x:v>Chưa xin</x:v>
      </x:c>
      <x:c r="I16" t="str">
        <x:v>Không quy tiền trực tiếp nếu chưa có phương pháp định giá phù hợp.</x:v>
      </x:c>
    </x:row>
  </x:sheetData>
  <x:conditionalFormatting sqref="H3:H4">
    <x:cfRule type="expression" dxfId="3" priority="1">
      <x:formula>H3="Không có theo xác nhận hiện tại"</x:formula>
    </x:cfRule>
  </x:conditionalFormatting>
  <x:conditionalFormatting sqref="H7:H7">
    <x:cfRule type="expression" dxfId="4" priority="2">
      <x:formula>H7="Không có theo xác nhận hiện tại"</x:formula>
    </x:cfRule>
  </x:conditionalFormatting>
  <x:pageMargins left="0.7" right="0.7" top="0.75" bottom="0.75" header="0.3" footer="0.3"/>
  <x:tableParts count="1">
    <x:tablePart xmlns:r="http://schemas.openxmlformats.org/officeDocument/2006/relationships" r:id="R85d0c6ade45e4728"/>
  </x:tableParts>
</x:worksheet>
</file>

<file path=xl/worksheets/sheet16.xml><?xml version="1.0" encoding="utf-8"?>
<x:worksheet xmlns:x="http://schemas.openxmlformats.org/spreadsheetml/2006/main">
  <x:sheetFormatPr defaultRowHeight="15"/>
  <x:cols>
    <x:col min="1" max="1" width="36" hidden="0" customWidth="1"/>
    <x:col min="2" max="2" width="48" hidden="0" customWidth="1"/>
    <x:col min="3" max="3" width="16" hidden="0" customWidth="1"/>
    <x:col min="4" max="4" width="5" hidden="0" customWidth="1"/>
    <x:col min="5" max="5" width="42" hidden="0" customWidth="1"/>
    <x:col min="6" max="6" width="40" hidden="0" customWidth="1"/>
    <x:col min="7" max="7" width="16" hidden="0" customWidth="1"/>
    <x:col min="8" max="8" width="12" hidden="0" customWidth="1"/>
    <x:col min="9" max="9" width="30" hidden="0" customWidth="1"/>
    <x:col min="10" max="10" width="42" hidden="0" customWidth="1"/>
    <x:col min="11" max="11" width="16" hidden="0" customWidth="1"/>
  </x:cols>
  <x:sheetData>
    <x:row r="1">
      <x:c r="A1" s="43" t="str">
        <x:v>MISSION 1.2 – IP PORTFOLIO INVENTORY 2021–2025 (DỮ LIỆU HỒ SƠ)</x:v>
      </x:c>
      <x:c r="B1" s="43"/>
      <x:c r="C1" s="43"/>
      <x:c r="D1" s="43"/>
      <x:c r="E1" s="43"/>
      <x:c r="F1" s="43"/>
      <x:c r="G1" s="43"/>
      <x:c r="H1" s="43"/>
    </x:row>
    <x:row r="3">
      <x:c r="A3" s="39" t="str">
        <x:v>Chỉ số</x:v>
      </x:c>
      <x:c r="B3" s="39" t="str">
        <x:v>Ý nghĩa</x:v>
      </x:c>
      <x:c r="C3" s="39" t="str">
        <x:v>Giá trị</x:v>
      </x:c>
      <x:c r="E3" s="39" t="str">
        <x:v>Mức ưu tiên IP</x:v>
      </x:c>
      <x:c r="F3" s="39" t="str">
        <x:v>Số đầu ra</x:v>
      </x:c>
    </x:row>
    <x:row r="4">
      <x:c r="A4" t="str">
        <x:v>Tổng số đề tài cấp cơ sở</x:v>
      </x:c>
      <x:c r="B4" t="str">
        <x:v>Số dòng Project_ID đã kiểm kê</x:v>
      </x:c>
      <x:c r="C4" t="n">
        <x:f>COUNTA('01_PROJECT_ALL'!A2:A1000)</x:f>
        <x:v>38</x:v>
      </x:c>
      <x:c r="E4" t="str">
        <x:v>Cao</x:v>
      </x:c>
      <x:c r="F4" t="n">
        <x:f>COUNTIF('02_OUTPUT_ALL'!$K$2:$K$2000,E4)</x:f>
        <x:v>15</x:v>
      </x:c>
    </x:row>
    <x:row r="5">
      <x:c r="A5" t="str">
        <x:v>Tổng số dòng đầu ra</x:v>
      </x:c>
      <x:c r="B5" t="str">
        <x:v>Đầu ra bóc tách từ sản phẩm nghiệm thu</x:v>
      </x:c>
      <x:c r="C5" t="n">
        <x:f>COUNTA('02_OUTPUT_ALL'!A2:A2000)</x:f>
        <x:v>90</x:v>
      </x:c>
      <x:c r="E5" t="str">
        <x:v>Trung bình</x:v>
      </x:c>
      <x:c r="F5" t="n">
        <x:f>COUNTIF('02_OUTPUT_ALL'!$K$2:$K$2000,E5)</x:f>
        <x:v>11</x:v>
      </x:c>
    </x:row>
    <x:row r="6">
      <x:c r="A6" t="str">
        <x:v>Đầu ra ưu tiên IP (TB + Cao)</x:v>
      </x:c>
      <x:c r="B6" t="str">
        <x:v>Cần quản trị/sàng lọc sâu hơn</x:v>
      </x:c>
      <x:c r="C6" t="n">
        <x:f>COUNTIF('02_OUTPUT_ALL'!K2:K2000,"Trung bình")+COUNTIF('02_OUTPUT_ALL'!K2:K2000,"Cao")</x:f>
        <x:v>26</x:v>
      </x:c>
      <x:c r="E6" t="str">
        <x:v>Thấp</x:v>
      </x:c>
      <x:c r="F6" t="n">
        <x:f>COUNTIF('02_OUTPUT_ALL'!$K$2:$K$2000,E6)</x:f>
        <x:v>64</x:v>
      </x:c>
    </x:row>
    <x:row r="7">
      <x:c r="A7" t="str">
        <x:v>Đầu ra ưu tiên IP mức Cao</x:v>
      </x:c>
      <x:c r="B7" t="str">
        <x:v>Prototype/quy trình/công thức/chuyển giao...</x:v>
      </x:c>
      <x:c r="C7" t="n">
        <x:f>COUNTIF('02_OUTPUT_ALL'!K2:K2000,"Cao")</x:f>
        <x:v>15</x:v>
      </x:c>
      <x:c r="E7" t="str">
        <x:v>Tổng</x:v>
      </x:c>
      <x:c r="F7" t="n">
        <x:f>SUM(F4:F6)</x:f>
        <x:v>90</x:v>
      </x:c>
    </x:row>
    <x:row r="8">
      <x:c r="A8" t="str">
        <x:v>Đầu ra có dấu hiệu ứng dụng</x:v>
      </x:c>
      <x:c r="B8" t="str">
        <x:v>Hồ sơ ghi Có ở cột ứng dụng</x:v>
      </x:c>
      <x:c r="C8" t="n">
        <x:f>COUNTIF('02_OUTPUT_ALL'!L2:L2000,"Có")</x:f>
        <x:v>25</x:v>
      </x:c>
    </x:row>
    <x:row r="9">
      <x:c r="A9" t="str">
        <x:v>Đầu ra cần đối chiếu CSDL công bố</x:v>
      </x:c>
      <x:c r="B9" t="str">
        <x:v>Bài báo/kỷ yếu cần ghép tiêu đề/DOI</x:v>
      </x:c>
      <x:c r="C9" t="n">
        <x:f>COUNTIF('02_OUTPUT_ALL'!M2:M2000,"Cần đối chiếu")</x:f>
        <x:v>30</x:v>
      </x:c>
    </x:row>
    <x:row r="10">
      <x:c r="A10" t="str">
        <x:v>Bằng chứng công bố mâu thuẫn/chưa đủ</x:v>
      </x:c>
      <x:c r="B10" t="str">
        <x:v>Ví dụ hồ sơ ghi '(ko có bài báo)'</x:v>
      </x:c>
      <x:c r="C10" t="n">
        <x:f>COUNTIF('02_OUTPUT_ALL'!H2:H2000,"Hồ sơ ghi nhưng chú thích '(ko có bài báo)'")</x:f>
        <x:v>3</x:v>
      </x:c>
    </x:row>
    <x:row r="11">
      <x:c r="A11" t="str">
        <x:v>Đầu ra bảo hộ mới ở mức dự kiến</x:v>
      </x:c>
      <x:c r="B11" t="str">
        <x:v>GPHI/sáng chế ghi dự kiến/kế hoạch</x:v>
      </x:c>
      <x:c r="C11" t="n">
        <x:f>COUNTIF('02_OUTPUT_ALL'!H2:H2000,"Đã nghiệm thu; ghi 'công thức mới, dự kiến đăng ký GPHI'")+COUNTIF('02_OUTPUT_ALL'!H2:H2000,"Đã nghiệm thu; ghi 'quy trình mới, dự kiến đăng ký GPHI'")+COUNTIF('02_OUTPUT_ALL'!H2:H2000,"Kế hoạch giai đoạn 2; chưa có bằng chứng nộp/cấp")</x:f>
        <x:v>3</x:v>
      </x:c>
    </x:row>
    <x:row r="12">
      <x:c r="A12" t="str">
        <x:v>Số đề tài có đầu ra ứng dụng ghi trong hồ sơ</x:v>
      </x:c>
      <x:c r="B12" t="str">
        <x:v>Project column O = Có</x:v>
      </x:c>
      <x:c r="C12" t="n">
        <x:f>COUNTIF('01_PROJECT_ALL'!O2:O1000,"Có")</x:f>
        <x:v>18</x:v>
      </x:c>
    </x:row>
    <x:row r="13">
      <x:c r="A13" t="str">
        <x:v>Tỷ lệ đề tài có dấu hiệu ứng dụng</x:v>
      </x:c>
      <x:c r="B13" t="str">
        <x:v>Project có dấu hiệu ứng dụng / tổng project</x:v>
      </x:c>
      <x:c r="C13" s="44" t="n">
        <x:f>IF(C4=0,"",C12/C4)</x:f>
        <x:v>0.47368421052631576</x:v>
      </x:c>
    </x:row>
    <x:row r="16">
      <x:c r="A16" s="39" t="str">
        <x:v>Năm nhóm</x:v>
      </x:c>
      <x:c r="B16" s="39" t="str">
        <x:v>Số đề tài</x:v>
      </x:c>
      <x:c r="C16" s="39" t="str">
        <x:v>Số dòng đầu ra</x:v>
      </x:c>
      <x:c r="E16" s="39" t="str">
        <x:v>Strategic Cluster</x:v>
      </x:c>
      <x:c r="F16" s="39" t="str">
        <x:v>Số đề tài</x:v>
      </x:c>
    </x:row>
    <x:row r="17">
      <x:c r="A17" t="n">
        <x:v>2021</x:v>
      </x:c>
      <x:c r="B17" t="n">
        <x:f>COUNTIF('01_PROJECT_ALL'!$B$2:$B$1000,A17)</x:f>
        <x:v>6</x:v>
      </x:c>
      <x:c r="C17" t="n">
        <x:f>COUNTIF('02_OUTPUT_ALL'!$C$2:$C$2000,A17)</x:f>
        <x:v>11</x:v>
      </x:c>
      <x:c r="E17" t="str">
        <x:v>Smart Mobility</x:v>
      </x:c>
      <x:c r="F17" t="n">
        <x:f>COUNTIF('01_PROJECT_ALL'!$I$2:$I$1000,E17)</x:f>
        <x:v>1</x:v>
      </x:c>
    </x:row>
    <x:row r="18">
      <x:c r="A18" t="n">
        <x:v>2022</x:v>
      </x:c>
      <x:c r="B18" t="n">
        <x:f>COUNTIF('01_PROJECT_ALL'!$B$2:$B$1000,A18)</x:f>
        <x:v>10</x:v>
      </x:c>
      <x:c r="C18" t="n">
        <x:f>COUNTIF('02_OUTPUT_ALL'!$C$2:$C$2000,A18)</x:f>
        <x:v>14</x:v>
      </x:c>
      <x:c r="E18" t="str">
        <x:v>Digital Services</x:v>
      </x:c>
      <x:c r="F18" t="n">
        <x:f>COUNTIF('01_PROJECT_ALL'!$I$2:$I$1000,E18)</x:f>
        <x:v>4</x:v>
      </x:c>
    </x:row>
    <x:row r="19">
      <x:c r="A19" t="n">
        <x:v>2023</x:v>
      </x:c>
      <x:c r="B19" t="n">
        <x:f>COUNTIF('01_PROJECT_ALL'!$B$2:$B$1000,A19)</x:f>
        <x:v>7</x:v>
      </x:c>
      <x:c r="C19" t="n">
        <x:f>COUNTIF('02_OUTPUT_ALL'!$C$2:$C$2000,A19)</x:f>
        <x:v>21</x:v>
      </x:c>
      <x:c r="E19" t="str">
        <x:v>Global Communication</x:v>
      </x:c>
      <x:c r="F19" t="n">
        <x:f>COUNTIF('01_PROJECT_ALL'!$I$2:$I$1000,E19)</x:f>
        <x:v>10</x:v>
      </x:c>
    </x:row>
    <x:row r="20">
      <x:c r="A20" t="n">
        <x:v>2024</x:v>
      </x:c>
      <x:c r="B20" t="n">
        <x:f>COUNTIF('01_PROJECT_ALL'!$B$2:$B$1000,A20)</x:f>
        <x:v>8</x:v>
      </x:c>
      <x:c r="C20" t="n">
        <x:f>COUNTIF('02_OUTPUT_ALL'!$C$2:$C$2000,A20)</x:f>
        <x:v>27</x:v>
      </x:c>
      <x:c r="E20" t="str">
        <x:v>Wellness &amp; Care</x:v>
      </x:c>
      <x:c r="F20" t="n">
        <x:f>COUNTIF('01_PROJECT_ALL'!$I$2:$I$1000,E20)</x:f>
        <x:v>10</x:v>
      </x:c>
    </x:row>
    <x:row r="21">
      <x:c r="A21" t="n">
        <x:v>2025</x:v>
      </x:c>
      <x:c r="B21" t="n">
        <x:f>COUNTIF('01_PROJECT_ALL'!$B$2:$B$1000,A21)</x:f>
        <x:v>7</x:v>
      </x:c>
      <x:c r="C21" t="n">
        <x:f>COUNTIF('02_OUTPUT_ALL'!$C$2:$C$2000,A21)</x:f>
        <x:v>17</x:v>
      </x:c>
      <x:c r="E21" t="str">
        <x:v>Khác/Chưa phân loại</x:v>
      </x:c>
      <x:c r="F21" t="n">
        <x:f>COUNTIF('01_PROJECT_ALL'!$I$2:$I$1000,E21)</x:f>
        <x:v>13</x:v>
      </x:c>
    </x:row>
    <x:row r="22">
      <x:c r="A22" t="str">
        <x:v>Tổng</x:v>
      </x:c>
      <x:c r="B22" t="n">
        <x:f>SUM(B17:B21)</x:f>
        <x:v>38</x:v>
      </x:c>
      <x:c r="C22" t="n">
        <x:f>SUM(C17:C21)</x:f>
        <x:v>90</x:v>
      </x:c>
      <x:c r="E22" t="str">
        <x:v>Tổng</x:v>
      </x:c>
      <x:c r="F22" t="n">
        <x:f>SUM(F17:F21)</x:f>
        <x:v>38</x:v>
      </x:c>
    </x:row>
    <x:row r="25">
      <x:c r="A25" s="20" t="str">
        <x:v>Lưu ý: các con số trên phản ánh dữ liệu hồ sơ đã bóc tách, không đồng nghĩa với số TSTT đã được pháp luật xác lập/bảo hộ. Hình thức quyền trong dataset là phân loại sơ bộ để sàng lọc, chưa phải kết luận pháp lý.</x:v>
      </x:c>
      <x:c r="B25" s="20"/>
      <x:c r="C25" s="20"/>
      <x:c r="D25" s="20"/>
      <x:c r="E25" s="20"/>
      <x:c r="F25" s="20"/>
      <x:c r="G25" s="20"/>
      <x:c r="H25" s="20"/>
    </x:row>
    <x:row r="28">
      <x:c r="A28" s="49" t="str">
        <x:v>MISSION 1.3</x:v>
      </x:c>
      <x:c r="B28" s="49" t="str">
        <x:v>Liên kết đầu ra → công bố → bảo hộ</x:v>
      </x:c>
      <x:c r="C28" s="49" t="str">
        <x:v>Giá trị</x:v>
      </x:c>
      <x:c r="E28" s="54" t="str">
        <x:v>DANH MỤC SHTT NGUỒN ĐẦY ĐỦ</x:v>
      </x:c>
      <x:c r="F28" s="54" t="str">
        <x:v>Phạm vi</x:v>
      </x:c>
      <x:c r="G28" s="54" t="str">
        <x:v>Giá trị</x:v>
      </x:c>
      <x:c r="I28" s="59" t="str">
        <x:v>MISSION 2</x:v>
      </x:c>
      <x:c r="J28" s="59" t="str">
        <x:v>Case-based IP governance audit</x:v>
      </x:c>
      <x:c r="K28" s="59" t="str">
        <x:v>Giá trị</x:v>
      </x:c>
    </x:row>
    <x:row r="29">
      <x:c r="A29" s="20" t="str">
        <x:v>Công bố đã xác định/ghép mạnh</x:v>
      </x:c>
      <x:c r="B29" s="20" t="str">
        <x:v>Số liên kết ở 12_PUBLICATION_LINKS</x:v>
      </x:c>
      <x:c r="C29" s="20" t="n">
        <x:f>COUNTA('12_PUBLICATION_LINKS'!A2:A1000)</x:f>
        <x:v>13</x:v>
      </x:c>
      <x:c r="E29" s="20" t="str">
        <x:v>Tổng đối tượng trong danh sách nguồn</x:v>
      </x:c>
      <x:c r="F29" s="20" t="str">
        <x:v>Mọi chủ sở hữu/mọi năm</x:v>
      </x:c>
      <x:c r="G29" s="20" t="n">
        <x:f>COUNTA('13B_PROTECTION_FULL'!A2:A1000)</x:f>
        <x:v>16</x:v>
      </x:c>
      <x:c r="I29" s="20" t="str">
        <x:v>Số khâu trong ma trận pháp luật-thực tiễn</x:v>
      </x:c>
      <x:c r="J29" s="20" t="str">
        <x:v>17_LEGAL_PRACTICE_MATRIX</x:v>
      </x:c>
      <x:c r="K29" s="20" t="n">
        <x:f>COUNTA('17_LEGAL_PRACTICE_MATRIX'!A2:A100)</x:f>
        <x:v>12</x:v>
      </x:c>
    </x:row>
    <x:row r="30">
      <x:c r="A30" s="20" t="str">
        <x:v>Đối tượng SHTT trong bảng văn bằng nội bộ</x:v>
      </x:c>
      <x:c r="B30" s="20" t="str">
        <x:v>Tổng copyright + nhãn hiệu + KDCN + sáng chế ghi trong ảnh</x:v>
      </x:c>
      <x:c r="C30" s="20" t="n">
        <x:f>COUNTA('13_PROTECTION_INVENTORY'!A2:A1000)</x:f>
        <x:v>12</x:v>
      </x:c>
      <x:c r="E30" s="20" t="str">
        <x:v>Trong giai đoạn 2021-2025</x:v>
      </x:c>
      <x:c r="F30" s="20" t="str">
        <x:v>Mọi chủ sở hữu</x:v>
      </x:c>
      <x:c r="G30" s="20" t="n">
        <x:f>COUNTIFS('13B_PROTECTION_FULL'!E2:E1000,"&gt;=2021",'13B_PROTECTION_FULL'!E2:E1000,"&lt;=2025")</x:f>
        <x:v>14</x:v>
      </x:c>
      <x:c r="I30" s="20" t="str">
        <x:v>Số câu hỏi phỏng vấn lõi</x:v>
      </x:c>
      <x:c r="J30" s="20" t="str">
        <x:v>18_INTERVIEW_GUIDE</x:v>
      </x:c>
      <x:c r="K30" s="20" t="n">
        <x:f>COUNTA('18_INTERVIEW_GUIDE'!A4:A100)</x:f>
        <x:v>15</x:v>
      </x:c>
    </x:row>
    <x:row r="31">
      <x:c r="A31" s="20" t="str">
        <x:v>Đối tượng SHTT trong giai đoạn 2021-2025</x:v>
      </x:c>
      <x:c r="B31" s="20" t="str">
        <x:v>Loại trừ sáng chế năm 2026</x:v>
      </x:c>
      <x:c r="C31" s="20" t="n">
        <x:f>COUNTIFS('13_PROTECTION_INVENTORY'!E2:E1000,"&gt;=2021",'13_PROTECTION_INVENTORY'!E2:E1000,"&lt;=2025")</x:f>
        <x:v>11</x:v>
      </x:c>
      <x:c r="E31" s="20" t="str">
        <x:v>ĐHTĐ là chủ sở hữu/đồng sở hữu</x:v>
      </x:c>
      <x:c r="F31" s="20" t="str">
        <x:v>Mọi năm</x:v>
      </x:c>
      <x:c r="G31" s="20" t="n">
        <x:f>COUNTIF('13B_PROTECTION_FULL'!J2:J1000,"Trực tiếp ĐHTĐ")</x:f>
        <x:v>12</x:v>
      </x:c>
      <x:c r="I31" s="20" t="str">
        <x:v>Số case process-tracing</x:v>
      </x:c>
      <x:c r="J31" s="20" t="str">
        <x:v>19_CASE_TRACE</x:v>
      </x:c>
      <x:c r="K31" s="20" t="n">
        <x:f>COUNTA('19_CASE_TRACE'!A2:A100)</x:f>
        <x:v>6</x:v>
      </x:c>
    </x:row>
    <x:row r="32">
      <x:c r="A32" s="20" t="str">
        <x:v>Liên kết đề tài ↔ hồ sơ bảo hộ mức Cao/Rất cao</x:v>
      </x:c>
      <x:c r="B32" s="20" t="str">
        <x:v>Số dòng 14_PROJECT_PROTECTION_LINK</x:v>
      </x:c>
      <x:c r="C32" s="20" t="n">
        <x:f>COUNTA('14_PROJECT_PROTECTION_LINK'!A2:A1000)</x:f>
        <x:v>2</x:v>
      </x:c>
      <x:c r="E32" s="20" t="str">
        <x:v>ĐHTĐ trực tiếp trong 2021-2025</x:v>
      </x:c>
      <x:c r="F32" s="20" t="str">
        <x:v>Portfolio chính của đề tài</x:v>
      </x:c>
      <x:c r="G32" s="20" t="n">
        <x:f>COUNTIFS('13B_PROTECTION_FULL'!J2:J1000,"Trực tiếp ĐHTĐ",'13B_PROTECTION_FULL'!E2:E1000,"&gt;=2021",'13B_PROTECTION_FULL'!E2:E1000,"&lt;=2025")</x:f>
        <x:v>11</x:v>
      </x:c>
      <x:c r="I32" s="20" t="str">
        <x:v>Khảo sát định lượng</x:v>
      </x:c>
      <x:c r="J32" s="20" t="str">
        <x:v>Không thực hiện</x:v>
      </x:c>
      <x:c r="K32" s="20" t="n">
        <x:v>0</x:v>
      </x:c>
    </x:row>
    <x:row r="33">
      <x:c r="A33" s="20" t="str">
        <x:v>Đề tài có liên kết bảo hộ</x:v>
      </x:c>
      <x:c r="B33" s="20" t="str">
        <x:v>Distinct project trong bảng liên kết</x:v>
      </x:c>
      <x:c r="C33" s="20" t="n">
        <x:f>COUNTIF('15_KNOWLEDGE_IP_CHAIN'!H2:H39,"&gt;0")</x:f>
        <x:v>2</x:v>
      </x:c>
      <x:c r="E33" s="20" t="str">
        <x:v>ĐHTĐ trực tiếp có số đăng ký/văn bằng/ký hiệu trong 2021-2025</x:v>
      </x:c>
      <x:c r="F33" s="20" t="str">
        <x:v>Loại trừ Double2n tiếp nhận đơn và sáng chế 2025 chưa có số</x:v>
      </x:c>
      <x:c r="G33" s="20" t="n">
        <x:f>COUNTIFS('13B_PROTECTION_FULL'!J2:J1000,"Trực tiếp ĐHTĐ",'13B_PROTECTION_FULL'!E2:E1000,"&gt;=2021",'13B_PROTECTION_FULL'!E2:E1000,"&lt;=2025",'13B_PROTECTION_FULL'!I2:I1000,"Đã có số đăng ký")+COUNTIFS('13B_PROTECTION_FULL'!J2:J1000,"Trực tiếp ĐHTĐ",'13B_PROTECTION_FULL'!E2:E1000,"&gt;=2021",'13B_PROTECTION_FULL'!E2:E1000,"&lt;=2025",'13B_PROTECTION_FULL'!I2:I1000,"Đã có số văn bằng/ký hiệu")+COUNTIFS('13B_PROTECTION_FULL'!J2:J1000,"Trực tiếp ĐHTĐ",'13B_PROTECTION_FULL'!E2:E1000,"&gt;=2021",'13B_PROTECTION_FULL'!E2:E1000,"&lt;=2025",'13B_PROTECTION_FULL'!I2:I1000,"Đã có số/ký mã hiệu")</x:f>
        <x:v>9</x:v>
      </x:c>
      <x:c r="I33" s="20" t="str">
        <x:v>Văn bản QC TSTT 2024</x:v>
      </x:c>
      <x:c r="J33" s="20" t="str">
        <x:v>Đã xác minh: QĐ 217/QĐ-ĐHTĐ ngày 21/11/2024, hiệu lực 21/11/2024</x:v>
      </x:c>
      <x:c r="K33" s="20" t="n">
        <x:v>1</x:v>
      </x:c>
    </x:row>
    <x:row r="34">
      <x:c r="A34" s="20" t="str">
        <x:v>Đề tài có công bố đã ghép</x:v>
      </x:c>
      <x:c r="B34" s="20" t="str">
        <x:v>Distinct project hiện có ít nhất 1 link</x:v>
      </x:c>
      <x:c r="C34" s="20" t="n">
        <x:f>COUNTIF('15_KNOWLEDGE_IP_CHAIN'!G2:G39,"&gt;0")</x:f>
        <x:v>12</x:v>
      </x:c>
      <x:c r="E34" s="20" t="str">
        <x:v>ĐHTĐ trực tiếp ở trạng thái tiếp nhận đơn</x:v>
      </x:c>
      <x:c r="F34" s="20" t="str">
        <x:v>Double2n</x:v>
      </x:c>
      <x:c r="G34" s="20" t="n">
        <x:f>COUNTIFS('13B_PROTECTION_FULL'!J2:J1000,"Trực tiếp ĐHTĐ",'13B_PROTECTION_FULL'!I2:I1000,"Tiếp nhận đơn; chưa coi là đã được cấp")</x:f>
        <x:v>1</x:v>
      </x:c>
      <x:c r="I34" s="20" t="str">
        <x:v>Gap ưu tiên 1</x:v>
      </x:c>
      <x:c r="J34" s="20" t="str">
        <x:v>Nhận diện/disclosure không có hồ sơ</x:v>
      </x:c>
      <x:c r="K34" s="20"/>
    </x:row>
    <x:row r="35">
      <x:c r="A35" s="20" t="str">
        <x:v>Đề tài có đầu ra IP mức Cao nhưng chưa nối bảo hộ</x:v>
      </x:c>
      <x:c r="B35" s="20" t="str">
        <x:v>Ứng viên cần sàng lọc/đối chiếu hồ sơ; chưa phải kết luận thiếu bảo hộ</x:v>
      </x:c>
      <x:c r="C35" s="20" t="n">
        <x:f>COUNTIFS('15_KNOWLEDGE_IP_CHAIN'!L2:L39,"&gt;0",'15_KNOWLEDGE_IP_CHAIN'!H2:H39,0)</x:f>
        <x:v>7</x:v>
      </x:c>
      <x:c r="E35" s="20" t="str">
        <x:v>ĐHTĐ trực tiếp có sáng chế chưa rõ số đơn/văn bằng</x:v>
      </x:c>
      <x:c r="F35" s="20" t="str">
        <x:v>2025 và 2026</x:v>
      </x:c>
      <x:c r="G35" s="20" t="n">
        <x:f>COUNTIFS('13B_PROTECTION_FULL'!J2:J1000,"Trực tiếp ĐHTĐ",'13B_PROTECTION_FULL'!B2:B1000,"Sáng chế",'13B_PROTECTION_FULL'!I2:I1000,"Có trong danh sách; chưa có số/ký mã hiệu trong nguồn")</x:f>
        <x:v>2</x:v>
      </x:c>
      <x:c r="I35" s="20" t="str">
        <x:v>Gap ưu tiên 2</x:v>
      </x:c>
      <x:c r="J35" s="20" t="str">
        <x:v>Không có hồ sơ screening/tra cứu IP</x:v>
      </x:c>
      <x:c r="K35" s="20"/>
    </x:row>
    <x:row r="36">
      <x:c r="A36" s="20" t="str">
        <x:v>Ghi chú</x:v>
      </x:c>
      <x:c r="B36" s="20" t="str">
        <x:v>Không tính conversion rate chính thức trước khi nhận danh mục đơn/văn bằng đầy đủ và hồ sơ disclosure/sàng lọc.</x:v>
      </x:c>
      <x:c r="C36" s="20"/>
      <x:c r="E36" s="20" t="str">
        <x:v>Nguyên tắc</x:v>
      </x:c>
      <x:c r="F36" s="20" t="str">
        <x:v>Không gộp UNIGO/cá nhân vào portfolio trực tiếp ĐHTĐ.</x:v>
      </x:c>
      <x:c r="G36" s="20"/>
      <x:c r="I36" s="20" t="str">
        <x:v>Gap ưu tiên 3</x:v>
      </x:c>
      <x:c r="J36" s="20" t="str">
        <x:v>Không có hồ sơ transfer/commercialization</x:v>
      </x:c>
      <x:c r="K36" s="20"/>
    </x:row>
  </x:sheetData>
  <x:mergeCells>
    <x:mergeCell ref="A1:H1"/>
    <x:mergeCell ref="A25:H25"/>
  </x:mergeCells>
  <x:pageMargins left="0.7" right="0.7" top="0.75" bottom="0.75" header="0.3" footer="0.3"/>
  <x:drawing xmlns:r="http://schemas.openxmlformats.org/officeDocument/2006/relationships" r:id="Rb1a8ef99286e4fb7"/>
</x:worksheet>
</file>

<file path=xl/worksheets/sheet17.xml><?xml version="1.0" encoding="utf-8"?>
<x:worksheet xmlns:x="http://schemas.openxmlformats.org/spreadsheetml/2006/main">
  <x:sheetFormatPr defaultRowHeight="15"/>
  <x:cols>
    <x:col min="1" max="1" width="12" hidden="0" customWidth="1"/>
    <x:col min="2" max="2" width="18" hidden="0" customWidth="1"/>
    <x:col min="3" max="3" width="14" hidden="0" customWidth="1"/>
    <x:col min="4" max="4" width="28" hidden="0" customWidth="1"/>
    <x:col min="5" max="5" width="62" hidden="0" customWidth="1"/>
    <x:col min="6" max="6" width="20" hidden="0" customWidth="1"/>
    <x:col min="7" max="7" width="42" hidden="0" customWidth="1"/>
    <x:col min="8" max="8" width="44" hidden="0" customWidth="1"/>
    <x:col min="9" max="9" width="8" hidden="0" customWidth="1"/>
    <x:col min="10" max="10" width="24" hidden="0" customWidth="1"/>
    <x:col min="11" max="11" width="42" hidden="0" customWidth="1"/>
    <x:col min="12" max="12" width="14" hidden="0" customWidth="1"/>
    <x:col min="13" max="13" width="58" hidden="0" customWidth="1"/>
    <x:col min="14" max="14" width="48" hidden="0" customWidth="1"/>
  </x:cols>
  <x:sheetData>
    <x:row r="1">
      <x:c r="A1" s="49" t="str">
        <x:v>Link_ID</x:v>
      </x:c>
      <x:c r="B1" s="49" t="str">
        <x:v>Output_ID</x:v>
      </x:c>
      <x:c r="C1" s="49" t="str">
        <x:v>Project_ID</x:v>
      </x:c>
      <x:c r="D1" s="49" t="str">
        <x:v>Quan hệ</x:v>
      </x:c>
      <x:c r="E1" s="49" t="str">
        <x:v>Tiêu đề công bố xác định được</x:v>
      </x:c>
      <x:c r="F1" s="49" t="str">
        <x:v>Loại công bố</x:v>
      </x:c>
      <x:c r="G1" s="49" t="str">
        <x:v>Tạp chí/Hội thảo</x:v>
      </x:c>
      <x:c r="H1" s="49" t="str">
        <x:v>Tác giả</x:v>
      </x:c>
      <x:c r="I1" s="49" t="str">
        <x:v>Năm</x:v>
      </x:c>
      <x:c r="J1" s="49" t="str">
        <x:v>Số/Vol/ISBN</x:v>
      </x:c>
      <x:c r="K1" s="49" t="str">
        <x:v>DOI/Link</x:v>
      </x:c>
      <x:c r="L1" s="49" t="str">
        <x:v>Mức độ khớp</x:v>
      </x:c>
      <x:c r="M1" s="49" t="str">
        <x:v>Cơ sở khớp</x:v>
      </x:c>
      <x:c r="N1" s="49" t="str">
        <x:v>Nguồn dữ liệu</x:v>
      </x:c>
    </x:row>
    <x:row r="2">
      <x:c r="A2" t="str">
        <x:v>PUB-001</x:v>
      </x:c>
      <x:c r="B2" t="str">
        <x:v>O-2021-27-03</x:v>
      </x:c>
      <x:c r="C2" t="str">
        <x:v>P2021-27</x:v>
      </x:c>
      <x:c r="D2" t="str">
        <x:v>Đầu ra nghiệm thu</x:v>
      </x:c>
      <x:c r="E2" t="str">
        <x:v>Tìm hiểu thực trạng về động lực phát triển chuyên môn giáo viên tại Việt Nam</x:v>
      </x:c>
      <x:c r="F2" t="str">
        <x:v>Bài báo trong nước</x:v>
      </x:c>
      <x:c r="G2" t="str">
        <x:v>Tạp chí Giáo dục</x:v>
      </x:c>
      <x:c r="H2" t="str">
        <x:v>Phan Thị Thanh Thảo; Nguyễn Thị Vân Anh</x:v>
      </x:c>
      <x:c r="I2" t="n">
        <x:v>2021</x:v>
      </x:c>
      <x:c r="J2" t="str">
        <x:v>59-64</x:v>
      </x:c>
      <x:c r="K2" t="str"/>
      <x:c r="L2" t="str">
        <x:v>Cao</x:v>
      </x:c>
      <x:c r="M2" t="str">
        <x:v>Chủ đề gần trùng với tên đề tài; chủ nhiệm và thành viên cùng xuất hiện trong bài.</x:v>
      </x:c>
      <x:c r="N2" t="str">
        <x:v>Thống kê bài báo đăng tạp chí khoa học trong nước 2021-2025.pdf</x:v>
      </x:c>
    </x:row>
    <x:row r="3">
      <x:c r="A3" t="str">
        <x:v>PUB-002</x:v>
      </x:c>
      <x:c r="B3" t="str">
        <x:v>O-2021-28-02</x:v>
      </x:c>
      <x:c r="C3" t="str">
        <x:v>P2021-28</x:v>
      </x:c>
      <x:c r="D3" t="str">
        <x:v>Đầu ra nghiệm thu</x:v>
      </x:c>
      <x:c r="E3" t="str">
        <x:v>International academic publishing in Vietnam: policy efficiency and room for development</x:v>
      </x:c>
      <x:c r="F3" t="str">
        <x:v>Bài báo quốc tế</x:v>
      </x:c>
      <x:c r="G3" t="str">
        <x:v>Science Editing</x:v>
      </x:c>
      <x:c r="H3" t="str">
        <x:v>Phan Thị Thanh Thảo; Hiep Hung Pham; Huong Linh Nguyen; Linh Chi Nguyen</x:v>
      </x:c>
      <x:c r="I3" t="n">
        <x:v>2021</x:v>
      </x:c>
      <x:c r="J3" t="str">
        <x:v>Sci Ed 2021; 8(2)</x:v>
      </x:c>
      <x:c r="K3" t="str">
        <x:v>https://escienceediting.org/journal/view.php?number=255</x:v>
      </x:c>
      <x:c r="L3" t="str">
        <x:v>Cao</x:v>
      </x:c>
      <x:c r="M3" t="str">
        <x:v>Chủ đề công bố quốc tế tại Việt Nam; nhiều thành viên đề tài trùng tác giả.</x:v>
      </x:c>
      <x:c r="N3" t="str">
        <x:v>Thống kê bài báo đăng tạp chí khoa học quốc tế 2021-2025.pdf</x:v>
      </x:c>
    </x:row>
    <x:row r="4">
      <x:c r="A4" t="str">
        <x:v>PUB-003</x:v>
      </x:c>
      <x:c r="B4" t="str">
        <x:v>O-2021-28-03</x:v>
      </x:c>
      <x:c r="C4" t="str">
        <x:v>P2021-28</x:v>
      </x:c>
      <x:c r="D4" t="str">
        <x:v>Đầu ra nghiệm thu (1/2 bài trong nước đã xác định)</x:v>
      </x:c>
      <x:c r="E4" t="str">
        <x:v>Năng suất công bố của các cơ sở giáo dục đại học ở Việt Nam giai đoạn 2016-2020: Dữ liệu từ Scopus</x:v>
      </x:c>
      <x:c r="F4" t="str">
        <x:v>Bài báo trong nước</x:v>
      </x:c>
      <x:c r="G4" t="str">
        <x:v>Tạp chí Giáo dục</x:v>
      </x:c>
      <x:c r="H4" t="str">
        <x:v>Lương Đình Hải; Phan Thị Thanh Thảo; Đinh Đức Tài; Phạm Hùng Hiệp</x:v>
      </x:c>
      <x:c r="I4" t="n">
        <x:v>2022</x:v>
      </x:c>
      <x:c r="J4" t="str">
        <x:v>01-06</x:v>
      </x:c>
      <x:c r="K4" t="str"/>
      <x:c r="L4" t="str">
        <x:v>Cao</x:v>
      </x:c>
      <x:c r="M4" t="str">
        <x:v>Chủ đề trực tiếp về năng suất công bố; nhóm tác giả trùng nhiều thành viên đề tài.</x:v>
      </x:c>
      <x:c r="N4" t="str">
        <x:v>Thống kê bài báo đăng tạp chí khoa học trong nước 2021-2025.pdf</x:v>
      </x:c>
    </x:row>
    <x:row r="5">
      <x:c r="A5" t="str">
        <x:v>PUB-004</x:v>
      </x:c>
      <x:c r="B5" t="str">
        <x:v>O-2021-37-02</x:v>
      </x:c>
      <x:c r="C5" t="str">
        <x:v>P2021-37</x:v>
      </x:c>
      <x:c r="D5" t="str">
        <x:v>Đầu ra nghiệm thu</x:v>
      </x:c>
      <x:c r="E5" t="str">
        <x:v>Rào cản của các doanh nghiệp vừa và nhỏ trong việc áp dụng thương mại điện tử tại Việt Nam</x:v>
      </x:c>
      <x:c r="F5" t="str">
        <x:v>Bài báo trong nước</x:v>
      </x:c>
      <x:c r="G5" t="str">
        <x:v>Tạp chí Nghiên cứu Tài chính Kế toán</x:v>
      </x:c>
      <x:c r="H5" t="str">
        <x:v>Đặng Thái Bình; Nguyễn Thị Hay</x:v>
      </x:c>
      <x:c r="I5" t="n">
        <x:v>2021</x:v>
      </x:c>
      <x:c r="J5" t="str">
        <x:v>29-35</x:v>
      </x:c>
      <x:c r="K5" t="str"/>
      <x:c r="L5" t="str">
        <x:v>Rất cao</x:v>
      </x:c>
      <x:c r="M5" t="str">
        <x:v>Tiêu đề bài báo trùng tên đề tài; tác giả trùng chủ nhiệm và thành viên.</x:v>
      </x:c>
      <x:c r="N5" t="str">
        <x:v>Thống kê bài báo đăng tạp chí khoa học trong nước 2021-2025.pdf</x:v>
      </x:c>
    </x:row>
    <x:row r="6">
      <x:c r="A6" t="str">
        <x:v>PUB-005</x:v>
      </x:c>
      <x:c r="B6" t="str">
        <x:v>O-2023-02-01</x:v>
      </x:c>
      <x:c r="C6" t="str">
        <x:v>P2023-02</x:v>
      </x:c>
      <x:c r="D6" t="str">
        <x:v>Đầu ra nghiệm thu</x:v>
      </x:c>
      <x:c r="E6" t="str">
        <x:v>Nâng cao chất lượng đào tạo nguồn nhân lực du lịch áp dụng phương pháp tiếp cận CDIO</x:v>
      </x:c>
      <x:c r="F6" t="str">
        <x:v>Kỷ yếu hội thảo quốc tế</x:v>
      </x:c>
      <x:c r="G6" t="str">
        <x:v>Phát triển kinh tế du lịch gắn với yêu cầu chuyển đổi số: Cơ hội và thách thức đối với nhiệm vụ đào tạo nguồn nhân lực tại tỉnh Đắk Nông</x:v>
      </x:c>
      <x:c r="H6" t="str">
        <x:v>Nguyễn Thị Bích; Nguyễn Tuấn Ninh</x:v>
      </x:c>
      <x:c r="I6" t="n">
        <x:v>2023</x:v>
      </x:c>
      <x:c r="J6" t="str">
        <x:v>ISBN 978-604-79-4095-0</x:v>
      </x:c>
      <x:c r="K6" t="str"/>
      <x:c r="L6" t="str">
        <x:v>Rất cao</x:v>
      </x:c>
      <x:c r="M6" t="str">
        <x:v>Đúng phương pháp CDIO, đúng lĩnh vực du lịch và trùng toàn bộ nhóm tác giả đề tài.</x:v>
      </x:c>
      <x:c r="N6" t="str">
        <x:v>Thống kê báo cáo, tham luận Hội nghị, Hội thảo quốc tế 2021-2025.pdf</x:v>
      </x:c>
    </x:row>
    <x:row r="7">
      <x:c r="A7" t="str">
        <x:v>PUB-006</x:v>
      </x:c>
      <x:c r="B7" t="str">
        <x:v>O-2023-05-01</x:v>
      </x:c>
      <x:c r="C7" t="str">
        <x:v>P2023-05</x:v>
      </x:c>
      <x:c r="D7" t="str">
        <x:v>Đầu ra nghiệm thu</x:v>
      </x:c>
      <x:c r="E7" t="str">
        <x:v>Chính sách khuyến khích cho các công bố khoa học tại một số trường đại học ngoài công lập ở Việt Nam</x:v>
      </x:c>
      <x:c r="F7" t="str">
        <x:v>Bài báo trong nước</x:v>
      </x:c>
      <x:c r="G7" t="str">
        <x:v>Khoa học &amp; Đào tạo - Trường ĐH Công nghệ Sài Gòn</x:v>
      </x:c>
      <x:c r="H7" t="str">
        <x:v>Nguyễn Thị Hảo; Hoàng Thị Thu Hà; Nguyễn Thị Phương Uyên</x:v>
      </x:c>
      <x:c r="I7" t="n">
        <x:v>2023</x:v>
      </x:c>
      <x:c r="J7" t="str">
        <x:v>Số 01/2023</x:v>
      </x:c>
      <x:c r="K7" t="str"/>
      <x:c r="L7" t="str">
        <x:v>Rất cao</x:v>
      </x:c>
      <x:c r="M7" t="str">
        <x:v>Tiêu đề công bố trùng tên đề tài; 3/4 thành viên đề tài là tác giả.</x:v>
      </x:c>
      <x:c r="N7" t="str">
        <x:v>Thống kê bài báo đăng tạp chí khoa học trong nước 2021-2025.pdf</x:v>
      </x:c>
    </x:row>
    <x:row r="8">
      <x:c r="A8" t="str">
        <x:v>PUB-007</x:v>
      </x:c>
      <x:c r="B8" t="str">
        <x:v>O-2023-08-01</x:v>
      </x:c>
      <x:c r="C8" t="str">
        <x:v>P2023-08</x:v>
      </x:c>
      <x:c r="D8" t="str">
        <x:v>Đầu ra nghiệm thu</x:v>
      </x:c>
      <x:c r="E8" t="str">
        <x:v>Hợp tác Nhà trường - Doanh nghiệp trong nghiên cứu khoa học và đào tạo sinh viên ngành Dược học: Nghiên cứu trường hợp tại Trường Đại học Thành Đô</x:v>
      </x:c>
      <x:c r="F8" t="str">
        <x:v>Bài báo trong nước</x:v>
      </x:c>
      <x:c r="G8" t="str">
        <x:v>Tạp chí Giáo dục</x:v>
      </x:c>
      <x:c r="H8" t="str">
        <x:v>Trần Thị Thu Trang; Phan Thị Thanh Thảo; Phạm Thị Thanh Huế</x:v>
      </x:c>
      <x:c r="I8" t="n">
        <x:v>2024</x:v>
      </x:c>
      <x:c r="J8" t="str">
        <x:v>Số 24(4)</x:v>
      </x:c>
      <x:c r="K8" t="str"/>
      <x:c r="L8" t="str">
        <x:v>Cao</x:v>
      </x:c>
      <x:c r="M8" t="str">
        <x:v>Chủ đề hợp tác Nhà trường-Doanh nghiệp ngành Dược và tác giả trùng nhóm đề tài.</x:v>
      </x:c>
      <x:c r="N8" t="str">
        <x:v>Thống kê bài báo đăng tạp chí khoa học trong nước 2021-2025.pdf</x:v>
      </x:c>
    </x:row>
    <x:row r="9">
      <x:c r="A9" t="str">
        <x:v>PUB-008</x:v>
      </x:c>
      <x:c r="B9" t="str">
        <x:v>O-2024-06-01</x:v>
      </x:c>
      <x:c r="C9" t="str">
        <x:v>P2024-06</x:v>
      </x:c>
      <x:c r="D9" t="str">
        <x:v>Đầu ra nghiệm thu</x:v>
      </x:c>
      <x:c r="E9" t="str">
        <x:v>Nghiên cứu chế tạo xà bông từ tảo spirulina</x:v>
      </x:c>
      <x:c r="F9" t="str">
        <x:v>Bài báo trong nước</x:v>
      </x:c>
      <x:c r="G9" t="str">
        <x:v>Tạp chí NCKH&amp;PT</x:v>
      </x:c>
      <x:c r="H9" t="str">
        <x:v>Đỗ Thị Huyền Thương; Vũ Quốc Mạnh; Lê Thị Hiền; Nguyễn Thị Huyền Trang; Đào Thị Mai Hương; Phạm Văn Đại; Nguyễn Ngọc Linh; Phạm Thị Bích Đào</x:v>
      </x:c>
      <x:c r="I9" t="n">
        <x:v>2025</x:v>
      </x:c>
      <x:c r="J9" t="str">
        <x:v>Volume 4, Issue 1 (March 2025)</x:v>
      </x:c>
      <x:c r="K9" t="str">
        <x:v>https://doi.org/10.58902/tcnckhpt.v4i1.215</x:v>
      </x:c>
      <x:c r="L9" t="str">
        <x:v>Cao</x:v>
      </x:c>
      <x:c r="M9" t="str">
        <x:v>Chủ đề xà phòng từ tảo; chủ nhiệm và thành viên chủ chốt của đề tài có trong nhóm tác giả.</x:v>
      </x:c>
      <x:c r="N9" t="str">
        <x:v>Thống kê bài báo đăng tạp chí khoa học trong nước 2021-2025.pdf</x:v>
      </x:c>
    </x:row>
    <x:row r="10">
      <x:c r="A10" t="str">
        <x:v>PUB-009</x:v>
      </x:c>
      <x:c r="B10" t="str">
        <x:v>O-2024-10-01</x:v>
      </x:c>
      <x:c r="C10" t="str">
        <x:v>P2024-10</x:v>
      </x:c>
      <x:c r="D10" t="str">
        <x:v>Đầu ra nghiệm thu</x:v>
      </x:c>
      <x:c r="E10" t="str">
        <x:v>Triết lý nhân sinh trong truyện Lục Vân Tiên của Nguyễn Đình Chiểu</x:v>
      </x:c>
      <x:c r="F10" t="str">
        <x:v>Bài báo trong nước</x:v>
      </x:c>
      <x:c r="G10" t="str">
        <x:v>Tạp chí Giáo dục</x:v>
      </x:c>
      <x:c r="H10" t="str">
        <x:v>Trần Doãn Phú; Nguyễn Thị Hảo; Ngô Nhị Ngọc Linh</x:v>
      </x:c>
      <x:c r="I10" t="n">
        <x:v>2024</x:v>
      </x:c>
      <x:c r="J10" t="str">
        <x:v>Tháng 12/2024</x:v>
      </x:c>
      <x:c r="K10" t="str"/>
      <x:c r="L10" t="str">
        <x:v>Rất cao</x:v>
      </x:c>
      <x:c r="M10" t="str">
        <x:v>Chủ đề trùng trực tiếp với đề tài và cả 3 thành viên đề tài xuất hiện trong bài.</x:v>
      </x:c>
      <x:c r="N10" t="str">
        <x:v>Thống kê bài báo đăng tạp chí khoa học trong nước 2021-2025.pdf</x:v>
      </x:c>
    </x:row>
    <x:row r="11">
      <x:c r="A11" t="str">
        <x:v>PUB-010</x:v>
      </x:c>
      <x:c r="B11" t="str">
        <x:v>O-2024-12-01</x:v>
      </x:c>
      <x:c r="C11" t="str">
        <x:v>P2024-12</x:v>
      </x:c>
      <x:c r="D11" t="str">
        <x:v>Đầu ra nghiệm thu</x:v>
      </x:c>
      <x:c r="E11" t="str">
        <x:v>Thực trạng tích hợp giáo dục vì sự phát triển bền vững trong dạy học “Sinh thái học và môi trường” (Sinh học 12): Nghiên cứu tại một số trường trung học phổ thông ở Hà Nội và thành phố Hồ Chí Minh</x:v>
      </x:c>
      <x:c r="F11" t="str">
        <x:v>Bài báo trong nước</x:v>
      </x:c>
      <x:c r="G11" t="str">
        <x:v>Tạp chí NCKH&amp;PT</x:v>
      </x:c>
      <x:c r="H11" t="str">
        <x:v>Hà Văn Dũng; Nguyễn Linh Chi; Đoàn Thị Phương Thục; Đỗ Thuỳ Linh; Bùi Thị Thanh Nhàn</x:v>
      </x:c>
      <x:c r="I11" t="n">
        <x:v>2024</x:v>
      </x:c>
      <x:c r="J11" t="str">
        <x:v>Volume 3, Issue 3 (September 2024)</x:v>
      </x:c>
      <x:c r="K11" t="str">
        <x:v>https://doi.org/10.58902/tcnckhpt.v3i3.164</x:v>
      </x:c>
      <x:c r="L11" t="str">
        <x:v>Rất cao</x:v>
      </x:c>
      <x:c r="M11" t="str">
        <x:v>Tiêu đề và nhóm tác giả trùng gần như đầy đủ với đề tài.</x:v>
      </x:c>
      <x:c r="N11" t="str">
        <x:v>Thống kê bài báo đăng tạp chí khoa học trong nước 2021-2025.pdf</x:v>
      </x:c>
    </x:row>
    <x:row r="12">
      <x:c r="A12" t="str">
        <x:v>PUB-011</x:v>
      </x:c>
      <x:c r="B12" t="str">
        <x:v>O-2024-13-01</x:v>
      </x:c>
      <x:c r="C12" t="str">
        <x:v>P2024-13</x:v>
      </x:c>
      <x:c r="D12" t="str">
        <x:v>Đầu ra nghiệm thu</x:v>
      </x:c>
      <x:c r="E12" t="str">
        <x:v>An understanding of "universal history" in Francis Fukuyama's “The End of History and the Last Man”</x:v>
      </x:c>
      <x:c r="F12" t="str">
        <x:v>Bài báo quốc tế</x:v>
      </x:c>
      <x:c r="G12" t="str">
        <x:v>Universum: Social Sciences</x:v>
      </x:c>
      <x:c r="H12" t="str">
        <x:v>Ngô Nhị Ngọc Linh</x:v>
      </x:c>
      <x:c r="I12" t="n">
        <x:v>2024</x:v>
      </x:c>
      <x:c r="J12" t="str">
        <x:v>4(107), 36-40</x:v>
      </x:c>
      <x:c r="K12" t="str">
        <x:v>https://doi.org/10.32743/UniSoc.2024.107.4.17403</x:v>
      </x:c>
      <x:c r="L12" t="str">
        <x:v>Rất cao</x:v>
      </x:c>
      <x:c r="M12" t="str">
        <x:v>Chủ đề trùng trực tiếp với đề tài và chủ nhiệm là tác giả.</x:v>
      </x:c>
      <x:c r="N12" t="str">
        <x:v>Thống kê bài báo đăng tạp chí khoa học quốc tế 2021-2025.pdf</x:v>
      </x:c>
    </x:row>
    <x:row r="13">
      <x:c r="A13" t="str">
        <x:v>PUB-012</x:v>
      </x:c>
      <x:c r="B13" t="str">
        <x:v>O-2024-14-01</x:v>
      </x:c>
      <x:c r="C13" t="str">
        <x:v>P2024-14</x:v>
      </x:c>
      <x:c r="D13" t="str">
        <x:v>Đầu ra nghiệm thu</x:v>
      </x:c>
      <x:c r="E13" t="str">
        <x:v>Một số nghiên cứu về năng lực dạy học tích hợp</x:v>
      </x:c>
      <x:c r="F13" t="str">
        <x:v>Bài báo trong nước</x:v>
      </x:c>
      <x:c r="G13" t="str">
        <x:v>Tạp chí NCKH&amp;PT</x:v>
      </x:c>
      <x:c r="H13" t="str">
        <x:v>Hà Văn Dũng; Nguyễn Linh Chi; Đoàn Thị Phương Thục; Phạm Đình Văn; Nguyễn Thuỳ Dung</x:v>
      </x:c>
      <x:c r="I13" t="n">
        <x:v>2025</x:v>
      </x:c>
      <x:c r="J13" t="str">
        <x:v>Volume 4, Issue 1 (March 2025)</x:v>
      </x:c>
      <x:c r="K13" t="str">
        <x:v>https://doi.org/10.58902/tcnckhpt.v4i1.207</x:v>
      </x:c>
      <x:c r="L13" t="str">
        <x:v>Rất cao</x:v>
      </x:c>
      <x:c r="M13" t="str">
        <x:v>Toàn bộ nhóm tác giả trùng nhóm đề tài; nội dung về năng lực dạy học tích hợp.</x:v>
      </x:c>
      <x:c r="N13" t="str">
        <x:v>Thống kê bài báo đăng tạp chí khoa học trong nước 2021-2025.pdf</x:v>
      </x:c>
    </x:row>
    <x:row r="14">
      <x:c r="A14" t="str">
        <x:v>PUB-013</x:v>
      </x:c>
      <x:c r="B14" t="str">
        <x:v>O-2025-02-02</x:v>
      </x:c>
      <x:c r="C14" t="str">
        <x:v>P2025-02</x:v>
      </x:c>
      <x:c r="D14" t="str">
        <x:v>Đầu ra nghiệm thu</x:v>
      </x:c>
      <x:c r="E14" t="str">
        <x:v>Phát triển năng lực đổi mới sáng tạo cho sinh viên</x:v>
      </x:c>
      <x:c r="F14" t="str">
        <x:v>Bài báo trong nước</x:v>
      </x:c>
      <x:c r="G14" t="str">
        <x:v>Tạp chí Quản lý nhà nước và lao động</x:v>
      </x:c>
      <x:c r="H14" t="str">
        <x:v>Nguyễn Thị Hay; Phạm Hoàng Giang; Bùi Đức Thịnh</x:v>
      </x:c>
      <x:c r="I14" t="n">
        <x:v>2025</x:v>
      </x:c>
      <x:c r="J14" t="str">
        <x:v>15/12/2025</x:v>
      </x:c>
      <x:c r="K14" t="str">
        <x:v>https://tcnnld.vn/news/detail/70804/Phat-trien-nang-luc-doi-moi-sang-tao-cho-sinh-vien</x:v>
      </x:c>
      <x:c r="L14" t="str">
        <x:v>Cao</x:v>
      </x:c>
      <x:c r="M14" t="str">
        <x:v>Chủ nhiệm đề tài là tác giả; chủ đề phát triển năng lực đổi mới sáng tạo cho sinh viên phù hợp trực tiếp.</x:v>
      </x:c>
      <x:c r="N14" t="str">
        <x:v>Thống kê bài báo đăng tạp chí khoa học trong nước 2021-2025.pdf</x:v>
      </x:c>
    </x:row>
  </x:sheetData>
  <x:pageMargins left="0.7" right="0.7" top="0.75" bottom="0.75" header="0.3" footer="0.3"/>
  <x:tableParts count="1">
    <x:tablePart xmlns:r="http://schemas.openxmlformats.org/officeDocument/2006/relationships" r:id="R52e33c8f919f465f"/>
  </x:tableParts>
</x:worksheet>
</file>

<file path=xl/worksheets/sheet18.xml><?xml version="1.0" encoding="utf-8"?>
<x:worksheet xmlns:x="http://schemas.openxmlformats.org/spreadsheetml/2006/main">
  <x:sheetFormatPr defaultRowHeight="15"/>
  <x:cols>
    <x:col min="1" max="1" width="14" hidden="0" customWidth="1"/>
    <x:col min="2" max="2" width="22" hidden="0" customWidth="1"/>
    <x:col min="3" max="3" width="62" hidden="0" customWidth="1"/>
    <x:col min="4" max="4" width="20" hidden="0" customWidth="1"/>
    <x:col min="5" max="5" width="8" hidden="0" customWidth="1"/>
    <x:col min="6" max="6" width="30" hidden="0" customWidth="1"/>
    <x:col min="7" max="7" width="24" hidden="0" customWidth="1"/>
    <x:col min="8" max="8" width="34" hidden="0" customWidth="1"/>
    <x:col min="9" max="9" width="16" hidden="0" customWidth="1"/>
    <x:col min="10" max="10" width="16" hidden="0" customWidth="1"/>
    <x:col min="11" max="11" width="48" hidden="0" customWidth="1"/>
    <x:col min="12" max="12" width="58" hidden="0" customWidth="1"/>
  </x:cols>
  <x:sheetData>
    <x:row r="1">
      <x:c r="A1" s="49" t="str">
        <x:v>Protection_ID</x:v>
      </x:c>
      <x:c r="B1" s="49" t="str">
        <x:v>Loại hình</x:v>
      </x:c>
      <x:c r="C1" s="49" t="str">
        <x:v>Tên/đối tượng</x:v>
      </x:c>
      <x:c r="D1" s="49" t="str">
        <x:v>Số/Ký mã hiệu</x:v>
      </x:c>
      <x:c r="E1" s="49" t="str">
        <x:v>Năm</x:v>
      </x:c>
      <x:c r="F1" s="49" t="str">
        <x:v>Cơ quan</x:v>
      </x:c>
      <x:c r="G1" s="49" t="str">
        <x:v>Chủ sở hữu</x:v>
      </x:c>
      <x:c r="H1" s="49" t="str">
        <x:v>Trạng thái suy ra từ nguồn</x:v>
      </x:c>
      <x:c r="I1" s="49" t="str">
        <x:v>Project_ID liên quan sơ bộ</x:v>
      </x:c>
      <x:c r="J1" s="49" t="str">
        <x:v>Mức độ liên kết</x:v>
      </x:c>
      <x:c r="K1" s="49" t="str">
        <x:v>Nguồn</x:v>
      </x:c>
      <x:c r="L1" s="49" t="str">
        <x:v>Ghi chú</x:v>
      </x:c>
    </x:row>
    <x:row r="2">
      <x:c r="A2" t="str">
        <x:v>PIP-001</x:v>
      </x:c>
      <x:c r="B2" t="str">
        <x:v>Bản quyền tác giả</x:v>
      </x:c>
      <x:c r="C2" t="str">
        <x:v>Bộ Logo Trường Đại học Thành Đô</x:v>
      </x:c>
      <x:c r="D2" t="str">
        <x:v>6534/2021/QTG</x:v>
      </x:c>
      <x:c r="E2" t="n">
        <x:v>2021</x:v>
      </x:c>
      <x:c r="F2" t="str">
        <x:v>Cục Bản quyền tác giả, Bộ Văn hóa, Thể thao và Du lịch</x:v>
      </x:c>
      <x:c r="G2" t="str">
        <x:v>ĐHTĐ</x:v>
      </x:c>
      <x:c r="H2" t="str">
        <x:v>Đã có số đăng ký</x:v>
      </x:c>
      <x:c r="I2" t="str"/>
      <x:c r="J2" t="str"/>
      <x:c r="K2" t="str">
        <x:v>Ảnh thống kê văn bằng SHTT do người dùng cung cấp</x:v>
      </x:c>
      <x:c r="L2" t="str">
        <x:v>TSTT thương hiệu/hình ảnh tổ chức.</x:v>
      </x:c>
    </x:row>
    <x:row r="3">
      <x:c r="A3" t="str">
        <x:v>PIP-002</x:v>
      </x:c>
      <x:c r="B3" t="str">
        <x:v>Bản quyền tác giả</x:v>
      </x:c>
      <x:c r="C3" t="str">
        <x:v>Bộ Logo Hệ sinh thái giáo dục Trường Đại học Thành Đô</x:v>
      </x:c>
      <x:c r="D3" t="str">
        <x:v>5790/2023/QTG</x:v>
      </x:c>
      <x:c r="E3" t="n">
        <x:v>2023</x:v>
      </x:c>
      <x:c r="F3" t="str">
        <x:v>Cục Bản quyền tác giả, Bộ Văn hóa, Thể thao và Du lịch</x:v>
      </x:c>
      <x:c r="G3" t="str">
        <x:v>ĐHTĐ</x:v>
      </x:c>
      <x:c r="H3" t="str">
        <x:v>Đã có số đăng ký</x:v>
      </x:c>
      <x:c r="I3" t="str"/>
      <x:c r="J3" t="str"/>
      <x:c r="K3" t="str">
        <x:v>Ảnh thống kê văn bằng SHTT do người dùng cung cấp</x:v>
      </x:c>
      <x:c r="L3" t="str"/>
    </x:row>
    <x:row r="4">
      <x:c r="A4" t="str">
        <x:v>PIP-003</x:v>
      </x:c>
      <x:c r="B4" t="str">
        <x:v>Nhãn hiệu</x:v>
      </x:c>
      <x:c r="C4" t="str">
        <x:v>Thanh do University</x:v>
      </x:c>
      <x:c r="D4" t="str">
        <x:v>468353</x:v>
      </x:c>
      <x:c r="E4" t="n">
        <x:v>2023</x:v>
      </x:c>
      <x:c r="F4" t="str">
        <x:v>Cục Sở hữu trí tuệ, Bộ KH&amp;CN</x:v>
      </x:c>
      <x:c r="G4" t="str">
        <x:v>ĐHTĐ</x:v>
      </x:c>
      <x:c r="H4" t="str">
        <x:v>Đã có số văn bằng</x:v>
      </x:c>
      <x:c r="I4" t="str"/>
      <x:c r="J4" t="str"/>
      <x:c r="K4" t="str">
        <x:v>Ảnh thống kê văn bằng SHTT do người dùng cung cấp</x:v>
      </x:c>
      <x:c r="L4" t="str"/>
    </x:row>
    <x:row r="5">
      <x:c r="A5" t="str">
        <x:v>PIP-004</x:v>
      </x:c>
      <x:c r="B5" t="str">
        <x:v>Nhãn hiệu</x:v>
      </x:c>
      <x:c r="C5" t="str">
        <x:v>Thado Edupark</x:v>
      </x:c>
      <x:c r="D5" t="str">
        <x:v>545780</x:v>
      </x:c>
      <x:c r="E5" t="n">
        <x:v>2025</x:v>
      </x:c>
      <x:c r="F5" t="str">
        <x:v>Cục Sở hữu trí tuệ, Bộ KH&amp;CN</x:v>
      </x:c>
      <x:c r="G5" t="str">
        <x:v>ĐHTĐ</x:v>
      </x:c>
      <x:c r="H5" t="str">
        <x:v>Đã có số văn bằng</x:v>
      </x:c>
      <x:c r="I5" t="str"/>
      <x:c r="J5" t="str"/>
      <x:c r="K5" t="str">
        <x:v>Ảnh thống kê văn bằng SHTT do người dùng cung cấp</x:v>
      </x:c>
      <x:c r="L5" t="str"/>
    </x:row>
    <x:row r="6">
      <x:c r="A6" t="str">
        <x:v>PIP-005</x:v>
      </x:c>
      <x:c r="B6" t="str">
        <x:v>Nhãn hiệu</x:v>
      </x:c>
      <x:c r="C6" t="str">
        <x:v>Double2n</x:v>
      </x:c>
      <x:c r="D6" t="str"/>
      <x:c r="E6" t="n">
        <x:v>2023</x:v>
      </x:c>
      <x:c r="F6" t="str">
        <x:v>Cục Sở hữu trí tuệ, Bộ KH&amp;CN</x:v>
      </x:c>
      <x:c r="G6" t="str">
        <x:v>ĐHTĐ; CTY Thanh Huế</x:v>
      </x:c>
      <x:c r="H6" t="str">
        <x:v>Tiếp nhận đơn</x:v>
      </x:c>
      <x:c r="I6" t="str"/>
      <x:c r="J6" t="str"/>
      <x:c r="K6" t="str">
        <x:v>Ảnh thống kê văn bằng SHTT do người dùng cung cấp</x:v>
      </x:c>
      <x:c r="L6" t="str">
        <x:v>Nguồn ghi rõ 'Tiếp nhận đơn', chưa coi là đã được cấp.</x:v>
      </x:c>
    </x:row>
    <x:row r="7">
      <x:c r="A7" t="str">
        <x:v>PIP-006</x:v>
      </x:c>
      <x:c r="B7" t="str">
        <x:v>Kiểu dáng công nghiệp</x:v>
      </x:c>
      <x:c r="C7" t="str">
        <x:v>Dung dịch vệ sinh phụ nữ</x:v>
      </x:c>
      <x:c r="D7" t="str">
        <x:v>3-0039693-000</x:v>
      </x:c>
      <x:c r="E7" t="n">
        <x:v>2024</x:v>
      </x:c>
      <x:c r="F7" t="str">
        <x:v>Cục Sở hữu trí tuệ, Bộ KH&amp;CN</x:v>
      </x:c>
      <x:c r="G7" t="str">
        <x:v>ĐHTĐ; CTY Thanh Huế</x:v>
      </x:c>
      <x:c r="H7" t="str">
        <x:v>Đã có số/ký mã hiệu</x:v>
      </x:c>
      <x:c r="I7" t="str"/>
      <x:c r="J7" t="str"/>
      <x:c r="K7" t="str">
        <x:v>Ảnh thống kê văn bằng SHTT do người dùng cung cấp</x:v>
      </x:c>
      <x:c r="L7" t="str"/>
    </x:row>
    <x:row r="8">
      <x:c r="A8" t="str">
        <x:v>PIP-007</x:v>
      </x:c>
      <x:c r="B8" t="str">
        <x:v>Kiểu dáng công nghiệp</x:v>
      </x:c>
      <x:c r="C8" t="str">
        <x:v>Tinh dầu vỏ bưởi đào</x:v>
      </x:c>
      <x:c r="D8" t="str">
        <x:v>3-0039694-000</x:v>
      </x:c>
      <x:c r="E8" t="n">
        <x:v>2024</x:v>
      </x:c>
      <x:c r="F8" t="str">
        <x:v>Cục Sở hữu trí tuệ, Bộ KH&amp;CN</x:v>
      </x:c>
      <x:c r="G8" t="str">
        <x:v>ĐHTĐ; CTY Thanh Huế</x:v>
      </x:c>
      <x:c r="H8" t="str">
        <x:v>Đã có số/ký mã hiệu</x:v>
      </x:c>
      <x:c r="I8" t="str">
        <x:v>P2023-08</x:v>
      </x:c>
      <x:c r="J8" t="str">
        <x:v>Cao</x:v>
      </x:c>
      <x:c r="K8" t="str">
        <x:v>Ảnh thống kê văn bằng SHTT do người dùng cung cấp</x:v>
      </x:c>
      <x:c r="L8" t="str">
        <x:v>Tên sản phẩm gần trùng đầu ra tinh dầu Citrus grandis; đồng chủ sở hữu có CTY Thanh Huế phù hợp bối cảnh hợp tác.</x:v>
      </x:c>
    </x:row>
    <x:row r="9">
      <x:c r="A9" t="str">
        <x:v>PIP-008</x:v>
      </x:c>
      <x:c r="B9" t="str">
        <x:v>Kiểu dáng công nghiệp</x:v>
      </x:c>
      <x:c r="C9" t="str">
        <x:v>Xịt miệng - họng thảo dược</x:v>
      </x:c>
      <x:c r="D9" t="str">
        <x:v>3-0039902-000</x:v>
      </x:c>
      <x:c r="E9" t="n">
        <x:v>2024</x:v>
      </x:c>
      <x:c r="F9" t="str">
        <x:v>Cục Sở hữu trí tuệ, Bộ KH&amp;CN</x:v>
      </x:c>
      <x:c r="G9" t="str">
        <x:v>ĐHTĐ; CTY Thanh Huế</x:v>
      </x:c>
      <x:c r="H9" t="str">
        <x:v>Đã có số/ký mã hiệu</x:v>
      </x:c>
      <x:c r="I9" t="str"/>
      <x:c r="J9" t="str"/>
      <x:c r="K9" t="str">
        <x:v>Ảnh thống kê văn bằng SHTT do người dùng cung cấp</x:v>
      </x:c>
      <x:c r="L9" t="str"/>
    </x:row>
    <x:row r="10">
      <x:c r="A10" t="str">
        <x:v>PIP-009</x:v>
      </x:c>
      <x:c r="B10" t="str">
        <x:v>Kiểu dáng công nghiệp</x:v>
      </x:c>
      <x:c r="C10" t="str">
        <x:v>Dầu gội nha đam - bưởi đào</x:v>
      </x:c>
      <x:c r="D10" t="str">
        <x:v>3-0039695-000</x:v>
      </x:c>
      <x:c r="E10" t="n">
        <x:v>2024</x:v>
      </x:c>
      <x:c r="F10" t="str">
        <x:v>Cục Sở hữu trí tuệ, Bộ KH&amp;CN</x:v>
      </x:c>
      <x:c r="G10" t="str">
        <x:v>ĐHTĐ; CTY Thanh Huế</x:v>
      </x:c>
      <x:c r="H10" t="str">
        <x:v>Đã có số/ký mã hiệu</x:v>
      </x:c>
      <x:c r="I10" t="str"/>
      <x:c r="J10" t="str"/>
      <x:c r="K10" t="str">
        <x:v>Ảnh thống kê văn bằng SHTT do người dùng cung cấp</x:v>
      </x:c>
      <x:c r="L10" t="str"/>
    </x:row>
    <x:row r="11">
      <x:c r="A11" t="str">
        <x:v>PIP-010</x:v>
      </x:c>
      <x:c r="B11" t="str">
        <x:v>Kiểu dáng công nghiệp</x:v>
      </x:c>
      <x:c r="C11" t="str">
        <x:v>Kem ủ xả tóc - Chiết xuất từ Bưởi - Bơ - Dừa</x:v>
      </x:c>
      <x:c r="D11" t="str">
        <x:v>3-0039696-000</x:v>
      </x:c>
      <x:c r="E11" t="n">
        <x:v>2024</x:v>
      </x:c>
      <x:c r="F11" t="str">
        <x:v>Cục Sở hữu trí tuệ, Bộ KH&amp;CN</x:v>
      </x:c>
      <x:c r="G11" t="str">
        <x:v>ĐHTĐ; CTY Thanh Huế</x:v>
      </x:c>
      <x:c r="H11" t="str">
        <x:v>Đã có số/ký mã hiệu</x:v>
      </x:c>
      <x:c r="I11" t="str"/>
      <x:c r="J11" t="str"/>
      <x:c r="K11" t="str">
        <x:v>Ảnh thống kê văn bằng SHTT do người dùng cung cấp</x:v>
      </x:c>
      <x:c r="L11" t="str"/>
    </x:row>
    <x:row r="12">
      <x:c r="A12" t="str">
        <x:v>PIP-011</x:v>
      </x:c>
      <x:c r="B12" t="str">
        <x:v>Sáng chế</x:v>
      </x:c>
      <x:c r="C12" t="str">
        <x:v>Các hợp chất furofuran lignan glucoside và phương pháp chiết các hợp chất này từ lá của cây quế hoa (Osmanthus fragrans)</x:v>
      </x:c>
      <x:c r="D12" t="str"/>
      <x:c r="E12" t="n">
        <x:v>2025</x:v>
      </x:c>
      <x:c r="F12" t="str">
        <x:v>Cục Sở hữu trí tuệ, Bộ KH&amp;CN</x:v>
      </x:c>
      <x:c r="G12" t="str">
        <x:v>ĐHTĐ</x:v>
      </x:c>
      <x:c r="H12" t="str">
        <x:v>Có trong bảng thống kê nội bộ; số văn bằng/đơn chưa thể hiện</x:v>
      </x:c>
      <x:c r="I12" t="str">
        <x:v>P2025-09</x:v>
      </x:c>
      <x:c r="J12" t="str">
        <x:v>Rất cao</x:v>
      </x:c>
      <x:c r="K12" t="str">
        <x:v>Ảnh thống kê văn bằng SHTT do người dùng cung cấp</x:v>
      </x:c>
      <x:c r="L12" t="str">
        <x:v>Tên đối tượng trùng trực tiếp cây quế hoa và hướng chiết xuất của đề tài; cần xin số đơn/văn bằng để xác định trạng thái pháp lý.</x:v>
      </x:c>
    </x:row>
    <x:row r="13">
      <x:c r="A13" t="str">
        <x:v>PIP-012</x:v>
      </x:c>
      <x:c r="B13" t="str">
        <x:v>Sáng chế</x:v>
      </x:c>
      <x:c r="C13" t="str">
        <x:v>Phương pháp chiết tách và phân lập hợp chất Isoembigenin từ cây Piper aduncum L.</x:v>
      </x:c>
      <x:c r="D13" t="str"/>
      <x:c r="E13" t="n">
        <x:v>2026</x:v>
      </x:c>
      <x:c r="F13" t="str">
        <x:v>Cục Sở hữu trí tuệ, Bộ KH&amp;CN</x:v>
      </x:c>
      <x:c r="G13" t="str">
        <x:v>ĐHTĐ</x:v>
      </x:c>
      <x:c r="H13" t="str">
        <x:v>Có trong bảng thống kê nội bộ; số văn bằng/đơn chưa thể hiện</x:v>
      </x:c>
      <x:c r="I13" t="str"/>
      <x:c r="J13" t="str"/>
      <x:c r="K13" t="str">
        <x:v>Ảnh thống kê văn bằng SHTT do người dùng cung cấp</x:v>
      </x:c>
      <x:c r="L13" t="str">
        <x:v>Ngoài giai đoạn 2021-2025 nhưng giữ để theo dõi pipeline kế tiếp.</x:v>
      </x:c>
    </x:row>
  </x:sheetData>
  <x:pageMargins left="0.7" right="0.7" top="0.75" bottom="0.75" header="0.3" footer="0.3"/>
  <x:tableParts count="1">
    <x:tablePart xmlns:r="http://schemas.openxmlformats.org/officeDocument/2006/relationships" r:id="R8aecc55ce6d342a2"/>
  </x:tableParts>
</x:worksheet>
</file>

<file path=xl/worksheets/sheet19.xml><?xml version="1.0" encoding="utf-8"?>
<x:worksheet xmlns:x="http://schemas.openxmlformats.org/spreadsheetml/2006/main">
  <x:sheetFormatPr defaultRowHeight="15"/>
  <x:cols>
    <x:col min="1" max="1" width="14" hidden="0" customWidth="1"/>
    <x:col min="2" max="2" width="14" hidden="0" customWidth="1"/>
    <x:col min="3" max="3" width="18" hidden="0" customWidth="1"/>
    <x:col min="4" max="4" width="16" hidden="0" customWidth="1"/>
    <x:col min="5" max="5" width="58" hidden="0" customWidth="1"/>
    <x:col min="6" max="6" width="15" hidden="0" customWidth="1"/>
    <x:col min="7" max="7" width="64" hidden="0" customWidth="1"/>
    <x:col min="8" max="8" width="58" hidden="0" customWidth="1"/>
  </x:cols>
  <x:sheetData>
    <x:row r="1">
      <x:c r="A1" s="49" t="str">
        <x:v>Link_ID</x:v>
      </x:c>
      <x:c r="B1" s="49" t="str">
        <x:v>Project_ID</x:v>
      </x:c>
      <x:c r="C1" s="49" t="str">
        <x:v>Output_ID</x:v>
      </x:c>
      <x:c r="D1" s="49" t="str">
        <x:v>Protection_ID</x:v>
      </x:c>
      <x:c r="E1" s="49" t="str">
        <x:v>Tên liên kết</x:v>
      </x:c>
      <x:c r="F1" s="49" t="str">
        <x:v>Mức độ khớp</x:v>
      </x:c>
      <x:c r="G1" s="49" t="str">
        <x:v>Bằng chứng liên kết</x:v>
      </x:c>
      <x:c r="H1" s="49" t="str">
        <x:v>Điểm cần xác minh</x:v>
      </x:c>
    </x:row>
    <x:row r="2">
      <x:c r="A2" t="str">
        <x:v>PPL-001</x:v>
      </x:c>
      <x:c r="B2" t="str">
        <x:v>P2023-08</x:v>
      </x:c>
      <x:c r="C2" t="str">
        <x:v>O-2023-08-02</x:v>
      </x:c>
      <x:c r="D2" t="str">
        <x:v>PIP-007</x:v>
      </x:c>
      <x:c r="E2" t="str">
        <x:v>Tinh dầu Citrus grandis ↔ KDCN 'Tinh dầu vỏ bưởi đào'</x:v>
      </x:c>
      <x:c r="F2" t="str">
        <x:v>Cao</x:v>
      </x:c>
      <x:c r="G2" t="str">
        <x:v>Tên sản phẩm cùng tinh dầu vỏ bưởi; năm KDCN 2024 ngay sau nghiệm thu 2023; chủ sở hữu có ĐHTĐ và CTY Thanh Huế, phù hợp dấu hiệu hợp tác doanh nghiệp.</x:v>
      </x:c>
      <x:c r="H2" t="str">
        <x:v>Cần hồ sơ KDCN để xác nhận tác giả/nguồn gốc từ đề tài và ngày nộp đơn.</x:v>
      </x:c>
    </x:row>
    <x:row r="3">
      <x:c r="A3" t="str">
        <x:v>PPL-002</x:v>
      </x:c>
      <x:c r="B3" t="str">
        <x:v>P2025-09</x:v>
      </x:c>
      <x:c r="C3" t="str">
        <x:v>O-2025-09-03</x:v>
      </x:c>
      <x:c r="D3" t="str">
        <x:v>PIP-011</x:v>
      </x:c>
      <x:c r="E3" t="str">
        <x:v>Đề tài Quế hoa ↔ sáng chế hợp chất lignan glucoside/phương pháp chiết từ Osmanthus fragrans</x:v>
      </x:c>
      <x:c r="F3" t="str">
        <x:v>Rất cao</x:v>
      </x:c>
      <x:c r="G3" t="str">
        <x:v>Tên sáng chế trùng trực tiếp cây Quế hoa (Osmanthus fragrans) và hướng chiết xuất của đề tài; hồ sơ đề tài ghi Giai đoạn 2 có đầu ra 'Sáng chế'.</x:v>
      </x:c>
      <x:c r="H3" t="str">
        <x:v>Cần số đơn/văn bằng, ngày nộp, tác giả sáng chế, quan hệ với kinh phí đề tài và tình trạng thẩm định/cấp.</x:v>
      </x:c>
    </x:row>
  </x:sheetData>
  <x:pageMargins left="0.7" right="0.7" top="0.75" bottom="0.75" header="0.3" footer="0.3"/>
  <x:tableParts count="1">
    <x:tablePart xmlns:r="http://schemas.openxmlformats.org/officeDocument/2006/relationships" r:id="R3ce48ca946d64c48"/>
  </x:tableParts>
</x:worksheet>
</file>

<file path=xl/worksheets/sheet20.xml><?xml version="1.0" encoding="utf-8"?>
<x:worksheet xmlns:x="http://schemas.openxmlformats.org/spreadsheetml/2006/main">
  <x:sheetFormatPr defaultRowHeight="15"/>
  <x:cols>
    <x:col min="1" max="1" width="14" hidden="0" customWidth="1"/>
    <x:col min="2" max="2" width="8" hidden="0" customWidth="1"/>
    <x:col min="3" max="3" width="58" hidden="0" customWidth="1"/>
    <x:col min="4" max="4" width="24" hidden="0" customWidth="1"/>
    <x:col min="5" max="5" width="12" hidden="0" customWidth="1"/>
    <x:col min="6" max="6" width="16" hidden="0" customWidth="1"/>
    <x:col min="7" max="7" width="15" hidden="0" customWidth="1"/>
    <x:col min="8" max="8" width="17" hidden="0" customWidth="1"/>
    <x:col min="9" max="9" width="20" hidden="0" customWidth="1"/>
    <x:col min="10" max="10" width="34" hidden="0" customWidth="1"/>
    <x:col min="11" max="11" width="52" hidden="0" customWidth="1"/>
    <x:col min="12" max="12" width="16" hidden="0" customWidth="1"/>
  </x:cols>
  <x:sheetData>
    <x:row r="1">
      <x:c r="A1" s="49" t="str">
        <x:v>Project_ID</x:v>
      </x:c>
      <x:c r="B1" s="49" t="str">
        <x:v>Năm</x:v>
      </x:c>
      <x:c r="C1" s="49" t="str">
        <x:v>Tên đề tài</x:v>
      </x:c>
      <x:c r="D1" s="49" t="str">
        <x:v>Strategic_Cluster</x:v>
      </x:c>
      <x:c r="E1" s="49" t="str">
        <x:v>Số đầu ra</x:v>
      </x:c>
      <x:c r="F1" s="49" t="str">
        <x:v>Đầu ra ưu tiên IP</x:v>
      </x:c>
      <x:c r="G1" s="49" t="str">
        <x:v>Công bố đã ghép</x:v>
      </x:c>
      <x:c r="H1" s="49" t="str">
        <x:v>Bảo hộ đã liên kết</x:v>
      </x:c>
      <x:c r="I1" s="49" t="str">
        <x:v>Đầu ra có dấu hiệu ứng dụng</x:v>
      </x:c>
      <x:c r="J1" s="49" t="str">
        <x:v>Giai đoạn chuỗi hiện quan sát được</x:v>
      </x:c>
      <x:c r="K1" s="49" t="str">
        <x:v>Khoảng trống cần kiểm chứng</x:v>
      </x:c>
      <x:c r="L1" s="49" t="str">
        <x:v>Đầu ra IP mức Cao</x:v>
      </x:c>
    </x:row>
    <x:row r="2">
      <x:c r="A2" t="str">
        <x:f>'01_PROJECT_ALL'!A2</x:f>
        <x:v>P2021-20</x:v>
      </x:c>
      <x:c r="B2" t="n">
        <x:f>'01_PROJECT_ALL'!B2</x:f>
        <x:v>2021</x:v>
      </x:c>
      <x:c r="C2" t="str">
        <x:f>'01_PROJECT_ALL'!D2</x:f>
        <x:v>Nghiên cứu năng lực nghe hiểu của sinh viên cử nhân thực hành tiếng Nhật năm thứ 2 tại Trường Đại học Thành Đô</x:v>
      </x:c>
      <x:c r="D2" t="str">
        <x:f>'01_PROJECT_ALL'!I2</x:f>
        <x:v>Global Communication</x:v>
      </x:c>
      <x:c r="E2" t="n">
        <x:f>COUNTIF('02_OUTPUT_ALL'!$B:$B,A2)</x:f>
        <x:v>1</x:v>
      </x:c>
      <x:c r="F2" t="n">
        <x:f>COUNTIF('03_IP_PRIORITY_ALL'!$C:$C,A2)</x:f>
        <x:v>0</x:v>
      </x:c>
      <x:c r="G2" t="n">
        <x:f>COUNTIF('12_PUBLICATION_LINKS'!$C:$C,A2)</x:f>
        <x:v>0</x:v>
      </x:c>
      <x:c r="H2" t="n">
        <x:f>COUNTIF('14_PROJECT_PROTECTION_LINK'!$B:$B,A2)</x:f>
        <x:v>0</x:v>
      </x:c>
      <x:c r="I2" t="n">
        <x:f>COUNTIFS('02_OUTPUT_ALL'!$B:$B,A2,'02_OUTPUT_ALL'!$L:$L,"Có")</x:f>
        <x:v>0</x:v>
      </x:c>
      <x:c r="J2" t="str">
        <x:f>IF(H2&gt;0,"Bảo hộ/xác lập có liên kết",IF(F2&gt;0,IF(I2&gt;0,"TSTT ưu tiên + có dấu hiệu ứng dụng","TSTT ưu tiên, chưa xác minh khai thác"),IF(G2&gt;0,"Chủ yếu công bố học thuật","Mới ở đầu ra nghiên cứu")))</x:f>
        <x:v>Mới ở đầu ra nghiên cứu</x:v>
      </x:c>
      <x:c r="K2" t="str">
        <x:f>IF(AND(L2&gt;0,H2=0),"Có đầu ra IP mức Cao nhưng chưa nối được hồ sơ bảo hộ; cần sàng lọc/đối chiếu",IF(AND(I2&gt;0,H2=0,F2&gt;0),"Có ứng dụng nhưng chưa xác định cơ chế quyền SHTT",""))</x:f>
      </x:c>
      <x:c r="L2" s="20" t="n">
        <x:f>COUNTIFS('02_OUTPUT_ALL'!$B:$B,A2,'02_OUTPUT_ALL'!$K:$K,"Cao")</x:f>
        <x:v>0</x:v>
      </x:c>
    </x:row>
    <x:row r="3">
      <x:c r="A3" t="str">
        <x:f>'01_PROJECT_ALL'!A3</x:f>
        <x:v>P2021-22</x:v>
      </x:c>
      <x:c r="B3" t="n">
        <x:f>'01_PROJECT_ALL'!B3</x:f>
        <x:v>2021</x:v>
      </x:c>
      <x:c r="C3" t="str">
        <x:f>'01_PROJECT_ALL'!D3</x:f>
        <x:v>Đánh giá giáo trình Network dùng cho sinh viên năm thứ nhất Trường Đại học Thành Đô</x:v>
      </x:c>
      <x:c r="D3" t="str">
        <x:f>'01_PROJECT_ALL'!I3</x:f>
        <x:v>Global Communication</x:v>
      </x:c>
      <x:c r="E3" t="n">
        <x:f>COUNTIF('02_OUTPUT_ALL'!$B:$B,A3)</x:f>
        <x:v>1</x:v>
      </x:c>
      <x:c r="F3" t="n">
        <x:f>COUNTIF('03_IP_PRIORITY_ALL'!$C:$C,A3)</x:f>
        <x:v>0</x:v>
      </x:c>
      <x:c r="G3" t="n">
        <x:f>COUNTIF('12_PUBLICATION_LINKS'!$C:$C,A3)</x:f>
        <x:v>0</x:v>
      </x:c>
      <x:c r="H3" t="n">
        <x:f>COUNTIF('14_PROJECT_PROTECTION_LINK'!$B:$B,A3)</x:f>
        <x:v>0</x:v>
      </x:c>
      <x:c r="I3" t="n">
        <x:f>COUNTIFS('02_OUTPUT_ALL'!$B:$B,A3,'02_OUTPUT_ALL'!$L:$L,"Có")</x:f>
        <x:v>0</x:v>
      </x:c>
      <x:c r="J3" t="str">
        <x:f>IF(H3&gt;0,"Bảo hộ/xác lập có liên kết",IF(F3&gt;0,IF(I3&gt;0,"TSTT ưu tiên + có dấu hiệu ứng dụng","TSTT ưu tiên, chưa xác minh khai thác"),IF(G3&gt;0,"Chủ yếu công bố học thuật","Mới ở đầu ra nghiên cứu")))</x:f>
        <x:v>Mới ở đầu ra nghiên cứu</x:v>
      </x:c>
      <x:c r="K3" t="str">
        <x:f>IF(AND(L3&gt;0,H3=0),"Có đầu ra IP mức Cao nhưng chưa nối được hồ sơ bảo hộ; cần sàng lọc/đối chiếu",IF(AND(I3&gt;0,H3=0,F3&gt;0),"Có ứng dụng nhưng chưa xác định cơ chế quyền SHTT",""))</x:f>
      </x:c>
      <x:c r="L3" s="20" t="n">
        <x:f>COUNTIFS('02_OUTPUT_ALL'!$B:$B,A3,'02_OUTPUT_ALL'!$K:$K,"Cao")</x:f>
        <x:v>0</x:v>
      </x:c>
    </x:row>
    <x:row r="4">
      <x:c r="A4" t="str">
        <x:f>'01_PROJECT_ALL'!A4</x:f>
        <x:v>P2021-24</x:v>
      </x:c>
      <x:c r="B4" t="n">
        <x:f>'01_PROJECT_ALL'!B4</x:f>
        <x:v>2021</x:v>
      </x:c>
      <x:c r="C4" t="str">
        <x:f>'01_PROJECT_ALL'!D4</x:f>
        <x:v>Đánh giá ứng dụng mô hình học tập kết hợp (Blended Learning) trong việc dạy và học tiếng Anh tại Trường Đại học Thành Đô</x:v>
      </x:c>
      <x:c r="D4" t="str">
        <x:f>'01_PROJECT_ALL'!I4</x:f>
        <x:v>Global Communication</x:v>
      </x:c>
      <x:c r="E4" t="n">
        <x:f>COUNTIF('02_OUTPUT_ALL'!$B:$B,A4)</x:f>
        <x:v>1</x:v>
      </x:c>
      <x:c r="F4" t="n">
        <x:f>COUNTIF('03_IP_PRIORITY_ALL'!$C:$C,A4)</x:f>
        <x:v>0</x:v>
      </x:c>
      <x:c r="G4" t="n">
        <x:f>COUNTIF('12_PUBLICATION_LINKS'!$C:$C,A4)</x:f>
        <x:v>0</x:v>
      </x:c>
      <x:c r="H4" t="n">
        <x:f>COUNTIF('14_PROJECT_PROTECTION_LINK'!$B:$B,A4)</x:f>
        <x:v>0</x:v>
      </x:c>
      <x:c r="I4" t="n">
        <x:f>COUNTIFS('02_OUTPUT_ALL'!$B:$B,A4,'02_OUTPUT_ALL'!$L:$L,"Có")</x:f>
        <x:v>0</x:v>
      </x:c>
      <x:c r="J4" t="str">
        <x:f>IF(H4&gt;0,"Bảo hộ/xác lập có liên kết",IF(F4&gt;0,IF(I4&gt;0,"TSTT ưu tiên + có dấu hiệu ứng dụng","TSTT ưu tiên, chưa xác minh khai thác"),IF(G4&gt;0,"Chủ yếu công bố học thuật","Mới ở đầu ra nghiên cứu")))</x:f>
        <x:v>Mới ở đầu ra nghiên cứu</x:v>
      </x:c>
      <x:c r="K4" t="str">
        <x:f>IF(AND(L4&gt;0,H4=0),"Có đầu ra IP mức Cao nhưng chưa nối được hồ sơ bảo hộ; cần sàng lọc/đối chiếu",IF(AND(I4&gt;0,H4=0,F4&gt;0),"Có ứng dụng nhưng chưa xác định cơ chế quyền SHTT",""))</x:f>
      </x:c>
      <x:c r="L4" s="20" t="n">
        <x:f>COUNTIFS('02_OUTPUT_ALL'!$B:$B,A4,'02_OUTPUT_ALL'!$K:$K,"Cao")</x:f>
        <x:v>0</x:v>
      </x:c>
    </x:row>
    <x:row r="5">
      <x:c r="A5" t="str">
        <x:f>'01_PROJECT_ALL'!A5</x:f>
        <x:v>P2021-27</x:v>
      </x:c>
      <x:c r="B5" t="n">
        <x:f>'01_PROJECT_ALL'!B5</x:f>
        <x:v>2021</x:v>
      </x:c>
      <x:c r="C5" t="str">
        <x:f>'01_PROJECT_ALL'!D5</x:f>
        <x:v>Thực trạng và động lực phát triển chuyên môn của giáo viên</x:v>
      </x:c>
      <x:c r="D5" t="str">
        <x:f>'01_PROJECT_ALL'!I5</x:f>
        <x:v>Khác/Chưa phân loại</x:v>
      </x:c>
      <x:c r="E5" t="n">
        <x:f>COUNTIF('02_OUTPUT_ALL'!$B:$B,A5)</x:f>
        <x:v>3</x:v>
      </x:c>
      <x:c r="F5" t="n">
        <x:f>COUNTIF('03_IP_PRIORITY_ALL'!$C:$C,A5)</x:f>
        <x:v>0</x:v>
      </x:c>
      <x:c r="G5" t="n">
        <x:f>COUNTIF('12_PUBLICATION_LINKS'!$C:$C,A5)</x:f>
        <x:v>1</x:v>
      </x:c>
      <x:c r="H5" t="n">
        <x:f>COUNTIF('14_PROJECT_PROTECTION_LINK'!$B:$B,A5)</x:f>
        <x:v>0</x:v>
      </x:c>
      <x:c r="I5" t="n">
        <x:f>COUNTIFS('02_OUTPUT_ALL'!$B:$B,A5,'02_OUTPUT_ALL'!$L:$L,"Có")</x:f>
        <x:v>0</x:v>
      </x:c>
      <x:c r="J5" t="str">
        <x:f>IF(H5&gt;0,"Bảo hộ/xác lập có liên kết",IF(F5&gt;0,IF(I5&gt;0,"TSTT ưu tiên + có dấu hiệu ứng dụng","TSTT ưu tiên, chưa xác minh khai thác"),IF(G5&gt;0,"Chủ yếu công bố học thuật","Mới ở đầu ra nghiên cứu")))</x:f>
        <x:v>Chủ yếu công bố học thuật</x:v>
      </x:c>
      <x:c r="K5" t="str">
        <x:f>IF(AND(L5&gt;0,H5=0),"Có đầu ra IP mức Cao nhưng chưa nối được hồ sơ bảo hộ; cần sàng lọc/đối chiếu",IF(AND(I5&gt;0,H5=0,F5&gt;0),"Có ứng dụng nhưng chưa xác định cơ chế quyền SHTT",""))</x:f>
      </x:c>
      <x:c r="L5" s="20" t="n">
        <x:f>COUNTIFS('02_OUTPUT_ALL'!$B:$B,A5,'02_OUTPUT_ALL'!$K:$K,"Cao")</x:f>
        <x:v>0</x:v>
      </x:c>
    </x:row>
    <x:row r="6">
      <x:c r="A6" t="str">
        <x:f>'01_PROJECT_ALL'!A6</x:f>
        <x:v>P2021-28</x:v>
      </x:c>
      <x:c r="B6" t="n">
        <x:f>'01_PROJECT_ALL'!B6</x:f>
        <x:v>2021</x:v>
      </x:c>
      <x:c r="C6" t="str">
        <x:f>'01_PROJECT_ALL'!D6</x:f>
        <x:v>Hoạt động công bố quốc tế tại Việt Nam: Thực trạng và ý nghĩa đối với cộng đồng và những nhà hoạch định chính sách</x:v>
      </x:c>
      <x:c r="D6" t="str">
        <x:f>'01_PROJECT_ALL'!I6</x:f>
        <x:v>Khác/Chưa phân loại</x:v>
      </x:c>
      <x:c r="E6" t="n">
        <x:f>COUNTIF('02_OUTPUT_ALL'!$B:$B,A6)</x:f>
        <x:v>3</x:v>
      </x:c>
      <x:c r="F6" t="n">
        <x:f>COUNTIF('03_IP_PRIORITY_ALL'!$C:$C,A6)</x:f>
        <x:v>0</x:v>
      </x:c>
      <x:c r="G6" t="n">
        <x:f>COUNTIF('12_PUBLICATION_LINKS'!$C:$C,A6)</x:f>
        <x:v>2</x:v>
      </x:c>
      <x:c r="H6" t="n">
        <x:f>COUNTIF('14_PROJECT_PROTECTION_LINK'!$B:$B,A6)</x:f>
        <x:v>0</x:v>
      </x:c>
      <x:c r="I6" t="n">
        <x:f>COUNTIFS('02_OUTPUT_ALL'!$B:$B,A6,'02_OUTPUT_ALL'!$L:$L,"Có")</x:f>
        <x:v>0</x:v>
      </x:c>
      <x:c r="J6" t="str">
        <x:f>IF(H6&gt;0,"Bảo hộ/xác lập có liên kết",IF(F6&gt;0,IF(I6&gt;0,"TSTT ưu tiên + có dấu hiệu ứng dụng","TSTT ưu tiên, chưa xác minh khai thác"),IF(G6&gt;0,"Chủ yếu công bố học thuật","Mới ở đầu ra nghiên cứu")))</x:f>
        <x:v>Chủ yếu công bố học thuật</x:v>
      </x:c>
      <x:c r="K6" t="str">
        <x:f>IF(AND(L6&gt;0,H6=0),"Có đầu ra IP mức Cao nhưng chưa nối được hồ sơ bảo hộ; cần sàng lọc/đối chiếu",IF(AND(I6&gt;0,H6=0,F6&gt;0),"Có ứng dụng nhưng chưa xác định cơ chế quyền SHTT",""))</x:f>
      </x:c>
      <x:c r="L6" s="20" t="n">
        <x:f>COUNTIFS('02_OUTPUT_ALL'!$B:$B,A6,'02_OUTPUT_ALL'!$K:$K,"Cao")</x:f>
        <x:v>0</x:v>
      </x:c>
    </x:row>
    <x:row r="7">
      <x:c r="A7" t="str">
        <x:f>'01_PROJECT_ALL'!A7</x:f>
        <x:v>P2021-37</x:v>
      </x:c>
      <x:c r="B7" t="n">
        <x:f>'01_PROJECT_ALL'!B7</x:f>
        <x:v>2021</x:v>
      </x:c>
      <x:c r="C7" t="str">
        <x:f>'01_PROJECT_ALL'!D7</x:f>
        <x:v>Rào cản của các doanh nghiệp vừa và nhỏ trong việc áp dụng thương mại điện tử tại Việt Nam</x:v>
      </x:c>
      <x:c r="D7" t="str">
        <x:f>'01_PROJECT_ALL'!I7</x:f>
        <x:v>Digital Services</x:v>
      </x:c>
      <x:c r="E7" t="n">
        <x:f>COUNTIF('02_OUTPUT_ALL'!$B:$B,A7)</x:f>
        <x:v>2</x:v>
      </x:c>
      <x:c r="F7" t="n">
        <x:f>COUNTIF('03_IP_PRIORITY_ALL'!$C:$C,A7)</x:f>
        <x:v>0</x:v>
      </x:c>
      <x:c r="G7" t="n">
        <x:f>COUNTIF('12_PUBLICATION_LINKS'!$C:$C,A7)</x:f>
        <x:v>1</x:v>
      </x:c>
      <x:c r="H7" t="n">
        <x:f>COUNTIF('14_PROJECT_PROTECTION_LINK'!$B:$B,A7)</x:f>
        <x:v>0</x:v>
      </x:c>
      <x:c r="I7" t="n">
        <x:f>COUNTIFS('02_OUTPUT_ALL'!$B:$B,A7,'02_OUTPUT_ALL'!$L:$L,"Có")</x:f>
        <x:v>0</x:v>
      </x:c>
      <x:c r="J7" t="str">
        <x:f>IF(H7&gt;0,"Bảo hộ/xác lập có liên kết",IF(F7&gt;0,IF(I7&gt;0,"TSTT ưu tiên + có dấu hiệu ứng dụng","TSTT ưu tiên, chưa xác minh khai thác"),IF(G7&gt;0,"Chủ yếu công bố học thuật","Mới ở đầu ra nghiên cứu")))</x:f>
        <x:v>Chủ yếu công bố học thuật</x:v>
      </x:c>
      <x:c r="K7" t="str">
        <x:f>IF(AND(L7&gt;0,H7=0),"Có đầu ra IP mức Cao nhưng chưa nối được hồ sơ bảo hộ; cần sàng lọc/đối chiếu",IF(AND(I7&gt;0,H7=0,F7&gt;0),"Có ứng dụng nhưng chưa xác định cơ chế quyền SHTT",""))</x:f>
      </x:c>
      <x:c r="L7" s="20" t="n">
        <x:f>COUNTIFS('02_OUTPUT_ALL'!$B:$B,A7,'02_OUTPUT_ALL'!$K:$K,"Cao")</x:f>
        <x:v>0</x:v>
      </x:c>
    </x:row>
    <x:row r="8">
      <x:c r="A8" t="str">
        <x:f>'01_PROJECT_ALL'!A8</x:f>
        <x:v>P2022-01</x:v>
      </x:c>
      <x:c r="B8" t="n">
        <x:f>'01_PROJECT_ALL'!B8</x:f>
        <x:v>2022</x:v>
      </x:c>
      <x:c r="C8" t="str">
        <x:f>'01_PROJECT_ALL'!D8</x:f>
        <x:v>Đề án thành lập Tạp chí Nghiên cứu khoa học và phát triển thuộc Trường Đại học Thành Đô</x:v>
      </x:c>
      <x:c r="D8" t="str">
        <x:f>'01_PROJECT_ALL'!I8</x:f>
        <x:v>Khác/Chưa phân loại</x:v>
      </x:c>
      <x:c r="E8" t="n">
        <x:f>COUNTIF('02_OUTPUT_ALL'!$B:$B,A8)</x:f>
        <x:v>1</x:v>
      </x:c>
      <x:c r="F8" t="n">
        <x:f>COUNTIF('03_IP_PRIORITY_ALL'!$C:$C,A8)</x:f>
        <x:v>1</x:v>
      </x:c>
      <x:c r="G8" t="n">
        <x:f>COUNTIF('12_PUBLICATION_LINKS'!$C:$C,A8)</x:f>
        <x:v>0</x:v>
      </x:c>
      <x:c r="H8" t="n">
        <x:f>COUNTIF('14_PROJECT_PROTECTION_LINK'!$B:$B,A8)</x:f>
        <x:v>0</x:v>
      </x:c>
      <x:c r="I8" t="n">
        <x:f>COUNTIFS('02_OUTPUT_ALL'!$B:$B,A8,'02_OUTPUT_ALL'!$L:$L,"Có")</x:f>
        <x:v>1</x:v>
      </x:c>
      <x:c r="J8" t="str">
        <x:f>IF(H8&gt;0,"Bảo hộ/xác lập có liên kết",IF(F8&gt;0,IF(I8&gt;0,"TSTT ưu tiên + có dấu hiệu ứng dụng","TSTT ưu tiên, chưa xác minh khai thác"),IF(G8&gt;0,"Chủ yếu công bố học thuật","Mới ở đầu ra nghiên cứu")))</x:f>
        <x:v>TSTT ưu tiên + có dấu hiệu ứng dụng</x:v>
      </x:c>
      <x:c r="K8" t="str">
        <x:f>IF(AND(L8&gt;0,H8=0),"Có đầu ra IP mức Cao nhưng chưa nối được hồ sơ bảo hộ; cần sàng lọc/đối chiếu",IF(AND(I8&gt;0,H8=0,F8&gt;0),"Có ứng dụng nhưng chưa xác định cơ chế quyền SHTT",""))</x:f>
        <x:v>Có ứng dụng nhưng chưa xác định cơ chế quyền SHTT</x:v>
      </x:c>
      <x:c r="L8" s="20" t="n">
        <x:f>COUNTIFS('02_OUTPUT_ALL'!$B:$B,A8,'02_OUTPUT_ALL'!$K:$K,"Cao")</x:f>
        <x:v>0</x:v>
      </x:c>
    </x:row>
    <x:row r="9">
      <x:c r="A9" t="str">
        <x:f>'01_PROJECT_ALL'!A9</x:f>
        <x:v>P2022-02</x:v>
      </x:c>
      <x:c r="B9" t="n">
        <x:f>'01_PROJECT_ALL'!B9</x:f>
        <x:v>2022</x:v>
      </x:c>
      <x:c r="C9" t="str">
        <x:f>'01_PROJECT_ALL'!D9</x:f>
        <x:v>Nghiên cứu xây dựng Quy chế tuyển sinh và đào tạo trình độ thạc sỹ theo Thông tư số 23/2021/TT-BGDĐT của Bộ Giáo dục và Đào tạo tại Trường Đại học Thành Đô</x:v>
      </x:c>
      <x:c r="D9" t="str">
        <x:f>'01_PROJECT_ALL'!I9</x:f>
        <x:v>Khác/Chưa phân loại</x:v>
      </x:c>
      <x:c r="E9" t="n">
        <x:f>COUNTIF('02_OUTPUT_ALL'!$B:$B,A9)</x:f>
        <x:v>1</x:v>
      </x:c>
      <x:c r="F9" t="n">
        <x:f>COUNTIF('03_IP_PRIORITY_ALL'!$C:$C,A9)</x:f>
        <x:v>1</x:v>
      </x:c>
      <x:c r="G9" t="n">
        <x:f>COUNTIF('12_PUBLICATION_LINKS'!$C:$C,A9)</x:f>
        <x:v>0</x:v>
      </x:c>
      <x:c r="H9" t="n">
        <x:f>COUNTIF('14_PROJECT_PROTECTION_LINK'!$B:$B,A9)</x:f>
        <x:v>0</x:v>
      </x:c>
      <x:c r="I9" t="n">
        <x:f>COUNTIFS('02_OUTPUT_ALL'!$B:$B,A9,'02_OUTPUT_ALL'!$L:$L,"Có")</x:f>
        <x:v>1</x:v>
      </x:c>
      <x:c r="J9" t="str">
        <x:f>IF(H9&gt;0,"Bảo hộ/xác lập có liên kết",IF(F9&gt;0,IF(I9&gt;0,"TSTT ưu tiên + có dấu hiệu ứng dụng","TSTT ưu tiên, chưa xác minh khai thác"),IF(G9&gt;0,"Chủ yếu công bố học thuật","Mới ở đầu ra nghiên cứu")))</x:f>
        <x:v>TSTT ưu tiên + có dấu hiệu ứng dụng</x:v>
      </x:c>
      <x:c r="K9" t="str">
        <x:f>IF(AND(L9&gt;0,H9=0),"Có đầu ra IP mức Cao nhưng chưa nối được hồ sơ bảo hộ; cần sàng lọc/đối chiếu",IF(AND(I9&gt;0,H9=0,F9&gt;0),"Có ứng dụng nhưng chưa xác định cơ chế quyền SHTT",""))</x:f>
        <x:v>Có ứng dụng nhưng chưa xác định cơ chế quyền SHTT</x:v>
      </x:c>
      <x:c r="L9" s="20" t="n">
        <x:f>COUNTIFS('02_OUTPUT_ALL'!$B:$B,A9,'02_OUTPUT_ALL'!$K:$K,"Cao")</x:f>
        <x:v>0</x:v>
      </x:c>
    </x:row>
    <x:row r="10">
      <x:c r="A10" t="str">
        <x:f>'01_PROJECT_ALL'!A10</x:f>
        <x:v>P2022-12</x:v>
      </x:c>
      <x:c r="B10" t="n">
        <x:f>'01_PROJECT_ALL'!B10</x:f>
        <x:v>2022</x:v>
      </x:c>
      <x:c r="C10" t="str">
        <x:f>'01_PROJECT_ALL'!D10</x:f>
        <x:v>Nâng cao khả năng được tuyển dụng của sinh viên ngành tiếng Anh Khoa Du lịch - Ngoại ngữ qua kỳ thực tập doanh nghiệp</x:v>
      </x:c>
      <x:c r="D10" t="str">
        <x:f>'01_PROJECT_ALL'!I10</x:f>
        <x:v>Global Communication</x:v>
      </x:c>
      <x:c r="E10" t="n">
        <x:f>COUNTIF('02_OUTPUT_ALL'!$B:$B,A10)</x:f>
        <x:v>1</x:v>
      </x:c>
      <x:c r="F10" t="n">
        <x:f>COUNTIF('03_IP_PRIORITY_ALL'!$C:$C,A10)</x:f>
        <x:v>0</x:v>
      </x:c>
      <x:c r="G10" t="n">
        <x:f>COUNTIF('12_PUBLICATION_LINKS'!$C:$C,A10)</x:f>
        <x:v>0</x:v>
      </x:c>
      <x:c r="H10" t="n">
        <x:f>COUNTIF('14_PROJECT_PROTECTION_LINK'!$B:$B,A10)</x:f>
        <x:v>0</x:v>
      </x:c>
      <x:c r="I10" t="n">
        <x:f>COUNTIFS('02_OUTPUT_ALL'!$B:$B,A10,'02_OUTPUT_ALL'!$L:$L,"Có")</x:f>
        <x:v>0</x:v>
      </x:c>
      <x:c r="J10" t="str">
        <x:f>IF(H10&gt;0,"Bảo hộ/xác lập có liên kết",IF(F10&gt;0,IF(I10&gt;0,"TSTT ưu tiên + có dấu hiệu ứng dụng","TSTT ưu tiên, chưa xác minh khai thác"),IF(G10&gt;0,"Chủ yếu công bố học thuật","Mới ở đầu ra nghiên cứu")))</x:f>
        <x:v>Mới ở đầu ra nghiên cứu</x:v>
      </x:c>
      <x:c r="K10" t="str">
        <x:f>IF(AND(L10&gt;0,H10=0),"Có đầu ra IP mức Cao nhưng chưa nối được hồ sơ bảo hộ; cần sàng lọc/đối chiếu",IF(AND(I10&gt;0,H10=0,F10&gt;0),"Có ứng dụng nhưng chưa xác định cơ chế quyền SHTT",""))</x:f>
      </x:c>
      <x:c r="L10" s="20" t="n">
        <x:f>COUNTIFS('02_OUTPUT_ALL'!$B:$B,A10,'02_OUTPUT_ALL'!$K:$K,"Cao")</x:f>
        <x:v>0</x:v>
      </x:c>
    </x:row>
    <x:row r="11">
      <x:c r="A11" t="str">
        <x:f>'01_PROJECT_ALL'!A11</x:f>
        <x:v>P2022-13</x:v>
      </x:c>
      <x:c r="B11" t="n">
        <x:f>'01_PROJECT_ALL'!B11</x:f>
        <x:v>2022</x:v>
      </x:c>
      <x:c r="C11" t="str">
        <x:f>'01_PROJECT_ALL'!D11</x:f>
        <x:v>Đánh giá giáo trình "New English file" dành cho học viên cao học tại Trường Đại học Thành Đô</x:v>
      </x:c>
      <x:c r="D11" t="str">
        <x:f>'01_PROJECT_ALL'!I11</x:f>
        <x:v>Global Communication</x:v>
      </x:c>
      <x:c r="E11" t="n">
        <x:f>COUNTIF('02_OUTPUT_ALL'!$B:$B,A11)</x:f>
        <x:v>1</x:v>
      </x:c>
      <x:c r="F11" t="n">
        <x:f>COUNTIF('03_IP_PRIORITY_ALL'!$C:$C,A11)</x:f>
        <x:v>0</x:v>
      </x:c>
      <x:c r="G11" t="n">
        <x:f>COUNTIF('12_PUBLICATION_LINKS'!$C:$C,A11)</x:f>
        <x:v>0</x:v>
      </x:c>
      <x:c r="H11" t="n">
        <x:f>COUNTIF('14_PROJECT_PROTECTION_LINK'!$B:$B,A11)</x:f>
        <x:v>0</x:v>
      </x:c>
      <x:c r="I11" t="n">
        <x:f>COUNTIFS('02_OUTPUT_ALL'!$B:$B,A11,'02_OUTPUT_ALL'!$L:$L,"Có")</x:f>
        <x:v>0</x:v>
      </x:c>
      <x:c r="J11" t="str">
        <x:f>IF(H11&gt;0,"Bảo hộ/xác lập có liên kết",IF(F11&gt;0,IF(I11&gt;0,"TSTT ưu tiên + có dấu hiệu ứng dụng","TSTT ưu tiên, chưa xác minh khai thác"),IF(G11&gt;0,"Chủ yếu công bố học thuật","Mới ở đầu ra nghiên cứu")))</x:f>
        <x:v>Mới ở đầu ra nghiên cứu</x:v>
      </x:c>
      <x:c r="K11" t="str">
        <x:f>IF(AND(L11&gt;0,H11=0),"Có đầu ra IP mức Cao nhưng chưa nối được hồ sơ bảo hộ; cần sàng lọc/đối chiếu",IF(AND(I11&gt;0,H11=0,F11&gt;0),"Có ứng dụng nhưng chưa xác định cơ chế quyền SHTT",""))</x:f>
      </x:c>
      <x:c r="L11" s="20" t="n">
        <x:f>COUNTIFS('02_OUTPUT_ALL'!$B:$B,A11,'02_OUTPUT_ALL'!$K:$K,"Cao")</x:f>
        <x:v>0</x:v>
      </x:c>
    </x:row>
    <x:row r="12">
      <x:c r="A12" t="str">
        <x:f>'01_PROJECT_ALL'!A12</x:f>
        <x:v>P2022-14</x:v>
      </x:c>
      <x:c r="B12" t="n">
        <x:f>'01_PROJECT_ALL'!B12</x:f>
        <x:v>2022</x:v>
      </x:c>
      <x:c r="C12" t="str">
        <x:f>'01_PROJECT_ALL'!D12</x:f>
        <x:v>A study on job satisfaction among teachers at TDU (Đánh giá sự hài lòng của giảng viên tại Đại học Thành Đô)</x:v>
      </x:c>
      <x:c r="D12" t="str">
        <x:f>'01_PROJECT_ALL'!I12</x:f>
        <x:v>Khác/Chưa phân loại</x:v>
      </x:c>
      <x:c r="E12" t="n">
        <x:f>COUNTIF('02_OUTPUT_ALL'!$B:$B,A12)</x:f>
        <x:v>1</x:v>
      </x:c>
      <x:c r="F12" t="n">
        <x:f>COUNTIF('03_IP_PRIORITY_ALL'!$C:$C,A12)</x:f>
        <x:v>0</x:v>
      </x:c>
      <x:c r="G12" t="n">
        <x:f>COUNTIF('12_PUBLICATION_LINKS'!$C:$C,A12)</x:f>
        <x:v>0</x:v>
      </x:c>
      <x:c r="H12" t="n">
        <x:f>COUNTIF('14_PROJECT_PROTECTION_LINK'!$B:$B,A12)</x:f>
        <x:v>0</x:v>
      </x:c>
      <x:c r="I12" t="n">
        <x:f>COUNTIFS('02_OUTPUT_ALL'!$B:$B,A12,'02_OUTPUT_ALL'!$L:$L,"Có")</x:f>
        <x:v>0</x:v>
      </x:c>
      <x:c r="J12" t="str">
        <x:f>IF(H12&gt;0,"Bảo hộ/xác lập có liên kết",IF(F12&gt;0,IF(I12&gt;0,"TSTT ưu tiên + có dấu hiệu ứng dụng","TSTT ưu tiên, chưa xác minh khai thác"),IF(G12&gt;0,"Chủ yếu công bố học thuật","Mới ở đầu ra nghiên cứu")))</x:f>
        <x:v>Mới ở đầu ra nghiên cứu</x:v>
      </x:c>
      <x:c r="K12" t="str">
        <x:f>IF(AND(L12&gt;0,H12=0),"Có đầu ra IP mức Cao nhưng chưa nối được hồ sơ bảo hộ; cần sàng lọc/đối chiếu",IF(AND(I12&gt;0,H12=0,F12&gt;0),"Có ứng dụng nhưng chưa xác định cơ chế quyền SHTT",""))</x:f>
      </x:c>
      <x:c r="L12" s="20" t="n">
        <x:f>COUNTIFS('02_OUTPUT_ALL'!$B:$B,A12,'02_OUTPUT_ALL'!$K:$K,"Cao")</x:f>
        <x:v>0</x:v>
      </x:c>
    </x:row>
    <x:row r="13">
      <x:c r="A13" t="str">
        <x:f>'01_PROJECT_ALL'!A13</x:f>
        <x:v>P2022-15</x:v>
      </x:c>
      <x:c r="B13" t="n">
        <x:f>'01_PROJECT_ALL'!B13</x:f>
        <x:v>2022</x:v>
      </x:c>
      <x:c r="C13" t="str">
        <x:f>'01_PROJECT_ALL'!D13</x:f>
        <x:v>Nghiên cứu ảnh hưởng của hình thức dạy học trực tuyến đến kết quả học tập của sinh viên Khoa Du lịch - Ngoại ngữ, Trường Đại học Thành Đô</x:v>
      </x:c>
      <x:c r="D13" t="str">
        <x:f>'01_PROJECT_ALL'!I13</x:f>
        <x:v>Global Communication</x:v>
      </x:c>
      <x:c r="E13" t="n">
        <x:f>COUNTIF('02_OUTPUT_ALL'!$B:$B,A13)</x:f>
        <x:v>1</x:v>
      </x:c>
      <x:c r="F13" t="n">
        <x:f>COUNTIF('03_IP_PRIORITY_ALL'!$C:$C,A13)</x:f>
        <x:v>0</x:v>
      </x:c>
      <x:c r="G13" t="n">
        <x:f>COUNTIF('12_PUBLICATION_LINKS'!$C:$C,A13)</x:f>
        <x:v>0</x:v>
      </x:c>
      <x:c r="H13" t="n">
        <x:f>COUNTIF('14_PROJECT_PROTECTION_LINK'!$B:$B,A13)</x:f>
        <x:v>0</x:v>
      </x:c>
      <x:c r="I13" t="n">
        <x:f>COUNTIFS('02_OUTPUT_ALL'!$B:$B,A13,'02_OUTPUT_ALL'!$L:$L,"Có")</x:f>
        <x:v>0</x:v>
      </x:c>
      <x:c r="J13" t="str">
        <x:f>IF(H13&gt;0,"Bảo hộ/xác lập có liên kết",IF(F13&gt;0,IF(I13&gt;0,"TSTT ưu tiên + có dấu hiệu ứng dụng","TSTT ưu tiên, chưa xác minh khai thác"),IF(G13&gt;0,"Chủ yếu công bố học thuật","Mới ở đầu ra nghiên cứu")))</x:f>
        <x:v>Mới ở đầu ra nghiên cứu</x:v>
      </x:c>
      <x:c r="K13" t="str">
        <x:f>IF(AND(L13&gt;0,H13=0),"Có đầu ra IP mức Cao nhưng chưa nối được hồ sơ bảo hộ; cần sàng lọc/đối chiếu",IF(AND(I13&gt;0,H13=0,F13&gt;0),"Có ứng dụng nhưng chưa xác định cơ chế quyền SHTT",""))</x:f>
      </x:c>
      <x:c r="L13" s="20" t="n">
        <x:f>COUNTIFS('02_OUTPUT_ALL'!$B:$B,A13,'02_OUTPUT_ALL'!$K:$K,"Cao")</x:f>
        <x:v>0</x:v>
      </x:c>
    </x:row>
    <x:row r="14">
      <x:c r="A14" t="str">
        <x:f>'01_PROJECT_ALL'!A14</x:f>
        <x:v>P2022-37</x:v>
      </x:c>
      <x:c r="B14" t="n">
        <x:f>'01_PROJECT_ALL'!B14</x:f>
        <x:v>2022</x:v>
      </x:c>
      <x:c r="C14" t="str">
        <x:f>'01_PROJECT_ALL'!D14</x:f>
        <x:v>Tính toán thiết kế panel kiểm tra và sửa chữa hệ thống khởi động điện trên ô tô</x:v>
      </x:c>
      <x:c r="D14" t="str">
        <x:f>'01_PROJECT_ALL'!I14</x:f>
        <x:v>Smart Mobility</x:v>
      </x:c>
      <x:c r="E14" t="n">
        <x:f>COUNTIF('02_OUTPUT_ALL'!$B:$B,A14)</x:f>
        <x:v>2</x:v>
      </x:c>
      <x:c r="F14" t="n">
        <x:f>COUNTIF('03_IP_PRIORITY_ALL'!$C:$C,A14)</x:f>
        <x:v>1</x:v>
      </x:c>
      <x:c r="G14" t="n">
        <x:f>COUNTIF('12_PUBLICATION_LINKS'!$C:$C,A14)</x:f>
        <x:v>0</x:v>
      </x:c>
      <x:c r="H14" t="n">
        <x:f>COUNTIF('14_PROJECT_PROTECTION_LINK'!$B:$B,A14)</x:f>
        <x:v>0</x:v>
      </x:c>
      <x:c r="I14" t="n">
        <x:f>COUNTIFS('02_OUTPUT_ALL'!$B:$B,A14,'02_OUTPUT_ALL'!$L:$L,"Có")</x:f>
        <x:v>1</x:v>
      </x:c>
      <x:c r="J14" t="str">
        <x:f>IF(H14&gt;0,"Bảo hộ/xác lập có liên kết",IF(F14&gt;0,IF(I14&gt;0,"TSTT ưu tiên + có dấu hiệu ứng dụng","TSTT ưu tiên, chưa xác minh khai thác"),IF(G14&gt;0,"Chủ yếu công bố học thuật","Mới ở đầu ra nghiên cứu")))</x:f>
        <x:v>TSTT ưu tiên + có dấu hiệu ứng dụng</x:v>
      </x:c>
      <x:c r="K14" t="str">
        <x:f>IF(AND(L14&gt;0,H14=0),"Có đầu ra IP mức Cao nhưng chưa nối được hồ sơ bảo hộ; cần sàng lọc/đối chiếu",IF(AND(I14&gt;0,H14=0,F14&gt;0),"Có ứng dụng nhưng chưa xác định cơ chế quyền SHTT",""))</x:f>
        <x:v>Có đầu ra IP mức Cao nhưng chưa nối được hồ sơ bảo hộ; cần sàng lọc/đối chiếu</x:v>
      </x:c>
      <x:c r="L14" s="20" t="n">
        <x:f>COUNTIFS('02_OUTPUT_ALL'!$B:$B,A14,'02_OUTPUT_ALL'!$K:$K,"Cao")</x:f>
        <x:v>1</x:v>
      </x:c>
    </x:row>
    <x:row r="15">
      <x:c r="A15" t="str">
        <x:f>'01_PROJECT_ALL'!A15</x:f>
        <x:v>P2022-39</x:v>
      </x:c>
      <x:c r="B15" t="n">
        <x:f>'01_PROJECT_ALL'!B15</x:f>
        <x:v>2022</x:v>
      </x:c>
      <x:c r="C15" t="str">
        <x:f>'01_PROJECT_ALL'!D15</x:f>
        <x:v>Nghiên cứu chế tạo vật liệu cầm máu trên cơ sở chitosan và cao nhọ nồi</x:v>
      </x:c>
      <x:c r="D15" t="str">
        <x:f>'01_PROJECT_ALL'!I15</x:f>
        <x:v>Wellness &amp; Care</x:v>
      </x:c>
      <x:c r="E15" t="n">
        <x:f>COUNTIF('02_OUTPUT_ALL'!$B:$B,A15)</x:f>
        <x:v>2</x:v>
      </x:c>
      <x:c r="F15" t="n">
        <x:f>COUNTIF('03_IP_PRIORITY_ALL'!$C:$C,A15)</x:f>
        <x:v>1</x:v>
      </x:c>
      <x:c r="G15" t="n">
        <x:f>COUNTIF('12_PUBLICATION_LINKS'!$C:$C,A15)</x:f>
        <x:v>0</x:v>
      </x:c>
      <x:c r="H15" t="n">
        <x:f>COUNTIF('14_PROJECT_PROTECTION_LINK'!$B:$B,A15)</x:f>
        <x:v>0</x:v>
      </x:c>
      <x:c r="I15" t="n">
        <x:f>COUNTIFS('02_OUTPUT_ALL'!$B:$B,A15,'02_OUTPUT_ALL'!$L:$L,"Có")</x:f>
        <x:v>1</x:v>
      </x:c>
      <x:c r="J15" t="str">
        <x:f>IF(H15&gt;0,"Bảo hộ/xác lập có liên kết",IF(F15&gt;0,IF(I15&gt;0,"TSTT ưu tiên + có dấu hiệu ứng dụng","TSTT ưu tiên, chưa xác minh khai thác"),IF(G15&gt;0,"Chủ yếu công bố học thuật","Mới ở đầu ra nghiên cứu")))</x:f>
        <x:v>TSTT ưu tiên + có dấu hiệu ứng dụng</x:v>
      </x:c>
      <x:c r="K15" t="str">
        <x:f>IF(AND(L15&gt;0,H15=0),"Có đầu ra IP mức Cao nhưng chưa nối được hồ sơ bảo hộ; cần sàng lọc/đối chiếu",IF(AND(I15&gt;0,H15=0,F15&gt;0),"Có ứng dụng nhưng chưa xác định cơ chế quyền SHTT",""))</x:f>
        <x:v>Có đầu ra IP mức Cao nhưng chưa nối được hồ sơ bảo hộ; cần sàng lọc/đối chiếu</x:v>
      </x:c>
      <x:c r="L15" s="20" t="n">
        <x:f>COUNTIFS('02_OUTPUT_ALL'!$B:$B,A15,'02_OUTPUT_ALL'!$K:$K,"Cao")</x:f>
        <x:v>1</x:v>
      </x:c>
    </x:row>
    <x:row r="16">
      <x:c r="A16" t="str">
        <x:f>'01_PROJECT_ALL'!A16</x:f>
        <x:v>P2022-40</x:v>
      </x:c>
      <x:c r="B16" t="n">
        <x:f>'01_PROJECT_ALL'!B16</x:f>
        <x:v>2022</x:v>
      </x:c>
      <x:c r="C16" t="str">
        <x:f>'01_PROJECT_ALL'!D16</x:f>
        <x:v>Nghiên cứu xây dựng bộ mẫu dược liệu áp dụng giảng dạy tại Trường Đại học Thành Đô</x:v>
      </x:c>
      <x:c r="D16" t="str">
        <x:f>'01_PROJECT_ALL'!I16</x:f>
        <x:v>Wellness &amp; Care</x:v>
      </x:c>
      <x:c r="E16" t="n">
        <x:f>COUNTIF('02_OUTPUT_ALL'!$B:$B,A16)</x:f>
        <x:v>2</x:v>
      </x:c>
      <x:c r="F16" t="n">
        <x:f>COUNTIF('03_IP_PRIORITY_ALL'!$C:$C,A16)</x:f>
        <x:v>1</x:v>
      </x:c>
      <x:c r="G16" t="n">
        <x:f>COUNTIF('12_PUBLICATION_LINKS'!$C:$C,A16)</x:f>
        <x:v>0</x:v>
      </x:c>
      <x:c r="H16" t="n">
        <x:f>COUNTIF('14_PROJECT_PROTECTION_LINK'!$B:$B,A16)</x:f>
        <x:v>0</x:v>
      </x:c>
      <x:c r="I16" t="n">
        <x:f>COUNTIFS('02_OUTPUT_ALL'!$B:$B,A16,'02_OUTPUT_ALL'!$L:$L,"Có")</x:f>
        <x:v>1</x:v>
      </x:c>
      <x:c r="J16" t="str">
        <x:f>IF(H16&gt;0,"Bảo hộ/xác lập có liên kết",IF(F16&gt;0,IF(I16&gt;0,"TSTT ưu tiên + có dấu hiệu ứng dụng","TSTT ưu tiên, chưa xác minh khai thác"),IF(G16&gt;0,"Chủ yếu công bố học thuật","Mới ở đầu ra nghiên cứu")))</x:f>
        <x:v>TSTT ưu tiên + có dấu hiệu ứng dụng</x:v>
      </x:c>
      <x:c r="K16" t="str">
        <x:f>IF(AND(L16&gt;0,H16=0),"Có đầu ra IP mức Cao nhưng chưa nối được hồ sơ bảo hộ; cần sàng lọc/đối chiếu",IF(AND(I16&gt;0,H16=0,F16&gt;0),"Có ứng dụng nhưng chưa xác định cơ chế quyền SHTT",""))</x:f>
        <x:v>Có ứng dụng nhưng chưa xác định cơ chế quyền SHTT</x:v>
      </x:c>
      <x:c r="L16" s="20" t="n">
        <x:f>COUNTIFS('02_OUTPUT_ALL'!$B:$B,A16,'02_OUTPUT_ALL'!$K:$K,"Cao")</x:f>
        <x:v>0</x:v>
      </x:c>
    </x:row>
    <x:row r="17">
      <x:c r="A17" t="str">
        <x:f>'01_PROJECT_ALL'!A17</x:f>
        <x:v>P2022-51</x:v>
      </x:c>
      <x:c r="B17" t="n">
        <x:f>'01_PROJECT_ALL'!B17</x:f>
        <x:v>2022</x:v>
      </x:c>
      <x:c r="C17" t="str">
        <x:f>'01_PROJECT_ALL'!D17</x:f>
        <x:v>Quản lý hoạt động huy động vốn của các công ty chứng khoán tại Việt Nam: Thực trạng và một số kiến nghị</x:v>
      </x:c>
      <x:c r="D17" t="str">
        <x:f>'01_PROJECT_ALL'!I17</x:f>
        <x:v>Digital Services</x:v>
      </x:c>
      <x:c r="E17" t="n">
        <x:f>COUNTIF('02_OUTPUT_ALL'!$B:$B,A17)</x:f>
        <x:v>2</x:v>
      </x:c>
      <x:c r="F17" t="n">
        <x:f>COUNTIF('03_IP_PRIORITY_ALL'!$C:$C,A17)</x:f>
        <x:v>0</x:v>
      </x:c>
      <x:c r="G17" t="n">
        <x:f>COUNTIF('12_PUBLICATION_LINKS'!$C:$C,A17)</x:f>
        <x:v>0</x:v>
      </x:c>
      <x:c r="H17" t="n">
        <x:f>COUNTIF('14_PROJECT_PROTECTION_LINK'!$B:$B,A17)</x:f>
        <x:v>0</x:v>
      </x:c>
      <x:c r="I17" t="n">
        <x:f>COUNTIFS('02_OUTPUT_ALL'!$B:$B,A17,'02_OUTPUT_ALL'!$L:$L,"Có")</x:f>
        <x:v>0</x:v>
      </x:c>
      <x:c r="J17" t="str">
        <x:f>IF(H17&gt;0,"Bảo hộ/xác lập có liên kết",IF(F17&gt;0,IF(I17&gt;0,"TSTT ưu tiên + có dấu hiệu ứng dụng","TSTT ưu tiên, chưa xác minh khai thác"),IF(G17&gt;0,"Chủ yếu công bố học thuật","Mới ở đầu ra nghiên cứu")))</x:f>
        <x:v>Mới ở đầu ra nghiên cứu</x:v>
      </x:c>
      <x:c r="K17" t="str">
        <x:f>IF(AND(L17&gt;0,H17=0),"Có đầu ra IP mức Cao nhưng chưa nối được hồ sơ bảo hộ; cần sàng lọc/đối chiếu",IF(AND(I17&gt;0,H17=0,F17&gt;0),"Có ứng dụng nhưng chưa xác định cơ chế quyền SHTT",""))</x:f>
      </x:c>
      <x:c r="L17" s="20" t="n">
        <x:f>COUNTIFS('02_OUTPUT_ALL'!$B:$B,A17,'02_OUTPUT_ALL'!$K:$K,"Cao")</x:f>
        <x:v>0</x:v>
      </x:c>
    </x:row>
    <x:row r="18">
      <x:c r="A18" t="str">
        <x:f>'01_PROJECT_ALL'!A18</x:f>
        <x:v>P2023-01</x:v>
      </x:c>
      <x:c r="B18" t="n">
        <x:f>'01_PROJECT_ALL'!B18</x:f>
        <x:v>2023</x:v>
      </x:c>
      <x:c r="C18" t="str">
        <x:f>'01_PROJECT_ALL'!D18</x:f>
        <x:v>Bồi dưỡng phương pháp tư duy biện chứng Hồ Chí Minh cho sinh viên Trường Đại học Thành Đô hiện nay</x:v>
      </x:c>
      <x:c r="D18" t="str">
        <x:f>'01_PROJECT_ALL'!I18</x:f>
        <x:v>Khác/Chưa phân loại</x:v>
      </x:c>
      <x:c r="E18" t="n">
        <x:f>COUNTIF('02_OUTPUT_ALL'!$B:$B,A18)</x:f>
        <x:v>3</x:v>
      </x:c>
      <x:c r="F18" t="n">
        <x:f>COUNTIF('03_IP_PRIORITY_ALL'!$C:$C,A18)</x:f>
        <x:v>1</x:v>
      </x:c>
      <x:c r="G18" t="n">
        <x:f>COUNTIF('12_PUBLICATION_LINKS'!$C:$C,A18)</x:f>
        <x:v>0</x:v>
      </x:c>
      <x:c r="H18" t="n">
        <x:f>COUNTIF('14_PROJECT_PROTECTION_LINK'!$B:$B,A18)</x:f>
        <x:v>0</x:v>
      </x:c>
      <x:c r="I18" t="n">
        <x:f>COUNTIFS('02_OUTPUT_ALL'!$B:$B,A18,'02_OUTPUT_ALL'!$L:$L,"Có")</x:f>
        <x:v>1</x:v>
      </x:c>
      <x:c r="J18" t="str">
        <x:f>IF(H18&gt;0,"Bảo hộ/xác lập có liên kết",IF(F18&gt;0,IF(I18&gt;0,"TSTT ưu tiên + có dấu hiệu ứng dụng","TSTT ưu tiên, chưa xác minh khai thác"),IF(G18&gt;0,"Chủ yếu công bố học thuật","Mới ở đầu ra nghiên cứu")))</x:f>
        <x:v>TSTT ưu tiên + có dấu hiệu ứng dụng</x:v>
      </x:c>
      <x:c r="K18" t="str">
        <x:f>IF(AND(L18&gt;0,H18=0),"Có đầu ra IP mức Cao nhưng chưa nối được hồ sơ bảo hộ; cần sàng lọc/đối chiếu",IF(AND(I18&gt;0,H18=0,F18&gt;0),"Có ứng dụng nhưng chưa xác định cơ chế quyền SHTT",""))</x:f>
        <x:v>Có ứng dụng nhưng chưa xác định cơ chế quyền SHTT</x:v>
      </x:c>
      <x:c r="L18" s="20" t="n">
        <x:f>COUNTIFS('02_OUTPUT_ALL'!$B:$B,A18,'02_OUTPUT_ALL'!$K:$K,"Cao")</x:f>
        <x:v>0</x:v>
      </x:c>
    </x:row>
    <x:row r="19">
      <x:c r="A19" t="str">
        <x:f>'01_PROJECT_ALL'!A19</x:f>
        <x:v>P2023-02</x:v>
      </x:c>
      <x:c r="B19" t="n">
        <x:f>'01_PROJECT_ALL'!B19</x:f>
        <x:v>2023</x:v>
      </x:c>
      <x:c r="C19" t="str">
        <x:f>'01_PROJECT_ALL'!D19</x:f>
        <x:v>Tiếp cận CDIO để nâng cao chất lượng dạy học học phần thực hành hướng dẫn du lịch tại Trường Đại học Thành Đô</x:v>
      </x:c>
      <x:c r="D19" t="str">
        <x:f>'01_PROJECT_ALL'!I19</x:f>
        <x:v>Global Communication</x:v>
      </x:c>
      <x:c r="E19" t="n">
        <x:f>COUNTIF('02_OUTPUT_ALL'!$B:$B,A19)</x:f>
        <x:v>3</x:v>
      </x:c>
      <x:c r="F19" t="n">
        <x:f>COUNTIF('03_IP_PRIORITY_ALL'!$C:$C,A19)</x:f>
        <x:v>1</x:v>
      </x:c>
      <x:c r="G19" t="n">
        <x:f>COUNTIF('12_PUBLICATION_LINKS'!$C:$C,A19)</x:f>
        <x:v>1</x:v>
      </x:c>
      <x:c r="H19" t="n">
        <x:f>COUNTIF('14_PROJECT_PROTECTION_LINK'!$B:$B,A19)</x:f>
        <x:v>0</x:v>
      </x:c>
      <x:c r="I19" t="n">
        <x:f>COUNTIFS('02_OUTPUT_ALL'!$B:$B,A19,'02_OUTPUT_ALL'!$L:$L,"Có")</x:f>
        <x:v>1</x:v>
      </x:c>
      <x:c r="J19" t="str">
        <x:f>IF(H19&gt;0,"Bảo hộ/xác lập có liên kết",IF(F19&gt;0,IF(I19&gt;0,"TSTT ưu tiên + có dấu hiệu ứng dụng","TSTT ưu tiên, chưa xác minh khai thác"),IF(G19&gt;0,"Chủ yếu công bố học thuật","Mới ở đầu ra nghiên cứu")))</x:f>
        <x:v>TSTT ưu tiên + có dấu hiệu ứng dụng</x:v>
      </x:c>
      <x:c r="K19" t="str">
        <x:f>IF(AND(L19&gt;0,H19=0),"Có đầu ra IP mức Cao nhưng chưa nối được hồ sơ bảo hộ; cần sàng lọc/đối chiếu",IF(AND(I19&gt;0,H19=0,F19&gt;0),"Có ứng dụng nhưng chưa xác định cơ chế quyền SHTT",""))</x:f>
        <x:v>Có ứng dụng nhưng chưa xác định cơ chế quyền SHTT</x:v>
      </x:c>
      <x:c r="L19" s="20" t="n">
        <x:f>COUNTIFS('02_OUTPUT_ALL'!$B:$B,A19,'02_OUTPUT_ALL'!$K:$K,"Cao")</x:f>
        <x:v>0</x:v>
      </x:c>
    </x:row>
    <x:row r="20">
      <x:c r="A20" t="str">
        <x:f>'01_PROJECT_ALL'!A20</x:f>
        <x:v>P2023-03</x:v>
      </x:c>
      <x:c r="B20" t="n">
        <x:f>'01_PROJECT_ALL'!B20</x:f>
        <x:v>2023</x:v>
      </x:c>
      <x:c r="C20" t="str">
        <x:f>'01_PROJECT_ALL'!D20</x:f>
        <x:v>Sử dụng phương pháp học tập dự án để thúc đẩy sự tự chủ của sinh viên trong học phần cú pháp học</x:v>
      </x:c>
      <x:c r="D20" t="str">
        <x:f>'01_PROJECT_ALL'!I20</x:f>
        <x:v>Global Communication</x:v>
      </x:c>
      <x:c r="E20" t="n">
        <x:f>COUNTIF('02_OUTPUT_ALL'!$B:$B,A20)</x:f>
        <x:v>3</x:v>
      </x:c>
      <x:c r="F20" t="n">
        <x:f>COUNTIF('03_IP_PRIORITY_ALL'!$C:$C,A20)</x:f>
        <x:v>1</x:v>
      </x:c>
      <x:c r="G20" t="n">
        <x:f>COUNTIF('12_PUBLICATION_LINKS'!$C:$C,A20)</x:f>
        <x:v>0</x:v>
      </x:c>
      <x:c r="H20" t="n">
        <x:f>COUNTIF('14_PROJECT_PROTECTION_LINK'!$B:$B,A20)</x:f>
        <x:v>0</x:v>
      </x:c>
      <x:c r="I20" t="n">
        <x:f>COUNTIFS('02_OUTPUT_ALL'!$B:$B,A20,'02_OUTPUT_ALL'!$L:$L,"Có")</x:f>
        <x:v>1</x:v>
      </x:c>
      <x:c r="J20" t="str">
        <x:f>IF(H20&gt;0,"Bảo hộ/xác lập có liên kết",IF(F20&gt;0,IF(I20&gt;0,"TSTT ưu tiên + có dấu hiệu ứng dụng","TSTT ưu tiên, chưa xác minh khai thác"),IF(G20&gt;0,"Chủ yếu công bố học thuật","Mới ở đầu ra nghiên cứu")))</x:f>
        <x:v>TSTT ưu tiên + có dấu hiệu ứng dụng</x:v>
      </x:c>
      <x:c r="K20" t="str">
        <x:f>IF(AND(L20&gt;0,H20=0),"Có đầu ra IP mức Cao nhưng chưa nối được hồ sơ bảo hộ; cần sàng lọc/đối chiếu",IF(AND(I20&gt;0,H20=0,F20&gt;0),"Có ứng dụng nhưng chưa xác định cơ chế quyền SHTT",""))</x:f>
        <x:v>Có ứng dụng nhưng chưa xác định cơ chế quyền SHTT</x:v>
      </x:c>
      <x:c r="L20" s="20" t="n">
        <x:f>COUNTIFS('02_OUTPUT_ALL'!$B:$B,A20,'02_OUTPUT_ALL'!$K:$K,"Cao")</x:f>
        <x:v>0</x:v>
      </x:c>
    </x:row>
    <x:row r="21">
      <x:c r="A21" t="str">
        <x:f>'01_PROJECT_ALL'!A21</x:f>
        <x:v>P2023-04</x:v>
      </x:c>
      <x:c r="B21" t="n">
        <x:f>'01_PROJECT_ALL'!B21</x:f>
        <x:v>2023</x:v>
      </x:c>
      <x:c r="C21" t="str">
        <x:f>'01_PROJECT_ALL'!D21</x:f>
        <x:v>Flipped classroom in higher education: Students' perspective</x:v>
      </x:c>
      <x:c r="D21" t="str">
        <x:f>'01_PROJECT_ALL'!I21</x:f>
        <x:v>Global Communication</x:v>
      </x:c>
      <x:c r="E21" t="n">
        <x:f>COUNTIF('02_OUTPUT_ALL'!$B:$B,A21)</x:f>
        <x:v>3</x:v>
      </x:c>
      <x:c r="F21" t="n">
        <x:f>COUNTIF('03_IP_PRIORITY_ALL'!$C:$C,A21)</x:f>
        <x:v>1</x:v>
      </x:c>
      <x:c r="G21" t="n">
        <x:f>COUNTIF('12_PUBLICATION_LINKS'!$C:$C,A21)</x:f>
        <x:v>0</x:v>
      </x:c>
      <x:c r="H21" t="n">
        <x:f>COUNTIF('14_PROJECT_PROTECTION_LINK'!$B:$B,A21)</x:f>
        <x:v>0</x:v>
      </x:c>
      <x:c r="I21" t="n">
        <x:f>COUNTIFS('02_OUTPUT_ALL'!$B:$B,A21,'02_OUTPUT_ALL'!$L:$L,"Có")</x:f>
        <x:v>1</x:v>
      </x:c>
      <x:c r="J21" t="str">
        <x:f>IF(H21&gt;0,"Bảo hộ/xác lập có liên kết",IF(F21&gt;0,IF(I21&gt;0,"TSTT ưu tiên + có dấu hiệu ứng dụng","TSTT ưu tiên, chưa xác minh khai thác"),IF(G21&gt;0,"Chủ yếu công bố học thuật","Mới ở đầu ra nghiên cứu")))</x:f>
        <x:v>TSTT ưu tiên + có dấu hiệu ứng dụng</x:v>
      </x:c>
      <x:c r="K21" t="str">
        <x:f>IF(AND(L21&gt;0,H21=0),"Có đầu ra IP mức Cao nhưng chưa nối được hồ sơ bảo hộ; cần sàng lọc/đối chiếu",IF(AND(I21&gt;0,H21=0,F21&gt;0),"Có ứng dụng nhưng chưa xác định cơ chế quyền SHTT",""))</x:f>
        <x:v>Có ứng dụng nhưng chưa xác định cơ chế quyền SHTT</x:v>
      </x:c>
      <x:c r="L21" s="20" t="n">
        <x:f>COUNTIFS('02_OUTPUT_ALL'!$B:$B,A21,'02_OUTPUT_ALL'!$K:$K,"Cao")</x:f>
        <x:v>0</x:v>
      </x:c>
    </x:row>
    <x:row r="22">
      <x:c r="A22" t="str">
        <x:f>'01_PROJECT_ALL'!A22</x:f>
        <x:v>P2023-05</x:v>
      </x:c>
      <x:c r="B22" t="n">
        <x:f>'01_PROJECT_ALL'!B22</x:f>
        <x:v>2023</x:v>
      </x:c>
      <x:c r="C22" t="str">
        <x:f>'01_PROJECT_ALL'!D22</x:f>
        <x:v>Chính sách khuyến khích cho các công bố khoa học tại một số trường đại học ngoài công lập ở Việt Nam</x:v>
      </x:c>
      <x:c r="D22" t="str">
        <x:f>'01_PROJECT_ALL'!I22</x:f>
        <x:v>Khác/Chưa phân loại</x:v>
      </x:c>
      <x:c r="E22" t="n">
        <x:f>COUNTIF('02_OUTPUT_ALL'!$B:$B,A22)</x:f>
        <x:v>3</x:v>
      </x:c>
      <x:c r="F22" t="n">
        <x:f>COUNTIF('03_IP_PRIORITY_ALL'!$C:$C,A22)</x:f>
        <x:v>1</x:v>
      </x:c>
      <x:c r="G22" t="n">
        <x:f>COUNTIF('12_PUBLICATION_LINKS'!$C:$C,A22)</x:f>
        <x:v>1</x:v>
      </x:c>
      <x:c r="H22" t="n">
        <x:f>COUNTIF('14_PROJECT_PROTECTION_LINK'!$B:$B,A22)</x:f>
        <x:v>0</x:v>
      </x:c>
      <x:c r="I22" t="n">
        <x:f>COUNTIFS('02_OUTPUT_ALL'!$B:$B,A22,'02_OUTPUT_ALL'!$L:$L,"Có")</x:f>
        <x:v>1</x:v>
      </x:c>
      <x:c r="J22" t="str">
        <x:f>IF(H22&gt;0,"Bảo hộ/xác lập có liên kết",IF(F22&gt;0,IF(I22&gt;0,"TSTT ưu tiên + có dấu hiệu ứng dụng","TSTT ưu tiên, chưa xác minh khai thác"),IF(G22&gt;0,"Chủ yếu công bố học thuật","Mới ở đầu ra nghiên cứu")))</x:f>
        <x:v>TSTT ưu tiên + có dấu hiệu ứng dụng</x:v>
      </x:c>
      <x:c r="K22" t="str">
        <x:f>IF(AND(L22&gt;0,H22=0),"Có đầu ra IP mức Cao nhưng chưa nối được hồ sơ bảo hộ; cần sàng lọc/đối chiếu",IF(AND(I22&gt;0,H22=0,F22&gt;0),"Có ứng dụng nhưng chưa xác định cơ chế quyền SHTT",""))</x:f>
        <x:v>Có ứng dụng nhưng chưa xác định cơ chế quyền SHTT</x:v>
      </x:c>
      <x:c r="L22" s="20" t="n">
        <x:f>COUNTIFS('02_OUTPUT_ALL'!$B:$B,A22,'02_OUTPUT_ALL'!$K:$K,"Cao")</x:f>
        <x:v>0</x:v>
      </x:c>
    </x:row>
    <x:row r="23">
      <x:c r="A23" t="str">
        <x:f>'01_PROJECT_ALL'!A23</x:f>
        <x:v>P2023-07</x:v>
      </x:c>
      <x:c r="B23" t="n">
        <x:f>'01_PROJECT_ALL'!B23</x:f>
        <x:v>2023</x:v>
      </x:c>
      <x:c r="C23" t="str">
        <x:f>'01_PROJECT_ALL'!D23</x:f>
        <x:v>Nâng cao nhận thức về luật hình sự Việt Nam cho sinh viên Trường Đại học Thành Đô</x:v>
      </x:c>
      <x:c r="D23" t="str">
        <x:f>'01_PROJECT_ALL'!I23</x:f>
        <x:v>Khác/Chưa phân loại</x:v>
      </x:c>
      <x:c r="E23" t="n">
        <x:f>COUNTIF('02_OUTPUT_ALL'!$B:$B,A23)</x:f>
        <x:v>3</x:v>
      </x:c>
      <x:c r="F23" t="n">
        <x:f>COUNTIF('03_IP_PRIORITY_ALL'!$C:$C,A23)</x:f>
        <x:v>1</x:v>
      </x:c>
      <x:c r="G23" t="n">
        <x:f>COUNTIF('12_PUBLICATION_LINKS'!$C:$C,A23)</x:f>
        <x:v>0</x:v>
      </x:c>
      <x:c r="H23" t="n">
        <x:f>COUNTIF('14_PROJECT_PROTECTION_LINK'!$B:$B,A23)</x:f>
        <x:v>0</x:v>
      </x:c>
      <x:c r="I23" t="n">
        <x:f>COUNTIFS('02_OUTPUT_ALL'!$B:$B,A23,'02_OUTPUT_ALL'!$L:$L,"Có")</x:f>
        <x:v>1</x:v>
      </x:c>
      <x:c r="J23" t="str">
        <x:f>IF(H23&gt;0,"Bảo hộ/xác lập có liên kết",IF(F23&gt;0,IF(I23&gt;0,"TSTT ưu tiên + có dấu hiệu ứng dụng","TSTT ưu tiên, chưa xác minh khai thác"),IF(G23&gt;0,"Chủ yếu công bố học thuật","Mới ở đầu ra nghiên cứu")))</x:f>
        <x:v>TSTT ưu tiên + có dấu hiệu ứng dụng</x:v>
      </x:c>
      <x:c r="K23" t="str">
        <x:f>IF(AND(L23&gt;0,H23=0),"Có đầu ra IP mức Cao nhưng chưa nối được hồ sơ bảo hộ; cần sàng lọc/đối chiếu",IF(AND(I23&gt;0,H23=0,F23&gt;0),"Có ứng dụng nhưng chưa xác định cơ chế quyền SHTT",""))</x:f>
        <x:v>Có ứng dụng nhưng chưa xác định cơ chế quyền SHTT</x:v>
      </x:c>
      <x:c r="L23" s="20" t="n">
        <x:f>COUNTIFS('02_OUTPUT_ALL'!$B:$B,A23,'02_OUTPUT_ALL'!$K:$K,"Cao")</x:f>
        <x:v>0</x:v>
      </x:c>
    </x:row>
    <x:row r="24">
      <x:c r="A24" t="str">
        <x:f>'01_PROJECT_ALL'!A24</x:f>
        <x:v>P2023-08</x:v>
      </x:c>
      <x:c r="B24" t="n">
        <x:f>'01_PROJECT_ALL'!B24</x:f>
        <x:v>2023</x:v>
      </x:c>
      <x:c r="C24" t="str">
        <x:f>'01_PROJECT_ALL'!D24</x:f>
        <x:v>Ứng dụng mô hình hợp tác giáo dục giữa Nhà trường - Doanh nghiệp trong nghiên cứu chiết xuất tinh dầu từ vỏ bưởi</x:v>
      </x:c>
      <x:c r="D24" t="str">
        <x:f>'01_PROJECT_ALL'!I24</x:f>
        <x:v>Wellness &amp; Care</x:v>
      </x:c>
      <x:c r="E24" t="n">
        <x:f>COUNTIF('02_OUTPUT_ALL'!$B:$B,A24)</x:f>
        <x:v>3</x:v>
      </x:c>
      <x:c r="F24" t="n">
        <x:f>COUNTIF('03_IP_PRIORITY_ALL'!$C:$C,A24)</x:f>
        <x:v>2</x:v>
      </x:c>
      <x:c r="G24" t="n">
        <x:f>COUNTIF('12_PUBLICATION_LINKS'!$C:$C,A24)</x:f>
        <x:v>1</x:v>
      </x:c>
      <x:c r="H24" t="n">
        <x:f>COUNTIF('14_PROJECT_PROTECTION_LINK'!$B:$B,A24)</x:f>
        <x:v>1</x:v>
      </x:c>
      <x:c r="I24" t="n">
        <x:f>COUNTIFS('02_OUTPUT_ALL'!$B:$B,A24,'02_OUTPUT_ALL'!$L:$L,"Có")</x:f>
        <x:v>2</x:v>
      </x:c>
      <x:c r="J24" t="str">
        <x:f>IF(H24&gt;0,"Bảo hộ/xác lập có liên kết",IF(F24&gt;0,IF(I24&gt;0,"TSTT ưu tiên + có dấu hiệu ứng dụng","TSTT ưu tiên, chưa xác minh khai thác"),IF(G24&gt;0,"Chủ yếu công bố học thuật","Mới ở đầu ra nghiên cứu")))</x:f>
        <x:v>Bảo hộ/xác lập có liên kết</x:v>
      </x:c>
      <x:c r="K24" t="str">
        <x:f>IF(AND(L24&gt;0,H24=0),"Có đầu ra IP mức Cao nhưng chưa nối được hồ sơ bảo hộ; cần sàng lọc/đối chiếu",IF(AND(I24&gt;0,H24=0,F24&gt;0),"Có ứng dụng nhưng chưa xác định cơ chế quyền SHTT",""))</x:f>
      </x:c>
      <x:c r="L24" s="20" t="n">
        <x:f>COUNTIFS('02_OUTPUT_ALL'!$B:$B,A24,'02_OUTPUT_ALL'!$K:$K,"Cao")</x:f>
        <x:v>2</x:v>
      </x:c>
    </x:row>
    <x:row r="25">
      <x:c r="A25" t="str">
        <x:f>'01_PROJECT_ALL'!A25</x:f>
        <x:v>P2024-06</x:v>
      </x:c>
      <x:c r="B25" t="n">
        <x:f>'01_PROJECT_ALL'!B25</x:f>
        <x:v>2024</x:v>
      </x:c>
      <x:c r="C25" t="str">
        <x:f>'01_PROJECT_ALL'!D25</x:f>
        <x:v>Nghiên cứu ứng dụng quy trình sản xuất xà phòng tảo biển hữu cơ</x:v>
      </x:c>
      <x:c r="D25" t="str">
        <x:f>'01_PROJECT_ALL'!I25</x:f>
        <x:v>Wellness &amp; Care</x:v>
      </x:c>
      <x:c r="E25" t="n">
        <x:f>COUNTIF('02_OUTPUT_ALL'!$B:$B,A25)</x:f>
        <x:v>4</x:v>
      </x:c>
      <x:c r="F25" t="n">
        <x:f>COUNTIF('03_IP_PRIORITY_ALL'!$C:$C,A25)</x:f>
        <x:v>2</x:v>
      </x:c>
      <x:c r="G25" t="n">
        <x:f>COUNTIF('12_PUBLICATION_LINKS'!$C:$C,A25)</x:f>
        <x:v>1</x:v>
      </x:c>
      <x:c r="H25" t="n">
        <x:f>COUNTIF('14_PROJECT_PROTECTION_LINK'!$B:$B,A25)</x:f>
        <x:v>0</x:v>
      </x:c>
      <x:c r="I25" t="n">
        <x:f>COUNTIFS('02_OUTPUT_ALL'!$B:$B,A25,'02_OUTPUT_ALL'!$L:$L,"Có")</x:f>
        <x:v>2</x:v>
      </x:c>
      <x:c r="J25" t="str">
        <x:f>IF(H25&gt;0,"Bảo hộ/xác lập có liên kết",IF(F25&gt;0,IF(I25&gt;0,"TSTT ưu tiên + có dấu hiệu ứng dụng","TSTT ưu tiên, chưa xác minh khai thác"),IF(G25&gt;0,"Chủ yếu công bố học thuật","Mới ở đầu ra nghiên cứu")))</x:f>
        <x:v>TSTT ưu tiên + có dấu hiệu ứng dụng</x:v>
      </x:c>
      <x:c r="K25" t="str">
        <x:f>IF(AND(L25&gt;0,H25=0),"Có đầu ra IP mức Cao nhưng chưa nối được hồ sơ bảo hộ; cần sàng lọc/đối chiếu",IF(AND(I25&gt;0,H25=0,F25&gt;0),"Có ứng dụng nhưng chưa xác định cơ chế quyền SHTT",""))</x:f>
        <x:v>Có đầu ra IP mức Cao nhưng chưa nối được hồ sơ bảo hộ; cần sàng lọc/đối chiếu</x:v>
      </x:c>
      <x:c r="L25" s="20" t="n">
        <x:f>COUNTIFS('02_OUTPUT_ALL'!$B:$B,A25,'02_OUTPUT_ALL'!$K:$K,"Cao")</x:f>
        <x:v>2</x:v>
      </x:c>
    </x:row>
    <x:row r="26">
      <x:c r="A26" t="str">
        <x:f>'01_PROJECT_ALL'!A26</x:f>
        <x:v>P2024-07</x:v>
      </x:c>
      <x:c r="B26" t="n">
        <x:f>'01_PROJECT_ALL'!B26</x:f>
        <x:v>2024</x:v>
      </x:c>
      <x:c r="C26" t="str">
        <x:f>'01_PROJECT_ALL'!D26</x:f>
        <x:v>Nghiên cứu xây dựng bộ tiêu bản hiển vi cố định trong giảng dạy học phần Ký sinh trùng tại Trường Đại học Thành Đô</x:v>
      </x:c>
      <x:c r="D26" t="str">
        <x:f>'01_PROJECT_ALL'!I26</x:f>
        <x:v>Wellness &amp; Care</x:v>
      </x:c>
      <x:c r="E26" t="n">
        <x:f>COUNTIF('02_OUTPUT_ALL'!$B:$B,A26)</x:f>
        <x:v>4</x:v>
      </x:c>
      <x:c r="F26" t="n">
        <x:f>COUNTIF('03_IP_PRIORITY_ALL'!$C:$C,A26)</x:f>
        <x:v>2</x:v>
      </x:c>
      <x:c r="G26" t="n">
        <x:f>COUNTIF('12_PUBLICATION_LINKS'!$C:$C,A26)</x:f>
        <x:v>0</x:v>
      </x:c>
      <x:c r="H26" t="n">
        <x:f>COUNTIF('14_PROJECT_PROTECTION_LINK'!$B:$B,A26)</x:f>
        <x:v>0</x:v>
      </x:c>
      <x:c r="I26" t="n">
        <x:f>COUNTIFS('02_OUTPUT_ALL'!$B:$B,A26,'02_OUTPUT_ALL'!$L:$L,"Có")</x:f>
        <x:v>2</x:v>
      </x:c>
      <x:c r="J26" t="str">
        <x:f>IF(H26&gt;0,"Bảo hộ/xác lập có liên kết",IF(F26&gt;0,IF(I26&gt;0,"TSTT ưu tiên + có dấu hiệu ứng dụng","TSTT ưu tiên, chưa xác minh khai thác"),IF(G26&gt;0,"Chủ yếu công bố học thuật","Mới ở đầu ra nghiên cứu")))</x:f>
        <x:v>TSTT ưu tiên + có dấu hiệu ứng dụng</x:v>
      </x:c>
      <x:c r="K26" t="str">
        <x:f>IF(AND(L26&gt;0,H26=0),"Có đầu ra IP mức Cao nhưng chưa nối được hồ sơ bảo hộ; cần sàng lọc/đối chiếu",IF(AND(I26&gt;0,H26=0,F26&gt;0),"Có ứng dụng nhưng chưa xác định cơ chế quyền SHTT",""))</x:f>
        <x:v>Có ứng dụng nhưng chưa xác định cơ chế quyền SHTT</x:v>
      </x:c>
      <x:c r="L26" s="20" t="n">
        <x:f>COUNTIFS('02_OUTPUT_ALL'!$B:$B,A26,'02_OUTPUT_ALL'!$K:$K,"Cao")</x:f>
        <x:v>0</x:v>
      </x:c>
    </x:row>
    <x:row r="27">
      <x:c r="A27" t="str">
        <x:f>'01_PROJECT_ALL'!A27</x:f>
        <x:v>P2024-08</x:v>
      </x:c>
      <x:c r="B27" t="n">
        <x:f>'01_PROJECT_ALL'!B27</x:f>
        <x:v>2024</x:v>
      </x:c>
      <x:c r="C27" t="str">
        <x:f>'01_PROJECT_ALL'!D27</x:f>
        <x:v>Cải tiến quy trình chiết xuất Rutin từ hoa Hòe (Sophora japonica L.) trong giảng dạy tại Trường Đại học Thành Đô</x:v>
      </x:c>
      <x:c r="D27" t="str">
        <x:f>'01_PROJECT_ALL'!I27</x:f>
        <x:v>Wellness &amp; Care</x:v>
      </x:c>
      <x:c r="E27" t="n">
        <x:f>COUNTIF('02_OUTPUT_ALL'!$B:$B,A27)</x:f>
        <x:v>5</x:v>
      </x:c>
      <x:c r="F27" t="n">
        <x:f>COUNTIF('03_IP_PRIORITY_ALL'!$C:$C,A27)</x:f>
        <x:v>2</x:v>
      </x:c>
      <x:c r="G27" t="n">
        <x:f>COUNTIF('12_PUBLICATION_LINKS'!$C:$C,A27)</x:f>
        <x:v>0</x:v>
      </x:c>
      <x:c r="H27" t="n">
        <x:f>COUNTIF('14_PROJECT_PROTECTION_LINK'!$B:$B,A27)</x:f>
        <x:v>0</x:v>
      </x:c>
      <x:c r="I27" t="n">
        <x:f>COUNTIFS('02_OUTPUT_ALL'!$B:$B,A27,'02_OUTPUT_ALL'!$L:$L,"Có")</x:f>
        <x:v>2</x:v>
      </x:c>
      <x:c r="J27" t="str">
        <x:f>IF(H27&gt;0,"Bảo hộ/xác lập có liên kết",IF(F27&gt;0,IF(I27&gt;0,"TSTT ưu tiên + có dấu hiệu ứng dụng","TSTT ưu tiên, chưa xác minh khai thác"),IF(G27&gt;0,"Chủ yếu công bố học thuật","Mới ở đầu ra nghiên cứu")))</x:f>
        <x:v>TSTT ưu tiên + có dấu hiệu ứng dụng</x:v>
      </x:c>
      <x:c r="K27" t="str">
        <x:f>IF(AND(L27&gt;0,H27=0),"Có đầu ra IP mức Cao nhưng chưa nối được hồ sơ bảo hộ; cần sàng lọc/đối chiếu",IF(AND(I27&gt;0,H27=0,F27&gt;0),"Có ứng dụng nhưng chưa xác định cơ chế quyền SHTT",""))</x:f>
        <x:v>Có đầu ra IP mức Cao nhưng chưa nối được hồ sơ bảo hộ; cần sàng lọc/đối chiếu</x:v>
      </x:c>
      <x:c r="L27" s="20" t="n">
        <x:f>COUNTIFS('02_OUTPUT_ALL'!$B:$B,A27,'02_OUTPUT_ALL'!$K:$K,"Cao")</x:f>
        <x:v>2</x:v>
      </x:c>
    </x:row>
    <x:row r="28">
      <x:c r="A28" t="str">
        <x:f>'01_PROJECT_ALL'!A28</x:f>
        <x:v>P2024-09</x:v>
      </x:c>
      <x:c r="B28" t="n">
        <x:f>'01_PROJECT_ALL'!B28</x:f>
        <x:v>2024</x:v>
      </x:c>
      <x:c r="C28" t="str">
        <x:f>'01_PROJECT_ALL'!D28</x:f>
        <x:v>Nghiên cứu bào chế sản phẩm hỗ trợ giảm cân theo y học cổ truyền</x:v>
      </x:c>
      <x:c r="D28" t="str">
        <x:f>'01_PROJECT_ALL'!I28</x:f>
        <x:v>Wellness &amp; Care</x:v>
      </x:c>
      <x:c r="E28" t="n">
        <x:f>COUNTIF('02_OUTPUT_ALL'!$B:$B,A28)</x:f>
        <x:v>4</x:v>
      </x:c>
      <x:c r="F28" t="n">
        <x:f>COUNTIF('03_IP_PRIORITY_ALL'!$C:$C,A28)</x:f>
        <x:v>2</x:v>
      </x:c>
      <x:c r="G28" t="n">
        <x:f>COUNTIF('12_PUBLICATION_LINKS'!$C:$C,A28)</x:f>
        <x:v>0</x:v>
      </x:c>
      <x:c r="H28" t="n">
        <x:f>COUNTIF('14_PROJECT_PROTECTION_LINK'!$B:$B,A28)</x:f>
        <x:v>0</x:v>
      </x:c>
      <x:c r="I28" t="n">
        <x:f>COUNTIFS('02_OUTPUT_ALL'!$B:$B,A28,'02_OUTPUT_ALL'!$L:$L,"Có")</x:f>
        <x:v>2</x:v>
      </x:c>
      <x:c r="J28" t="str">
        <x:f>IF(H28&gt;0,"Bảo hộ/xác lập có liên kết",IF(F28&gt;0,IF(I28&gt;0,"TSTT ưu tiên + có dấu hiệu ứng dụng","TSTT ưu tiên, chưa xác minh khai thác"),IF(G28&gt;0,"Chủ yếu công bố học thuật","Mới ở đầu ra nghiên cứu")))</x:f>
        <x:v>TSTT ưu tiên + có dấu hiệu ứng dụng</x:v>
      </x:c>
      <x:c r="K28" t="str">
        <x:f>IF(AND(L28&gt;0,H28=0),"Có đầu ra IP mức Cao nhưng chưa nối được hồ sơ bảo hộ; cần sàng lọc/đối chiếu",IF(AND(I28&gt;0,H28=0,F28&gt;0),"Có ứng dụng nhưng chưa xác định cơ chế quyền SHTT",""))</x:f>
        <x:v>Có đầu ra IP mức Cao nhưng chưa nối được hồ sơ bảo hộ; cần sàng lọc/đối chiếu</x:v>
      </x:c>
      <x:c r="L28" s="20" t="n">
        <x:f>COUNTIFS('02_OUTPUT_ALL'!$B:$B,A28,'02_OUTPUT_ALL'!$K:$K,"Cao")</x:f>
        <x:v>2</x:v>
      </x:c>
    </x:row>
    <x:row r="29">
      <x:c r="A29" t="str">
        <x:f>'01_PROJECT_ALL'!A29</x:f>
        <x:v>P2024-10</x:v>
      </x:c>
      <x:c r="B29" t="n">
        <x:f>'01_PROJECT_ALL'!B29</x:f>
        <x:v>2024</x:v>
      </x:c>
      <x:c r="C29" t="str">
        <x:f>'01_PROJECT_ALL'!D29</x:f>
        <x:v>Triết lý nhân sinh trong thơ văn của Nguyễn Đình Chiểu và vận dụng giáo dục đạo đức cho sinh viên Trường Đại học Thành Đô hiện nay</x:v>
      </x:c>
      <x:c r="D29" t="str">
        <x:f>'01_PROJECT_ALL'!I29</x:f>
        <x:v>Khác/Chưa phân loại</x:v>
      </x:c>
      <x:c r="E29" t="n">
        <x:f>COUNTIF('02_OUTPUT_ALL'!$B:$B,A29)</x:f>
        <x:v>2</x:v>
      </x:c>
      <x:c r="F29" t="n">
        <x:f>COUNTIF('03_IP_PRIORITY_ALL'!$C:$C,A29)</x:f>
        <x:v>0</x:v>
      </x:c>
      <x:c r="G29" t="n">
        <x:f>COUNTIF('12_PUBLICATION_LINKS'!$C:$C,A29)</x:f>
        <x:v>1</x:v>
      </x:c>
      <x:c r="H29" t="n">
        <x:f>COUNTIF('14_PROJECT_PROTECTION_LINK'!$B:$B,A29)</x:f>
        <x:v>0</x:v>
      </x:c>
      <x:c r="I29" t="n">
        <x:f>COUNTIFS('02_OUTPUT_ALL'!$B:$B,A29,'02_OUTPUT_ALL'!$L:$L,"Có")</x:f>
        <x:v>0</x:v>
      </x:c>
      <x:c r="J29" t="str">
        <x:f>IF(H29&gt;0,"Bảo hộ/xác lập có liên kết",IF(F29&gt;0,IF(I29&gt;0,"TSTT ưu tiên + có dấu hiệu ứng dụng","TSTT ưu tiên, chưa xác minh khai thác"),IF(G29&gt;0,"Chủ yếu công bố học thuật","Mới ở đầu ra nghiên cứu")))</x:f>
        <x:v>Chủ yếu công bố học thuật</x:v>
      </x:c>
      <x:c r="K29" t="str">
        <x:f>IF(AND(L29&gt;0,H29=0),"Có đầu ra IP mức Cao nhưng chưa nối được hồ sơ bảo hộ; cần sàng lọc/đối chiếu",IF(AND(I29&gt;0,H29=0,F29&gt;0),"Có ứng dụng nhưng chưa xác định cơ chế quyền SHTT",""))</x:f>
      </x:c>
      <x:c r="L29" s="20" t="n">
        <x:f>COUNTIFS('02_OUTPUT_ALL'!$B:$B,A29,'02_OUTPUT_ALL'!$K:$K,"Cao")</x:f>
        <x:v>0</x:v>
      </x:c>
    </x:row>
    <x:row r="30">
      <x:c r="A30" t="str">
        <x:f>'01_PROJECT_ALL'!A30</x:f>
        <x:v>P2024-12</x:v>
      </x:c>
      <x:c r="B30" t="n">
        <x:f>'01_PROJECT_ALL'!B30</x:f>
        <x:v>2024</x:v>
      </x:c>
      <x:c r="C30" t="str">
        <x:f>'01_PROJECT_ALL'!D30</x:f>
        <x:v>Tích hợp giáo dục vì sự phát triển bền vững trong dạy học “sinh thái học và môi trường” (Sinh học 12)</x:v>
      </x:c>
      <x:c r="D30" t="str">
        <x:f>'01_PROJECT_ALL'!I30</x:f>
        <x:v>Khác/Chưa phân loại</x:v>
      </x:c>
      <x:c r="E30" t="n">
        <x:f>COUNTIF('02_OUTPUT_ALL'!$B:$B,A30)</x:f>
        <x:v>3</x:v>
      </x:c>
      <x:c r="F30" t="n">
        <x:f>COUNTIF('03_IP_PRIORITY_ALL'!$C:$C,A30)</x:f>
        <x:v>0</x:v>
      </x:c>
      <x:c r="G30" t="n">
        <x:f>COUNTIF('12_PUBLICATION_LINKS'!$C:$C,A30)</x:f>
        <x:v>1</x:v>
      </x:c>
      <x:c r="H30" t="n">
        <x:f>COUNTIF('14_PROJECT_PROTECTION_LINK'!$B:$B,A30)</x:f>
        <x:v>0</x:v>
      </x:c>
      <x:c r="I30" t="n">
        <x:f>COUNTIFS('02_OUTPUT_ALL'!$B:$B,A30,'02_OUTPUT_ALL'!$L:$L,"Có")</x:f>
        <x:v>0</x:v>
      </x:c>
      <x:c r="J30" t="str">
        <x:f>IF(H30&gt;0,"Bảo hộ/xác lập có liên kết",IF(F30&gt;0,IF(I30&gt;0,"TSTT ưu tiên + có dấu hiệu ứng dụng","TSTT ưu tiên, chưa xác minh khai thác"),IF(G30&gt;0,"Chủ yếu công bố học thuật","Mới ở đầu ra nghiên cứu")))</x:f>
        <x:v>Chủ yếu công bố học thuật</x:v>
      </x:c>
      <x:c r="K30" t="str">
        <x:f>IF(AND(L30&gt;0,H30=0),"Có đầu ra IP mức Cao nhưng chưa nối được hồ sơ bảo hộ; cần sàng lọc/đối chiếu",IF(AND(I30&gt;0,H30=0,F30&gt;0),"Có ứng dụng nhưng chưa xác định cơ chế quyền SHTT",""))</x:f>
      </x:c>
      <x:c r="L30" s="20" t="n">
        <x:f>COUNTIFS('02_OUTPUT_ALL'!$B:$B,A30,'02_OUTPUT_ALL'!$K:$K,"Cao")</x:f>
        <x:v>0</x:v>
      </x:c>
    </x:row>
    <x:row r="31">
      <x:c r="A31" t="str">
        <x:f>'01_PROJECT_ALL'!A31</x:f>
        <x:v>P2024-13</x:v>
      </x:c>
      <x:c r="B31" t="n">
        <x:f>'01_PROJECT_ALL'!B31</x:f>
        <x:v>2024</x:v>
      </x:c>
      <x:c r="C31" t="str">
        <x:f>'01_PROJECT_ALL'!D31</x:f>
        <x:v>Quan điểm của Francis Fukuyama về sự cáo chung của lịch sử trong tác phẩm Sự cáo chung của lịch sử và Con người cuối cùng</x:v>
      </x:c>
      <x:c r="D31" t="str">
        <x:f>'01_PROJECT_ALL'!I31</x:f>
        <x:v>Khác/Chưa phân loại</x:v>
      </x:c>
      <x:c r="E31" t="n">
        <x:f>COUNTIF('02_OUTPUT_ALL'!$B:$B,A31)</x:f>
        <x:v>2</x:v>
      </x:c>
      <x:c r="F31" t="n">
        <x:f>COUNTIF('03_IP_PRIORITY_ALL'!$C:$C,A31)</x:f>
        <x:v>0</x:v>
      </x:c>
      <x:c r="G31" t="n">
        <x:f>COUNTIF('12_PUBLICATION_LINKS'!$C:$C,A31)</x:f>
        <x:v>1</x:v>
      </x:c>
      <x:c r="H31" t="n">
        <x:f>COUNTIF('14_PROJECT_PROTECTION_LINK'!$B:$B,A31)</x:f>
        <x:v>0</x:v>
      </x:c>
      <x:c r="I31" t="n">
        <x:f>COUNTIFS('02_OUTPUT_ALL'!$B:$B,A31,'02_OUTPUT_ALL'!$L:$L,"Có")</x:f>
        <x:v>0</x:v>
      </x:c>
      <x:c r="J31" t="str">
        <x:f>IF(H31&gt;0,"Bảo hộ/xác lập có liên kết",IF(F31&gt;0,IF(I31&gt;0,"TSTT ưu tiên + có dấu hiệu ứng dụng","TSTT ưu tiên, chưa xác minh khai thác"),IF(G31&gt;0,"Chủ yếu công bố học thuật","Mới ở đầu ra nghiên cứu")))</x:f>
        <x:v>Chủ yếu công bố học thuật</x:v>
      </x:c>
      <x:c r="K31" t="str">
        <x:f>IF(AND(L31&gt;0,H31=0),"Có đầu ra IP mức Cao nhưng chưa nối được hồ sơ bảo hộ; cần sàng lọc/đối chiếu",IF(AND(I31&gt;0,H31=0,F31&gt;0),"Có ứng dụng nhưng chưa xác định cơ chế quyền SHTT",""))</x:f>
      </x:c>
      <x:c r="L31" s="20" t="n">
        <x:f>COUNTIFS('02_OUTPUT_ALL'!$B:$B,A31,'02_OUTPUT_ALL'!$K:$K,"Cao")</x:f>
        <x:v>0</x:v>
      </x:c>
    </x:row>
    <x:row r="32">
      <x:c r="A32" t="str">
        <x:f>'01_PROJECT_ALL'!A32</x:f>
        <x:v>P2024-14</x:v>
      </x:c>
      <x:c r="B32" t="n">
        <x:f>'01_PROJECT_ALL'!B32</x:f>
        <x:v>2024</x:v>
      </x:c>
      <x:c r="C32" t="str">
        <x:f>'01_PROJECT_ALL'!D32</x:f>
        <x:v>Rèn luyện năng lực dạy học tích hợp giáo dục vì sự phát triển bền vững cho sinh viên ngành sư phạm sinh học</x:v>
      </x:c>
      <x:c r="D32" t="str">
        <x:f>'01_PROJECT_ALL'!I32</x:f>
        <x:v>Khác/Chưa phân loại</x:v>
      </x:c>
      <x:c r="E32" t="n">
        <x:f>COUNTIF('02_OUTPUT_ALL'!$B:$B,A32)</x:f>
        <x:v>3</x:v>
      </x:c>
      <x:c r="F32" t="n">
        <x:f>COUNTIF('03_IP_PRIORITY_ALL'!$C:$C,A32)</x:f>
        <x:v>0</x:v>
      </x:c>
      <x:c r="G32" t="n">
        <x:f>COUNTIF('12_PUBLICATION_LINKS'!$C:$C,A32)</x:f>
        <x:v>1</x:v>
      </x:c>
      <x:c r="H32" t="n">
        <x:f>COUNTIF('14_PROJECT_PROTECTION_LINK'!$B:$B,A32)</x:f>
        <x:v>0</x:v>
      </x:c>
      <x:c r="I32" t="n">
        <x:f>COUNTIFS('02_OUTPUT_ALL'!$B:$B,A32,'02_OUTPUT_ALL'!$L:$L,"Có")</x:f>
        <x:v>0</x:v>
      </x:c>
      <x:c r="J32" t="str">
        <x:f>IF(H32&gt;0,"Bảo hộ/xác lập có liên kết",IF(F32&gt;0,IF(I32&gt;0,"TSTT ưu tiên + có dấu hiệu ứng dụng","TSTT ưu tiên, chưa xác minh khai thác"),IF(G32&gt;0,"Chủ yếu công bố học thuật","Mới ở đầu ra nghiên cứu")))</x:f>
        <x:v>Chủ yếu công bố học thuật</x:v>
      </x:c>
      <x:c r="K32" t="str">
        <x:f>IF(AND(L32&gt;0,H32=0),"Có đầu ra IP mức Cao nhưng chưa nối được hồ sơ bảo hộ; cần sàng lọc/đối chiếu",IF(AND(I32&gt;0,H32=0,F32&gt;0),"Có ứng dụng nhưng chưa xác định cơ chế quyền SHTT",""))</x:f>
      </x:c>
      <x:c r="L32" s="20" t="n">
        <x:f>COUNTIFS('02_OUTPUT_ALL'!$B:$B,A32,'02_OUTPUT_ALL'!$K:$K,"Cao")</x:f>
        <x:v>0</x:v>
      </x:c>
    </x:row>
    <x:row r="33">
      <x:c r="A33" t="str">
        <x:f>'01_PROJECT_ALL'!A33</x:f>
        <x:v>P2025-01</x:v>
      </x:c>
      <x:c r="B33" t="n">
        <x:f>'01_PROJECT_ALL'!B33</x:f>
        <x:v>2025</x:v>
      </x:c>
      <x:c r="C33" t="str">
        <x:f>'01_PROJECT_ALL'!D33</x:f>
        <x:v>Sử dụng chiến lược scaffolding để tăng cường sự tham gia của sinh viên trong lớp học tiếng Anh đa trình độ</x:v>
      </x:c>
      <x:c r="D33" t="str">
        <x:f>'01_PROJECT_ALL'!I33</x:f>
        <x:v>Global Communication</x:v>
      </x:c>
      <x:c r="E33" t="n">
        <x:f>COUNTIF('02_OUTPUT_ALL'!$B:$B,A33)</x:f>
        <x:v>2</x:v>
      </x:c>
      <x:c r="F33" t="n">
        <x:f>COUNTIF('03_IP_PRIORITY_ALL'!$C:$C,A33)</x:f>
        <x:v>0</x:v>
      </x:c>
      <x:c r="G33" t="n">
        <x:f>COUNTIF('12_PUBLICATION_LINKS'!$C:$C,A33)</x:f>
        <x:v>0</x:v>
      </x:c>
      <x:c r="H33" t="n">
        <x:f>COUNTIF('14_PROJECT_PROTECTION_LINK'!$B:$B,A33)</x:f>
        <x:v>0</x:v>
      </x:c>
      <x:c r="I33" t="n">
        <x:f>COUNTIFS('02_OUTPUT_ALL'!$B:$B,A33,'02_OUTPUT_ALL'!$L:$L,"Có")</x:f>
        <x:v>0</x:v>
      </x:c>
      <x:c r="J33" t="str">
        <x:f>IF(H33&gt;0,"Bảo hộ/xác lập có liên kết",IF(F33&gt;0,IF(I33&gt;0,"TSTT ưu tiên + có dấu hiệu ứng dụng","TSTT ưu tiên, chưa xác minh khai thác"),IF(G33&gt;0,"Chủ yếu công bố học thuật","Mới ở đầu ra nghiên cứu")))</x:f>
        <x:v>Mới ở đầu ra nghiên cứu</x:v>
      </x:c>
      <x:c r="K33" t="str">
        <x:f>IF(AND(L33&gt;0,H33=0),"Có đầu ra IP mức Cao nhưng chưa nối được hồ sơ bảo hộ; cần sàng lọc/đối chiếu",IF(AND(I33&gt;0,H33=0,F33&gt;0),"Có ứng dụng nhưng chưa xác định cơ chế quyền SHTT",""))</x:f>
      </x:c>
      <x:c r="L33" s="20" t="n">
        <x:f>COUNTIFS('02_OUTPUT_ALL'!$B:$B,A33,'02_OUTPUT_ALL'!$K:$K,"Cao")</x:f>
        <x:v>0</x:v>
      </x:c>
    </x:row>
    <x:row r="34">
      <x:c r="A34" t="str">
        <x:f>'01_PROJECT_ALL'!A34</x:f>
        <x:v>P2025-02</x:v>
      </x:c>
      <x:c r="B34" t="n">
        <x:f>'01_PROJECT_ALL'!B34</x:f>
        <x:v>2025</x:v>
      </x:c>
      <x:c r="C34" t="str">
        <x:f>'01_PROJECT_ALL'!D34</x:f>
        <x:v>Phát triển kiến thức và kỹ năng đổi mới sáng tạo cho sinh viên ngành quản trị kinh doanh Trường Đại học Thành Đô</x:v>
      </x:c>
      <x:c r="D34" t="str">
        <x:f>'01_PROJECT_ALL'!I34</x:f>
        <x:v>Digital Services</x:v>
      </x:c>
      <x:c r="E34" t="n">
        <x:f>COUNTIF('02_OUTPUT_ALL'!$B:$B,A34)</x:f>
        <x:v>2</x:v>
      </x:c>
      <x:c r="F34" t="n">
        <x:f>COUNTIF('03_IP_PRIORITY_ALL'!$C:$C,A34)</x:f>
        <x:v>0</x:v>
      </x:c>
      <x:c r="G34" t="n">
        <x:f>COUNTIF('12_PUBLICATION_LINKS'!$C:$C,A34)</x:f>
        <x:v>1</x:v>
      </x:c>
      <x:c r="H34" t="n">
        <x:f>COUNTIF('14_PROJECT_PROTECTION_LINK'!$B:$B,A34)</x:f>
        <x:v>0</x:v>
      </x:c>
      <x:c r="I34" t="n">
        <x:f>COUNTIFS('02_OUTPUT_ALL'!$B:$B,A34,'02_OUTPUT_ALL'!$L:$L,"Có")</x:f>
        <x:v>0</x:v>
      </x:c>
      <x:c r="J34" t="str">
        <x:f>IF(H34&gt;0,"Bảo hộ/xác lập có liên kết",IF(F34&gt;0,IF(I34&gt;0,"TSTT ưu tiên + có dấu hiệu ứng dụng","TSTT ưu tiên, chưa xác minh khai thác"),IF(G34&gt;0,"Chủ yếu công bố học thuật","Mới ở đầu ra nghiên cứu")))</x:f>
        <x:v>Chủ yếu công bố học thuật</x:v>
      </x:c>
      <x:c r="K34" t="str">
        <x:f>IF(AND(L34&gt;0,H34=0),"Có đầu ra IP mức Cao nhưng chưa nối được hồ sơ bảo hộ; cần sàng lọc/đối chiếu",IF(AND(I34&gt;0,H34=0,F34&gt;0),"Có ứng dụng nhưng chưa xác định cơ chế quyền SHTT",""))</x:f>
      </x:c>
      <x:c r="L34" s="20" t="n">
        <x:f>COUNTIFS('02_OUTPUT_ALL'!$B:$B,A34,'02_OUTPUT_ALL'!$K:$K,"Cao")</x:f>
        <x:v>0</x:v>
      </x:c>
    </x:row>
    <x:row r="35">
      <x:c r="A35" t="str">
        <x:f>'01_PROJECT_ALL'!A35</x:f>
        <x:v>P2025-03</x:v>
      </x:c>
      <x:c r="B35" t="n">
        <x:f>'01_PROJECT_ALL'!B35</x:f>
        <x:v>2025</x:v>
      </x:c>
      <x:c r="C35" t="str">
        <x:f>'01_PROJECT_ALL'!D35</x:f>
        <x:v>Nghiên cứu các nhân tố ảnh hưởng đến khả năng tự quyết toán thuế TNCN của người nộp thuế TNCN trên địa bàn thành phố Hà Nội</x:v>
      </x:c>
      <x:c r="D35" t="str">
        <x:f>'01_PROJECT_ALL'!I35</x:f>
        <x:v>Digital Services</x:v>
      </x:c>
      <x:c r="E35" t="n">
        <x:f>COUNTIF('02_OUTPUT_ALL'!$B:$B,A35)</x:f>
        <x:v>2</x:v>
      </x:c>
      <x:c r="F35" t="n">
        <x:f>COUNTIF('03_IP_PRIORITY_ALL'!$C:$C,A35)</x:f>
        <x:v>0</x:v>
      </x:c>
      <x:c r="G35" t="n">
        <x:f>COUNTIF('12_PUBLICATION_LINKS'!$C:$C,A35)</x:f>
        <x:v>0</x:v>
      </x:c>
      <x:c r="H35" t="n">
        <x:f>COUNTIF('14_PROJECT_PROTECTION_LINK'!$B:$B,A35)</x:f>
        <x:v>0</x:v>
      </x:c>
      <x:c r="I35" t="n">
        <x:f>COUNTIFS('02_OUTPUT_ALL'!$B:$B,A35,'02_OUTPUT_ALL'!$L:$L,"Có")</x:f>
        <x:v>0</x:v>
      </x:c>
      <x:c r="J35" t="str">
        <x:f>IF(H35&gt;0,"Bảo hộ/xác lập có liên kết",IF(F35&gt;0,IF(I35&gt;0,"TSTT ưu tiên + có dấu hiệu ứng dụng","TSTT ưu tiên, chưa xác minh khai thác"),IF(G35&gt;0,"Chủ yếu công bố học thuật","Mới ở đầu ra nghiên cứu")))</x:f>
        <x:v>Mới ở đầu ra nghiên cứu</x:v>
      </x:c>
      <x:c r="K35" t="str">
        <x:f>IF(AND(L35&gt;0,H35=0),"Có đầu ra IP mức Cao nhưng chưa nối được hồ sơ bảo hộ; cần sàng lọc/đối chiếu",IF(AND(I35&gt;0,H35=0,F35&gt;0),"Có ứng dụng nhưng chưa xác định cơ chế quyền SHTT",""))</x:f>
      </x:c>
      <x:c r="L35" s="20" t="n">
        <x:f>COUNTIFS('02_OUTPUT_ALL'!$B:$B,A35,'02_OUTPUT_ALL'!$K:$K,"Cao")</x:f>
        <x:v>0</x:v>
      </x:c>
    </x:row>
    <x:row r="36">
      <x:c r="A36" t="str">
        <x:f>'01_PROJECT_ALL'!A36</x:f>
        <x:v>P2025-04</x:v>
      </x:c>
      <x:c r="B36" t="n">
        <x:f>'01_PROJECT_ALL'!B36</x:f>
        <x:v>2025</x:v>
      </x:c>
      <x:c r="C36" t="str">
        <x:f>'01_PROJECT_ALL'!D36</x:f>
        <x:v>Hoàn thiện kỹ năng soạn thảo hợp đồng cho sinh viên Trường Đại học Thành Đô</x:v>
      </x:c>
      <x:c r="D36" t="str">
        <x:f>'01_PROJECT_ALL'!I36</x:f>
        <x:v>Khác/Chưa phân loại</x:v>
      </x:c>
      <x:c r="E36" t="n">
        <x:f>COUNTIF('02_OUTPUT_ALL'!$B:$B,A36)</x:f>
        <x:v>1</x:v>
      </x:c>
      <x:c r="F36" t="n">
        <x:f>COUNTIF('03_IP_PRIORITY_ALL'!$C:$C,A36)</x:f>
        <x:v>0</x:v>
      </x:c>
      <x:c r="G36" t="n">
        <x:f>COUNTIF('12_PUBLICATION_LINKS'!$C:$C,A36)</x:f>
        <x:v>0</x:v>
      </x:c>
      <x:c r="H36" t="n">
        <x:f>COUNTIF('14_PROJECT_PROTECTION_LINK'!$B:$B,A36)</x:f>
        <x:v>0</x:v>
      </x:c>
      <x:c r="I36" t="n">
        <x:f>COUNTIFS('02_OUTPUT_ALL'!$B:$B,A36,'02_OUTPUT_ALL'!$L:$L,"Có")</x:f>
        <x:v>0</x:v>
      </x:c>
      <x:c r="J36" t="str">
        <x:f>IF(H36&gt;0,"Bảo hộ/xác lập có liên kết",IF(F36&gt;0,IF(I36&gt;0,"TSTT ưu tiên + có dấu hiệu ứng dụng","TSTT ưu tiên, chưa xác minh khai thác"),IF(G36&gt;0,"Chủ yếu công bố học thuật","Mới ở đầu ra nghiên cứu")))</x:f>
        <x:v>Mới ở đầu ra nghiên cứu</x:v>
      </x:c>
      <x:c r="K36" t="str">
        <x:f>IF(AND(L36&gt;0,H36=0),"Có đầu ra IP mức Cao nhưng chưa nối được hồ sơ bảo hộ; cần sàng lọc/đối chiếu",IF(AND(I36&gt;0,H36=0,F36&gt;0),"Có ứng dụng nhưng chưa xác định cơ chế quyền SHTT",""))</x:f>
      </x:c>
      <x:c r="L36" s="20" t="n">
        <x:f>COUNTIFS('02_OUTPUT_ALL'!$B:$B,A36,'02_OUTPUT_ALL'!$K:$K,"Cao")</x:f>
        <x:v>0</x:v>
      </x:c>
    </x:row>
    <x:row r="37">
      <x:c r="A37" t="str">
        <x:f>'01_PROJECT_ALL'!A37</x:f>
        <x:v>P2025-06</x:v>
      </x:c>
      <x:c r="B37" t="n">
        <x:f>'01_PROJECT_ALL'!B37</x:f>
        <x:v>2025</x:v>
      </x:c>
      <x:c r="C37" t="str">
        <x:f>'01_PROJECT_ALL'!D37</x:f>
        <x:v>Nghiên cứu bào chế cồn thuốc xoa bóp hỗ trợ giảm đau nhức xương khớp quy mô phòng thí nghiệm</x:v>
      </x:c>
      <x:c r="D37" t="str">
        <x:f>'01_PROJECT_ALL'!I37</x:f>
        <x:v>Wellness &amp; Care</x:v>
      </x:c>
      <x:c r="E37" t="n">
        <x:f>COUNTIF('02_OUTPUT_ALL'!$B:$B,A37)</x:f>
        <x:v>3</x:v>
      </x:c>
      <x:c r="F37" t="n">
        <x:f>COUNTIF('03_IP_PRIORITY_ALL'!$C:$C,A37)</x:f>
        <x:v>2</x:v>
      </x:c>
      <x:c r="G37" t="n">
        <x:f>COUNTIF('12_PUBLICATION_LINKS'!$C:$C,A37)</x:f>
        <x:v>0</x:v>
      </x:c>
      <x:c r="H37" t="n">
        <x:f>COUNTIF('14_PROJECT_PROTECTION_LINK'!$B:$B,A37)</x:f>
        <x:v>0</x:v>
      </x:c>
      <x:c r="I37" t="n">
        <x:f>COUNTIFS('02_OUTPUT_ALL'!$B:$B,A37,'02_OUTPUT_ALL'!$L:$L,"Có")</x:f>
        <x:v>2</x:v>
      </x:c>
      <x:c r="J37" t="str">
        <x:f>IF(H37&gt;0,"Bảo hộ/xác lập có liên kết",IF(F37&gt;0,IF(I37&gt;0,"TSTT ưu tiên + có dấu hiệu ứng dụng","TSTT ưu tiên, chưa xác minh khai thác"),IF(G37&gt;0,"Chủ yếu công bố học thuật","Mới ở đầu ra nghiên cứu")))</x:f>
        <x:v>TSTT ưu tiên + có dấu hiệu ứng dụng</x:v>
      </x:c>
      <x:c r="K37" t="str">
        <x:f>IF(AND(L37&gt;0,H37=0),"Có đầu ra IP mức Cao nhưng chưa nối được hồ sơ bảo hộ; cần sàng lọc/đối chiếu",IF(AND(I37&gt;0,H37=0,F37&gt;0),"Có ứng dụng nhưng chưa xác định cơ chế quyền SHTT",""))</x:f>
        <x:v>Có đầu ra IP mức Cao nhưng chưa nối được hồ sơ bảo hộ; cần sàng lọc/đối chiếu</x:v>
      </x:c>
      <x:c r="L37" s="20" t="n">
        <x:f>COUNTIFS('02_OUTPUT_ALL'!$B:$B,A37,'02_OUTPUT_ALL'!$K:$K,"Cao")</x:f>
        <x:v>2</x:v>
      </x:c>
    </x:row>
    <x:row r="38">
      <x:c r="A38" t="str">
        <x:f>'01_PROJECT_ALL'!A38</x:f>
        <x:v>P2025-07</x:v>
      </x:c>
      <x:c r="B38" t="n">
        <x:f>'01_PROJECT_ALL'!B38</x:f>
        <x:v>2025</x:v>
      </x:c>
      <x:c r="C38" t="str">
        <x:f>'01_PROJECT_ALL'!D38</x:f>
        <x:v>Nghiên cứu bào chế viên ngậm hỗ trợ giảm ho từ Gừng và Húng chanh</x:v>
      </x:c>
      <x:c r="D38" t="str">
        <x:f>'01_PROJECT_ALL'!I38</x:f>
        <x:v>Wellness &amp; Care</x:v>
      </x:c>
      <x:c r="E38" t="n">
        <x:f>COUNTIF('02_OUTPUT_ALL'!$B:$B,A38)</x:f>
        <x:v>4</x:v>
      </x:c>
      <x:c r="F38" t="n">
        <x:f>COUNTIF('03_IP_PRIORITY_ALL'!$C:$C,A38)</x:f>
        <x:v>2</x:v>
      </x:c>
      <x:c r="G38" t="n">
        <x:f>COUNTIF('12_PUBLICATION_LINKS'!$C:$C,A38)</x:f>
        <x:v>0</x:v>
      </x:c>
      <x:c r="H38" t="n">
        <x:f>COUNTIF('14_PROJECT_PROTECTION_LINK'!$B:$B,A38)</x:f>
        <x:v>0</x:v>
      </x:c>
      <x:c r="I38" t="n">
        <x:f>COUNTIFS('02_OUTPUT_ALL'!$B:$B,A38,'02_OUTPUT_ALL'!$L:$L,"Có")</x:f>
        <x:v>2</x:v>
      </x:c>
      <x:c r="J38" t="str">
        <x:f>IF(H38&gt;0,"Bảo hộ/xác lập có liên kết",IF(F38&gt;0,IF(I38&gt;0,"TSTT ưu tiên + có dấu hiệu ứng dụng","TSTT ưu tiên, chưa xác minh khai thác"),IF(G38&gt;0,"Chủ yếu công bố học thuật","Mới ở đầu ra nghiên cứu")))</x:f>
        <x:v>TSTT ưu tiên + có dấu hiệu ứng dụng</x:v>
      </x:c>
      <x:c r="K38" t="str">
        <x:f>IF(AND(L38&gt;0,H38=0),"Có đầu ra IP mức Cao nhưng chưa nối được hồ sơ bảo hộ; cần sàng lọc/đối chiếu",IF(AND(I38&gt;0,H38=0,F38&gt;0),"Có ứng dụng nhưng chưa xác định cơ chế quyền SHTT",""))</x:f>
        <x:v>Có đầu ra IP mức Cao nhưng chưa nối được hồ sơ bảo hộ; cần sàng lọc/đối chiếu</x:v>
      </x:c>
      <x:c r="L38" s="20" t="n">
        <x:f>COUNTIFS('02_OUTPUT_ALL'!$B:$B,A38,'02_OUTPUT_ALL'!$K:$K,"Cao")</x:f>
        <x:v>2</x:v>
      </x:c>
    </x:row>
    <x:row r="39">
      <x:c r="A39" t="str">
        <x:f>'01_PROJECT_ALL'!A39</x:f>
        <x:v>P2025-09</x:v>
      </x:c>
      <x:c r="B39" t="n">
        <x:f>'01_PROJECT_ALL'!B39</x:f>
        <x:v>2025</x:v>
      </x:c>
      <x:c r="C39" t="str">
        <x:f>'01_PROJECT_ALL'!D39</x:f>
        <x:v>Nghiên cứu chiết xuất và đánh giá hoạt tính dược học của lá Quế hoa (Osmanthus fragrans) hướng tới ứng dụng trong thực phẩm chức năng</x:v>
      </x:c>
      <x:c r="D39" t="str">
        <x:f>'01_PROJECT_ALL'!I39</x:f>
        <x:v>Wellness &amp; Care</x:v>
      </x:c>
      <x:c r="E39" t="n">
        <x:f>COUNTIF('02_OUTPUT_ALL'!$B:$B,A39)</x:f>
        <x:v>3</x:v>
      </x:c>
      <x:c r="F39" t="n">
        <x:f>COUNTIF('03_IP_PRIORITY_ALL'!$C:$C,A39)</x:f>
        <x:v>1</x:v>
      </x:c>
      <x:c r="G39" t="n">
        <x:f>COUNTIF('12_PUBLICATION_LINKS'!$C:$C,A39)</x:f>
        <x:v>0</x:v>
      </x:c>
      <x:c r="H39" t="n">
        <x:f>COUNTIF('14_PROJECT_PROTECTION_LINK'!$B:$B,A39)</x:f>
        <x:v>1</x:v>
      </x:c>
      <x:c r="I39" t="n">
        <x:f>COUNTIFS('02_OUTPUT_ALL'!$B:$B,A39,'02_OUTPUT_ALL'!$L:$L,"Có")</x:f>
        <x:v>0</x:v>
      </x:c>
      <x:c r="J39" t="str">
        <x:f>IF(H39&gt;0,"Bảo hộ/xác lập có liên kết",IF(F39&gt;0,IF(I39&gt;0,"TSTT ưu tiên + có dấu hiệu ứng dụng","TSTT ưu tiên, chưa xác minh khai thác"),IF(G39&gt;0,"Chủ yếu công bố học thuật","Mới ở đầu ra nghiên cứu")))</x:f>
        <x:v>Bảo hộ/xác lập có liên kết</x:v>
      </x:c>
      <x:c r="K39" t="str">
        <x:f>IF(AND(L39&gt;0,H39=0),"Có đầu ra IP mức Cao nhưng chưa nối được hồ sơ bảo hộ; cần sàng lọc/đối chiếu",IF(AND(I39&gt;0,H39=0,F39&gt;0),"Có ứng dụng nhưng chưa xác định cơ chế quyền SHTT",""))</x:f>
      </x:c>
      <x:c r="L39" s="20" t="n">
        <x:f>COUNTIFS('02_OUTPUT_ALL'!$B:$B,A39,'02_OUTPUT_ALL'!$K:$K,"Cao")</x:f>
        <x:v>1</x:v>
      </x:c>
    </x:row>
  </x:sheetData>
  <x:conditionalFormatting sqref="K2:K39">
    <x:cfRule type="expression" dxfId="2" priority="1">
      <x:formula>K2&lt;&gt;""</x:formula>
    </x:cfRule>
  </x:conditionalFormatting>
  <x:conditionalFormatting sqref="H2:H39">
    <x:cfRule type="dataBar" priority="2">
      <x:dataBar>
        <x:cfvo type="min"/>
        <x:cfvo type="max"/>
        <x:color rgb="FFA02B93"/>
      </x:dataBar>
      <x:extLst>
        <x:ext xmlns:x14="http://schemas.microsoft.com/office/spreadsheetml/2009/9/main" uri="{B025F937-C7B1-47D3-B67F-A62EFF666E3E}">
          <x14:id>{2F55BDDE-B7BE-1212-6340-E8D5894B05C9}</x14:id>
        </x:ext>
      </x:extLst>
    </x:cfRule>
  </x:conditionalFormatting>
  <x:pageMargins left="0.7" right="0.7" top="0.75" bottom="0.75" header="0.3" footer="0.3"/>
  <x:tableParts count="1">
    <x:tablePart xmlns:r="http://schemas.openxmlformats.org/officeDocument/2006/relationships" r:id="Rac25b386075740b4"/>
  </x:tableParts>
  <x:extLst>
    <x:ext xmlns:x14="http://schemas.microsoft.com/office/spreadsheetml/2009/9/main" xmlns:xm="http://schemas.microsoft.com/office/excel/2006/main" uri="{78C0D931-6437-407d-A8EE-F0AAD7539E65}">
      <x14:conditionalFormattings>
        <x14:conditionalFormatting>
          <x14:cfRule type="dataBar" priority="2" id="{2F55BDDE-B7BE-1212-6340-E8D5894B05C9}">
            <x14:dataBar gradient="1">
              <x14:cfvo type="min"/>
              <x14:cfvo type="max"/>
              <x14:fillColor rgb="FFA02B93"/>
            </x14:dataBar>
          </x14:cfRule>
          <xm:sqref>H2:H39</xm:sqref>
        </x14:conditionalFormatting>
      </x14:conditionalFormattings>
    </x:ext>
  </x:extLst>
</x:worksheet>
</file>

<file path=xl/worksheets/sheet21.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22" hidden="0" customWidth="1"/>
    <x:col min="5" max="5" width="8" hidden="0" customWidth="1"/>
    <x:col min="6" max="6" width="34" hidden="0" customWidth="1"/>
    <x:col min="7" max="7" width="28" hidden="0" customWidth="1"/>
    <x:col min="8" max="8" width="26" hidden="0" customWidth="1"/>
    <x:col min="9" max="9" width="38" hidden="0" customWidth="1"/>
    <x:col min="10" max="10" width="28" hidden="0" customWidth="1"/>
    <x:col min="11" max="11" width="16" hidden="0" customWidth="1"/>
    <x:col min="12" max="12" width="16" hidden="0" customWidth="1"/>
    <x:col min="13" max="13" width="58" hidden="0" customWidth="1"/>
  </x:cols>
  <x:sheetData>
    <x:row r="1">
      <x:c r="A1" s="54" t="str">
        <x:v>Source_ID</x:v>
      </x:c>
      <x:c r="B1" s="54" t="str">
        <x:v>Loại hình chuẩn hóa</x:v>
      </x:c>
      <x:c r="C1" s="54" t="str">
        <x:v>Tên và nội dung</x:v>
      </x:c>
      <x:c r="D1" s="54" t="str">
        <x:v>Số/Ký mã hiệu theo nguồn</x:v>
      </x:c>
      <x:c r="E1" s="54" t="str">
        <x:v>Năm</x:v>
      </x:c>
      <x:c r="F1" s="54" t="str">
        <x:v>Nơi cấp</x:v>
      </x:c>
      <x:c r="G1" s="54" t="str">
        <x:v>Vai trò theo nguồn</x:v>
      </x:c>
      <x:c r="H1" s="54" t="str">
        <x:v>Chủ sở hữu</x:v>
      </x:c>
      <x:c r="I1" s="54" t="str">
        <x:v>Trạng thái hồ sơ suy ra tối thiểu</x:v>
      </x:c>
      <x:c r="J1" s="54" t="str">
        <x:v>Phạm vi đối với nghiên cứu ĐHTĐ</x:v>
      </x:c>
      <x:c r="K1" s="54" t="str">
        <x:v>Project_ID liên quan sơ bộ</x:v>
      </x:c>
      <x:c r="L1" s="54" t="str">
        <x:v>Mức độ liên kết</x:v>
      </x:c>
      <x:c r="M1" s="54" t="str">
        <x:v>Ghi chú phương pháp</x:v>
      </x:c>
    </x:row>
    <x:row r="2">
      <x:c r="A2" t="str">
        <x:v>SRC-IP-001</x:v>
      </x:c>
      <x:c r="B2" t="str">
        <x:v>Bản quyền tác giả</x:v>
      </x:c>
      <x:c r="C2" t="str">
        <x:v>Bộ Logo Trường Đại học Thành Đô</x:v>
      </x:c>
      <x:c r="D2" t="str">
        <x:v>6534/2021/QTG</x:v>
      </x:c>
      <x:c r="E2" t="n">
        <x:v>2021</x:v>
      </x:c>
      <x:c r="F2" t="str">
        <x:v>Cục Bản quyền tác giả, Bộ Văn hóa, Thể thao và Du lịch</x:v>
      </x:c>
      <x:c r="G2" t="str">
        <x:v>Tác giả</x:v>
      </x:c>
      <x:c r="H2" t="str">
        <x:v>ĐHTĐ</x:v>
      </x:c>
      <x:c r="I2" t="str">
        <x:v>Đã có số đăng ký</x:v>
      </x:c>
      <x:c r="J2" t="str">
        <x:v>Trực tiếp ĐHTĐ</x:v>
      </x:c>
      <x:c r="K2" t="str"/>
      <x:c r="L2" t="str"/>
      <x:c r="M2" t="str"/>
    </x:row>
    <x:row r="3">
      <x:c r="A3" t="str">
        <x:v>SRC-IP-002</x:v>
      </x:c>
      <x:c r="B3" t="str">
        <x:v>Bản quyền tác giả</x:v>
      </x:c>
      <x:c r="C3" t="str">
        <x:v>Bộ Logo UNIGO</x:v>
      </x:c>
      <x:c r="D3" t="str">
        <x:v>1584/2022/QTG</x:v>
      </x:c>
      <x:c r="E3" t="n">
        <x:v>2022</x:v>
      </x:c>
      <x:c r="F3" t="str">
        <x:v>Cục Bản quyền tác giả, Bộ Văn hóa, Thể thao và Du lịch</x:v>
      </x:c>
      <x:c r="G3" t="str">
        <x:v>Tác giả</x:v>
      </x:c>
      <x:c r="H3" t="str">
        <x:v>CTY UNIGO</x:v>
      </x:c>
      <x:c r="I3" t="str">
        <x:v>Đã có số đăng ký</x:v>
      </x:c>
      <x:c r="J3" t="str">
        <x:v>Ngoài phạm vi ĐHTĐ trực tiếp</x:v>
      </x:c>
      <x:c r="K3" t="str"/>
      <x:c r="L3" t="str"/>
      <x:c r="M3" t="str">
        <x:v>Giữ trong danh mục nguồn đầy đủ nhưng không đưa vào tử số TSTT trực tiếp của ĐHTĐ.</x:v>
      </x:c>
    </x:row>
    <x:row r="4">
      <x:c r="A4" t="str">
        <x:v>SRC-IP-003</x:v>
      </x:c>
      <x:c r="B4" t="str">
        <x:v>Bản quyền tác giả</x:v>
      </x:c>
      <x:c r="C4" t="str">
        <x:v>Bộ Logo Hệ sinh thái giáo dục Trường Đại học Thành Đô</x:v>
      </x:c>
      <x:c r="D4" t="str">
        <x:v>5790/2023/QTG</x:v>
      </x:c>
      <x:c r="E4" t="n">
        <x:v>2023</x:v>
      </x:c>
      <x:c r="F4" t="str">
        <x:v>Cục Bản quyền tác giả, Bộ Văn hóa, Thể thao và Du lịch</x:v>
      </x:c>
      <x:c r="G4" t="str">
        <x:v>Tác giả</x:v>
      </x:c>
      <x:c r="H4" t="str">
        <x:v>ĐHTĐ</x:v>
      </x:c>
      <x:c r="I4" t="str">
        <x:v>Đã có số đăng ký</x:v>
      </x:c>
      <x:c r="J4" t="str">
        <x:v>Trực tiếp ĐHTĐ</x:v>
      </x:c>
      <x:c r="K4" t="str"/>
      <x:c r="L4" t="str"/>
      <x:c r="M4" t="str"/>
    </x:row>
    <x:row r="5">
      <x:c r="A5" t="str">
        <x:v>SRC-IP-004</x:v>
      </x:c>
      <x:c r="B5" t="str">
        <x:v>Bản quyền tác giả</x:v>
      </x:c>
      <x:c r="C5" t="str">
        <x:v>Bộ Logo Chương trình Thần đồng Tiếng Việt - Vietnamese LangMaster Kids</x:v>
      </x:c>
      <x:c r="D5" t="str">
        <x:v>5550/2025/QTG</x:v>
      </x:c>
      <x:c r="E5" t="n">
        <x:v>2025</x:v>
      </x:c>
      <x:c r="F5" t="str">
        <x:v>Cục Bản quyền tác giả, Bộ Văn hóa, Thể thao và Du lịch</x:v>
      </x:c>
      <x:c r="G5" t="str">
        <x:v>Tác giả</x:v>
      </x:c>
      <x:c r="H5" t="str">
        <x:v>Trường UNIGO</x:v>
      </x:c>
      <x:c r="I5" t="str">
        <x:v>Đã có số đăng ký</x:v>
      </x:c>
      <x:c r="J5" t="str">
        <x:v>Ngoài phạm vi ĐHTĐ trực tiếp</x:v>
      </x:c>
      <x:c r="K5" t="str"/>
      <x:c r="L5" t="str"/>
      <x:c r="M5" t="str">
        <x:v>Giữ để phân biệt tài sản hệ sinh thái với tài sản của ĐHTĐ.</x:v>
      </x:c>
    </x:row>
    <x:row r="6">
      <x:c r="A6" t="str">
        <x:v>SRC-IP-005</x:v>
      </x:c>
      <x:c r="B6" t="str">
        <x:v>Nhãn hiệu</x:v>
      </x:c>
      <x:c r="C6" t="str">
        <x:v>Nhãn hiệu chữ "Unigo"</x:v>
      </x:c>
      <x:c r="D6" t="str">
        <x:v>364106</x:v>
      </x:c>
      <x:c r="E6" t="n">
        <x:v>2020</x:v>
      </x:c>
      <x:c r="F6" t="str">
        <x:v>Cục Sở hữu trí tuệ, Bộ KH&amp;CN</x:v>
      </x:c>
      <x:c r="G6" t="str">
        <x:v>Không ghi</x:v>
      </x:c>
      <x:c r="H6" t="str">
        <x:v>Phan Thị Thanh Thảo</x:v>
      </x:c>
      <x:c r="I6" t="str">
        <x:v>Đã có số văn bằng/ký hiệu</x:v>
      </x:c>
      <x:c r="J6" t="str">
        <x:v>Ngoài phạm vi ĐHTĐ trực tiếp</x:v>
      </x:c>
      <x:c r="K6" t="str"/>
      <x:c r="L6" t="str"/>
      <x:c r="M6" t="str">
        <x:v>Năm 2020, ngoài giai đoạn phân tích chính 2021-2025.</x:v>
      </x:c>
    </x:row>
    <x:row r="7">
      <x:c r="A7" t="str">
        <x:v>SRC-IP-006</x:v>
      </x:c>
      <x:c r="B7" t="str">
        <x:v>Nhãn hiệu</x:v>
      </x:c>
      <x:c r="C7" t="str">
        <x:v>Thanh do University</x:v>
      </x:c>
      <x:c r="D7" t="str">
        <x:v>468353</x:v>
      </x:c>
      <x:c r="E7" t="n">
        <x:v>2023</x:v>
      </x:c>
      <x:c r="F7" t="str">
        <x:v>Cục Sở hữu trí tuệ, Bộ KH&amp;CN</x:v>
      </x:c>
      <x:c r="G7" t="str">
        <x:v>Tác giả</x:v>
      </x:c>
      <x:c r="H7" t="str">
        <x:v>ĐHTĐ</x:v>
      </x:c>
      <x:c r="I7" t="str">
        <x:v>Đã có số văn bằng/ký hiệu</x:v>
      </x:c>
      <x:c r="J7" t="str">
        <x:v>Trực tiếp ĐHTĐ</x:v>
      </x:c>
      <x:c r="K7" t="str"/>
      <x:c r="L7" t="str"/>
      <x:c r="M7" t="str"/>
    </x:row>
    <x:row r="8">
      <x:c r="A8" t="str">
        <x:v>SRC-IP-007</x:v>
      </x:c>
      <x:c r="B8" t="str">
        <x:v>Nhãn hiệu</x:v>
      </x:c>
      <x:c r="C8" t="str">
        <x:v>Thado Edupark</x:v>
      </x:c>
      <x:c r="D8" t="str">
        <x:v>545780</x:v>
      </x:c>
      <x:c r="E8" t="n">
        <x:v>2025</x:v>
      </x:c>
      <x:c r="F8" t="str">
        <x:v>Cục Sở hữu trí tuệ, Bộ KH&amp;CN</x:v>
      </x:c>
      <x:c r="G8" t="str">
        <x:v>Tác giả</x:v>
      </x:c>
      <x:c r="H8" t="str">
        <x:v>ĐHTĐ</x:v>
      </x:c>
      <x:c r="I8" t="str">
        <x:v>Đã có số văn bằng/ký hiệu</x:v>
      </x:c>
      <x:c r="J8" t="str">
        <x:v>Trực tiếp ĐHTĐ</x:v>
      </x:c>
      <x:c r="K8" t="str"/>
      <x:c r="L8" t="str"/>
      <x:c r="M8" t="str"/>
    </x:row>
    <x:row r="9">
      <x:c r="A9" t="str">
        <x:v>SRC-IP-008</x:v>
      </x:c>
      <x:c r="B9" t="str">
        <x:v>Nhãn hiệu</x:v>
      </x:c>
      <x:c r="C9" t="str">
        <x:v>Double2n</x:v>
      </x:c>
      <x:c r="D9" t="str">
        <x:v>Tiếp nhận đơn</x:v>
      </x:c>
      <x:c r="E9" t="n">
        <x:v>2023</x:v>
      </x:c>
      <x:c r="F9" t="str">
        <x:v>Cục Sở hữu trí tuệ, Bộ KH&amp;CN</x:v>
      </x:c>
      <x:c r="G9" t="str">
        <x:v>Đồng tác giả</x:v>
      </x:c>
      <x:c r="H9" t="str">
        <x:v>ĐHTĐ, CTY Thanh Huế</x:v>
      </x:c>
      <x:c r="I9" t="str">
        <x:v>Tiếp nhận đơn; chưa coi là đã được cấp</x:v>
      </x:c>
      <x:c r="J9" t="str">
        <x:v>Trực tiếp ĐHTĐ</x:v>
      </x:c>
      <x:c r="K9" t="str"/>
      <x:c r="L9" t="str"/>
      <x:c r="M9" t="str">
        <x:v>Không có số đơn trong danh sách nguồn được cung cấp.</x:v>
      </x:c>
    </x:row>
    <x:row r="10">
      <x:c r="A10" t="str">
        <x:v>SRC-IP-009</x:v>
      </x:c>
      <x:c r="B10" t="str">
        <x:v>Nhãn hiệu</x:v>
      </x:c>
      <x:c r="C10" t="str">
        <x:v>Thần Đồng Tiếng Việt</x:v>
      </x:c>
      <x:c r="D10" t="str">
        <x:v>Chờ tiếp nhận</x:v>
      </x:c>
      <x:c r="E10" t="n">
        <x:v>2025</x:v>
      </x:c>
      <x:c r="F10" t="str">
        <x:v>Cục Sở hữu trí tuệ, Bộ KH&amp;CN</x:v>
      </x:c>
      <x:c r="G10" t="str">
        <x:v>Không ghi</x:v>
      </x:c>
      <x:c r="H10" t="str">
        <x:v>Phan Thị Thanh Thảo</x:v>
      </x:c>
      <x:c r="I10" t="str">
        <x:v>Chờ tiếp nhận; chưa coi là đã nộp/được cấp</x:v>
      </x:c>
      <x:c r="J10" t="str">
        <x:v>Ngoài phạm vi ĐHTĐ trực tiếp</x:v>
      </x:c>
      <x:c r="K10" t="str"/>
      <x:c r="L10" t="str"/>
      <x:c r="M10" t="str"/>
    </x:row>
    <x:row r="11">
      <x:c r="A11" t="str">
        <x:v>SRC-IP-010</x:v>
      </x:c>
      <x:c r="B11" t="str">
        <x:v>Kiểu dáng công nghiệp</x:v>
      </x:c>
      <x:c r="C11" t="str">
        <x:v>Dung dịch vệ sinh phụ nữ</x:v>
      </x:c>
      <x:c r="D11" t="str">
        <x:v>3-0039693-000</x:v>
      </x:c>
      <x:c r="E11" t="n">
        <x:v>2024</x:v>
      </x:c>
      <x:c r="F11" t="str">
        <x:v>Cục Sở hữu trí tuệ, Bộ KH&amp;CN</x:v>
      </x:c>
      <x:c r="G11" t="str">
        <x:v>Đồng tác giả</x:v>
      </x:c>
      <x:c r="H11" t="str">
        <x:v>ĐHTĐ, CTY Thanh Huế</x:v>
      </x:c>
      <x:c r="I11" t="str">
        <x:v>Đã có số/ký mã hiệu</x:v>
      </x:c>
      <x:c r="J11" t="str">
        <x:v>Trực tiếp ĐHTĐ</x:v>
      </x:c>
      <x:c r="K11" t="str"/>
      <x:c r="L11" t="str"/>
      <x:c r="M11" t="str"/>
    </x:row>
    <x:row r="12">
      <x:c r="A12" t="str">
        <x:v>SRC-IP-011</x:v>
      </x:c>
      <x:c r="B12" t="str">
        <x:v>Kiểu dáng công nghiệp</x:v>
      </x:c>
      <x:c r="C12" t="str">
        <x:v>Tinh dầu vỏ bưởi đào</x:v>
      </x:c>
      <x:c r="D12" t="str">
        <x:v>3-0039694-000</x:v>
      </x:c>
      <x:c r="E12" t="n">
        <x:v>2024</x:v>
      </x:c>
      <x:c r="F12" t="str">
        <x:v>Cục Sở hữu trí tuệ, Bộ KH&amp;CN</x:v>
      </x:c>
      <x:c r="G12" t="str">
        <x:v>Đồng tác giả</x:v>
      </x:c>
      <x:c r="H12" t="str">
        <x:v>ĐHTĐ, CTY Thanh Huế</x:v>
      </x:c>
      <x:c r="I12" t="str">
        <x:v>Đã có số/ký mã hiệu</x:v>
      </x:c>
      <x:c r="J12" t="str">
        <x:v>Trực tiếp ĐHTĐ</x:v>
      </x:c>
      <x:c r="K12" t="str">
        <x:v>P2023-08</x:v>
      </x:c>
      <x:c r="L12" t="str">
        <x:v>Cao</x:v>
      </x:c>
      <x:c r="M12" t="str">
        <x:v>Tên sản phẩm và bối cảnh hợp tác phù hợp; vẫn cần hồ sơ gốc để khẳng định nguồn từ đề tài.</x:v>
      </x:c>
    </x:row>
    <x:row r="13">
      <x:c r="A13" t="str">
        <x:v>SRC-IP-012</x:v>
      </x:c>
      <x:c r="B13" t="str">
        <x:v>Kiểu dáng công nghiệp</x:v>
      </x:c>
      <x:c r="C13" t="str">
        <x:v>Xịt miệng - họng thảo dược</x:v>
      </x:c>
      <x:c r="D13" t="str">
        <x:v>3-0039902-000</x:v>
      </x:c>
      <x:c r="E13" t="n">
        <x:v>2024</x:v>
      </x:c>
      <x:c r="F13" t="str">
        <x:v>Cục Sở hữu trí tuệ, Bộ KH&amp;CN</x:v>
      </x:c>
      <x:c r="G13" t="str">
        <x:v>Đồng tác giả</x:v>
      </x:c>
      <x:c r="H13" t="str">
        <x:v>ĐHTĐ, CTY Thanh Huế</x:v>
      </x:c>
      <x:c r="I13" t="str">
        <x:v>Đã có số/ký mã hiệu</x:v>
      </x:c>
      <x:c r="J13" t="str">
        <x:v>Trực tiếp ĐHTĐ</x:v>
      </x:c>
      <x:c r="K13" t="str"/>
      <x:c r="L13" t="str"/>
      <x:c r="M13" t="str">
        <x:v>Chưa có đầu ra đề tài hiện tại đủ mạnh để liên kết.</x:v>
      </x:c>
    </x:row>
    <x:row r="14">
      <x:c r="A14" t="str">
        <x:v>SRC-IP-013</x:v>
      </x:c>
      <x:c r="B14" t="str">
        <x:v>Kiểu dáng công nghiệp</x:v>
      </x:c>
      <x:c r="C14" t="str">
        <x:v>Dầu gội nha đam - bưởi đào</x:v>
      </x:c>
      <x:c r="D14" t="str">
        <x:v>3-0039695-000</x:v>
      </x:c>
      <x:c r="E14" t="n">
        <x:v>2024</x:v>
      </x:c>
      <x:c r="F14" t="str">
        <x:v>Cục Sở hữu trí tuệ, Bộ KH&amp;CN</x:v>
      </x:c>
      <x:c r="G14" t="str">
        <x:v>Đồng tác giả</x:v>
      </x:c>
      <x:c r="H14" t="str">
        <x:v>ĐHTĐ, CTY Thanh Huế</x:v>
      </x:c>
      <x:c r="I14" t="str">
        <x:v>Đã có số/ký mã hiệu</x:v>
      </x:c>
      <x:c r="J14" t="str">
        <x:v>Trực tiếp ĐHTĐ</x:v>
      </x:c>
      <x:c r="K14" t="str"/>
      <x:c r="L14" t="str"/>
      <x:c r="M14" t="str">
        <x:v>Chưa có đầu ra đề tài hiện tại đủ mạnh để liên kết.</x:v>
      </x:c>
    </x:row>
    <x:row r="15">
      <x:c r="A15" t="str">
        <x:v>SRC-IP-014</x:v>
      </x:c>
      <x:c r="B15" t="str">
        <x:v>Kiểu dáng công nghiệp</x:v>
      </x:c>
      <x:c r="C15" t="str">
        <x:v>Kem ủ xả tóc - Chiết xuất từ Bưởi - Bơ - Dừa</x:v>
      </x:c>
      <x:c r="D15" t="str">
        <x:v>3-0039696-000</x:v>
      </x:c>
      <x:c r="E15" t="n">
        <x:v>2024</x:v>
      </x:c>
      <x:c r="F15" t="str">
        <x:v>Cục Sở hữu trí tuệ, Bộ KH&amp;CN</x:v>
      </x:c>
      <x:c r="G15" t="str">
        <x:v>Đồng tác giả</x:v>
      </x:c>
      <x:c r="H15" t="str">
        <x:v>ĐHTĐ, CTY Thanh Huế</x:v>
      </x:c>
      <x:c r="I15" t="str">
        <x:v>Đã có số/ký mã hiệu</x:v>
      </x:c>
      <x:c r="J15" t="str">
        <x:v>Trực tiếp ĐHTĐ</x:v>
      </x:c>
      <x:c r="K15" t="str"/>
      <x:c r="L15" t="str"/>
      <x:c r="M15" t="str">
        <x:v>Chưa có đầu ra đề tài hiện tại đủ mạnh để liên kết.</x:v>
      </x:c>
    </x:row>
    <x:row r="16">
      <x:c r="A16" t="str">
        <x:v>SRC-IP-015</x:v>
      </x:c>
      <x:c r="B16" t="str">
        <x:v>Sáng chế</x:v>
      </x:c>
      <x:c r="C16" t="str">
        <x:v>Các hợp chất furofuran lignan glucoside và phương pháp chiết các hợp chất này từ lá của cây quế hoa (Osmanthus fragrans)</x:v>
      </x:c>
      <x:c r="D16" t="str"/>
      <x:c r="E16" t="n">
        <x:v>2025</x:v>
      </x:c>
      <x:c r="F16" t="str">
        <x:v>Cục Sở hữu trí tuệ, Bộ KH&amp;CN</x:v>
      </x:c>
      <x:c r="G16" t="str">
        <x:v>Nguyễn Ngọc Linh (ghi tại cột Vai trò)</x:v>
      </x:c>
      <x:c r="H16" t="str">
        <x:v>ĐHTĐ</x:v>
      </x:c>
      <x:c r="I16" t="str">
        <x:v>Có trong danh sách; chưa có số/ký mã hiệu trong nguồn</x:v>
      </x:c>
      <x:c r="J16" t="str">
        <x:v>Trực tiếp ĐHTĐ</x:v>
      </x:c>
      <x:c r="K16" t="str">
        <x:v>P2025-09</x:v>
      </x:c>
      <x:c r="L16" t="str">
        <x:v>Rất cao</x:v>
      </x:c>
      <x:c r="M16" t="str">
        <x:v>Không suy ra đã nộp hay đã cấp khi chưa có số đơn/văn bằng.</x:v>
      </x:c>
    </x:row>
    <x:row r="17">
      <x:c r="A17" t="str">
        <x:v>SRC-IP-016</x:v>
      </x:c>
      <x:c r="B17" t="str">
        <x:v>Sáng chế</x:v>
      </x:c>
      <x:c r="C17" t="str">
        <x:v>Phương pháp chiết tách và phân lập hợp chất Isoembigenin từ cây Piper aduncum L.</x:v>
      </x:c>
      <x:c r="D17" t="str"/>
      <x:c r="E17" t="n">
        <x:v>2026</x:v>
      </x:c>
      <x:c r="F17" t="str">
        <x:v>Cục Sở hữu trí tuệ, Bộ KH&amp;CN</x:v>
      </x:c>
      <x:c r="G17" t="str">
        <x:v>Nguyễn Ngọc Linh (ghi tại cột Vai trò)</x:v>
      </x:c>
      <x:c r="H17" t="str">
        <x:v>ĐHTĐ</x:v>
      </x:c>
      <x:c r="I17" t="str">
        <x:v>Có trong danh sách; chưa có số/ký mã hiệu trong nguồn</x:v>
      </x:c>
      <x:c r="J17" t="str">
        <x:v>Trực tiếp ĐHTĐ</x:v>
      </x:c>
      <x:c r="K17" t="str"/>
      <x:c r="L17" t="str"/>
      <x:c r="M17" t="str">
        <x:v>Ngoài giai đoạn 2021-2025; giữ để theo dõi pipeline tiếp theo.</x:v>
      </x:c>
    </x:row>
  </x:sheetData>
  <x:pageMargins left="0.7" right="0.7" top="0.75" bottom="0.75" header="0.3" footer="0.3"/>
  <x:tableParts count="1">
    <x:tablePart xmlns:r="http://schemas.openxmlformats.org/officeDocument/2006/relationships" r:id="R8571fa768f0b48a7"/>
  </x:tableParts>
</x:worksheet>
</file>

<file path=xl/worksheets/sheet22.xml><?xml version="1.0" encoding="utf-8"?>
<x:worksheet xmlns:x="http://schemas.openxmlformats.org/spreadsheetml/2006/main">
  <x:sheetFormatPr defaultRowHeight="15"/>
  <x:cols>
    <x:col min="1" max="1" width="12" hidden="0" customWidth="1"/>
    <x:col min="2" max="2" width="52" hidden="0" customWidth="1"/>
    <x:col min="3" max="3" width="52" hidden="0" customWidth="1"/>
    <x:col min="4" max="4" width="58" hidden="0" customWidth="1"/>
    <x:col min="5" max="5" width="56" hidden="0" customWidth="1"/>
    <x:col min="6" max="6" width="46" hidden="0" customWidth="1"/>
    <x:col min="7" max="7" width="54" hidden="0" customWidth="1"/>
    <x:col min="8" max="8" width="14" hidden="0" customWidth="1"/>
  </x:cols>
  <x:sheetData>
    <x:row r="1">
      <x:c r="A1" s="54" t="str">
        <x:v>Finding_ID</x:v>
      </x:c>
      <x:c r="B1" s="54" t="str">
        <x:v>Nội dung xác nhận</x:v>
      </x:c>
      <x:c r="C1" s="54" t="str">
        <x:v>Bằng chứng hiện có</x:v>
      </x:c>
      <x:c r="D1" s="54" t="str">
        <x:v>Cách diễn giải được phép</x:v>
      </x:c>
      <x:c r="E1" s="54" t="str">
        <x:v>Không được suy diễn</x:v>
      </x:c>
      <x:c r="F1" s="54" t="str">
        <x:v>Hệ quả đối với chỉ số</x:v>
      </x:c>
      <x:c r="G1" s="54" t="str">
        <x:v>Phương pháp thay thế/bổ sung</x:v>
      </x:c>
      <x:c r="H1" s="54" t="str">
        <x:v>Mức quan trọng</x:v>
      </x:c>
    </x:row>
    <x:row r="2">
      <x:c r="A2" t="str">
        <x:v>VF01</x:v>
      </x:c>
      <x:c r="B2" t="str">
        <x:v>Có danh sách tổng hợp SHTT gồm 16 đối tượng trong nguồn người dùng cung cấp.</x:v>
      </x:c>
      <x:c r="C2" t="str">
        <x:v>4 bản quyền tác giả; 5 nhãn hiệu; 5 kiểu dáng công nghiệp; 2 sáng chế.</x:v>
      </x:c>
      <x:c r="D2" t="str">
        <x:v>Có thể dùng làm inventory nguồn; cần tách tài sản trực tiếp của ĐHTĐ khỏi tài sản UNIGO/cá nhân.</x:v>
      </x:c>
      <x:c r="E2" t="str">
        <x:v>Không coi toàn bộ 16 là TSTT của ĐHTĐ.</x:v>
      </x:c>
      <x:c r="F2" t="str">
        <x:v>Có thể tính số lượng/cơ cấu portfolio theo nguồn và theo phạm vi chủ sở hữu.</x:v>
      </x:c>
      <x:c r="G2" t="str">
        <x:v>Đối chiếu hồ sơ gốc nếu cần xác nhận trạng thái pháp lý chi tiết.</x:v>
      </x:c>
      <x:c r="H2" t="str">
        <x:v>Rất cao</x:v>
      </x:c>
    </x:row>
    <x:row r="3">
      <x:c r="A3" t="str">
        <x:v>VF02</x:v>
      </x:c>
      <x:c r="B3" t="str">
        <x:v>Trong danh sách nguồn, có 12 đối tượng mà ĐHTĐ là chủ sở hữu/đồng sở hữu; 11 đối tượng thuộc giai đoạn 2021-2025.</x:v>
      </x:c>
      <x:c r="C3" t="str">
        <x:v>2 QTG; 3 nhãn hiệu (gồm Double2n ở trạng thái tiếp nhận đơn); 5 KDCN; 2 sáng chế, trong đó một sáng chế năm 2026.</x:v>
      </x:c>
      <x:c r="D3" t="str">
        <x:v>Đây là portfolio trực tiếp phù hợp nhất cho nghiên cứu quản trị SHTT tại Trường.</x:v>
      </x:c>
      <x:c r="E3" t="str">
        <x:v>Không coi Double2n là đã được cấp; không coi 2 sáng chế là đã nộp/cấp khi thiếu số đơn/văn bằng.</x:v>
      </x:c>
      <x:c r="F3" t="str">
        <x:v>Có thể mô tả cấu trúc tài sản, nhưng protection success rate phải dùng mẫu số/trạng thái được xác minh.</x:v>
      </x:c>
      <x:c r="G3" t="str">
        <x:v>Xin số đơn/ngày nộp hoặc bản sao hồ sơ nếu còn khả năng tiếp cận.</x:v>
      </x:c>
      <x:c r="H3" t="str">
        <x:v>Rất cao</x:v>
      </x:c>
    </x:row>
    <x:row r="4">
      <x:c r="A4" t="str">
        <x:v>VF03</x:v>
      </x:c>
      <x:c r="B4" t="str">
        <x:v>Không có phiếu khai báo/biên bản nhận diện TSTT hoặc sổ/CSDL tương đương theo xác nhận hiện tại.</x:v>
      </x:c>
      <x:c r="C4" t="str">
        <x:v>Xác nhận trực tiếp của người dùng trong quá trình nghiên cứu.</x:v>
      </x:c>
      <x:c r="D4" t="str">
        <x:v>Có thể kết luận: chưa có bằng chứng tài liệu hóa khâu disclosure/nhận diện trong bộ hồ sơ hiện có.</x:v>
      </x:c>
      <x:c r="E4" t="str">
        <x:v>Không kết luận rằng hoạt động nhận diện chưa từng diễn ra hoặc cá nhân không trao đổi không chính thức.</x:v>
      </x:c>
      <x:c r="F4" t="str">
        <x:v>Không tính được Disclosure/Identification Rate dựa trên hồ sơ.</x:v>
      </x:c>
      <x:c r="G4" t="str">
        <x:v>Phỏng vấn bán cấu trúc để tái dựng quy trình thực tế; process tracing theo 2-5 case.</x:v>
      </x:c>
      <x:c r="H4" t="str">
        <x:v>Rất cao</x:v>
      </x:c>
    </x:row>
    <x:row r="5">
      <x:c r="A5" t="str">
        <x:v>VF04</x:v>
      </x:c>
      <x:c r="B5" t="str">
        <x:v>Không có hồ sơ sàng lọc/tra cứu khả năng bảo hộ theo xác nhận hiện tại.</x:v>
      </x:c>
      <x:c r="C5" t="str">
        <x:v>Xác nhận trực tiếp của người dùng.</x:v>
      </x:c>
      <x:c r="D5" t="str">
        <x:v>Có thể đánh giá khoảng trống về khả năng truy vết quyết định chọn/không chọn bảo hộ.</x:v>
      </x:c>
      <x:c r="E5" t="str">
        <x:v>Không kết luận rằng không ai từng tra cứu hoặc cân nhắc khả năng bảo hộ.</x:v>
      </x:c>
      <x:c r="F5" t="str">
        <x:v>Không tính được Screening Rate hoặc thời gian từ disclosure đến screening.</x:v>
      </x:c>
      <x:c r="G5" t="str">
        <x:v>Phỏng vấn người phụ trách; kiểm tra email/quyết định/tra cứu bên ngoài nếu có.</x:v>
      </x:c>
      <x:c r="H5" t="str">
        <x:v>Rất cao</x:v>
      </x:c>
    </x:row>
    <x:row r="6">
      <x:c r="A6" t="str">
        <x:v>VF05</x:v>
      </x:c>
      <x:c r="B6" t="str">
        <x:v>Không có hợp đồng chuyển giao/cấp phép/biên bản thương mại hóa trong bộ hồ sơ hiện có theo xác nhận hiện tại.</x:v>
      </x:c>
      <x:c r="C6" t="str">
        <x:v>Xác nhận trực tiếp của người dùng; một số hồ sơ nghiệm thu chỉ ghi dấu hiệu 'chuyển giao/ứng dụng'.</x:v>
      </x:c>
      <x:c r="D6" t="str">
        <x:v>Có thể phân biệt rõ 'dấu hiệu ứng dụng/chuyển giao' với 'giao dịch thương mại đã được chứng minh'.</x:v>
      </x:c>
      <x:c r="E6" t="str">
        <x:v>Không kết luận rằng chưa từng có ứng dụng thực tế; cũng không coi dòng nghiệm thu là hợp đồng chuyển giao.</x:v>
      </x:c>
      <x:c r="F6" t="str">
        <x:v>Không tính được Commercialization Rate, licensing revenue hoặc IP-to-Value chính thức.</x:v>
      </x:c>
      <x:c r="G6" t="str">
        <x:v>Case study + phỏng vấn + chứng từ tài chính/biên bản bàn giao nếu tìm được; nếu không, chỉ đo giá trị phi tài chính.</x:v>
      </x:c>
      <x:c r="H6" t="str">
        <x:v>Rất cao</x:v>
      </x:c>
    </x:row>
    <x:row r="7">
      <x:c r="A7" t="str">
        <x:v>VF06</x:v>
      </x:c>
      <x:c r="B7" t="str">
        <x:v>Tồn tại chuỗi sản phẩm nghiên cứu có khả năng liên kết với quyền SHTT, nhưng mới có 2 liên kết đề tài↔bảo hộ có bằng chứng mạnh.</x:v>
      </x:c>
      <x:c r="C7" t="str">
        <x:v>P2023-08 ↔ KDCN Tinh dầu vỏ bưởi đào; P2025-09 ↔ sáng chế về Osmanthus fragrans.</x:v>
      </x:c>
      <x:c r="D7" t="str">
        <x:v>Dùng làm case tracing để kiểm tra cách một đầu ra đi từ nghiên cứu sang bảo hộ.</x:v>
      </x:c>
      <x:c r="E7" t="str">
        <x:v>Không ngoại suy 2 case này cho toàn bộ portfolio.</x:v>
      </x:c>
      <x:c r="F7" t="str">
        <x:v>Tạo 'Observed Project-to-Protection Link' mô tả, không gọi là conversion rate chính thức.</x:v>
      </x:c>
      <x:c r="G7" t="str">
        <x:v>Phỏng vấn chủ nhiệm + Phòng KHCN, lập timeline của từng case.</x:v>
      </x:c>
      <x:c r="H7" t="str">
        <x:v>Cao</x:v>
      </x:c>
    </x:row>
  </x:sheetData>
  <x:conditionalFormatting sqref="B4:B6">
    <x:cfRule type="expression" dxfId="5" priority="1">
      <x:formula>LEFT(B4,9)="Không có "</x:formula>
    </x:cfRule>
  </x:conditionalFormatting>
  <x:pageMargins left="0.7" right="0.7" top="0.75" bottom="0.75" header="0.3" footer="0.3"/>
  <x:tableParts count="1">
    <x:tablePart xmlns:r="http://schemas.openxmlformats.org/officeDocument/2006/relationships" r:id="R0c5308607a10450d"/>
  </x:tableParts>
</x:worksheet>
</file>

<file path=xl/worksheets/sheet23.xml><?xml version="1.0" encoding="utf-8"?>
<x:worksheet xmlns:x="http://schemas.openxmlformats.org/spreadsheetml/2006/main">
  <x:sheetFormatPr defaultRowHeight="15"/>
  <x:cols>
    <x:col min="1" max="1" width="10" hidden="0" customWidth="1"/>
    <x:col min="2" max="2" width="23" hidden="0" customWidth="1"/>
    <x:col min="3" max="3" width="20" hidden="0" customWidth="1"/>
    <x:col min="4" max="4" width="32" hidden="0" customWidth="1"/>
    <x:col min="5" max="5" width="62" hidden="0" customWidth="1"/>
    <x:col min="6" max="6" width="42" hidden="0" customWidth="1"/>
    <x:col min="7" max="7" width="58" hidden="0" customWidth="1"/>
    <x:col min="8" max="8" width="52" hidden="0" customWidth="1"/>
    <x:col min="9" max="9" width="34" hidden="0" customWidth="1"/>
    <x:col min="10" max="10" width="14" hidden="0" customWidth="1"/>
    <x:col min="11" max="11" width="58" hidden="0" customWidth="1"/>
    <x:col min="12" max="12" width="52" hidden="0" customWidth="1"/>
  </x:cols>
  <x:sheetData>
    <x:row r="1">
      <x:c r="A1" s="59" t="str">
        <x:v>Matrix_ID</x:v>
      </x:c>
      <x:c r="B1" s="59" t="str">
        <x:v>Khâu quản trị</x:v>
      </x:c>
      <x:c r="C1" s="59" t="str">
        <x:v>Tầng chuẩn</x:v>
      </x:c>
      <x:c r="D1" s="59" t="str">
        <x:v>Văn bản/Điều</x:v>
      </x:c>
      <x:c r="E1" s="59" t="str">
        <x:v>Nội dung chuẩn cần đối chiếu</x:v>
      </x:c>
      <x:c r="F1" s="59" t="str">
        <x:v>Tình trạng hiệu lực/áp dụng</x:v>
      </x:c>
      <x:c r="G1" s="59" t="str">
        <x:v>Bằng chứng thực tế 2021-2025</x:v>
      </x:c>
      <x:c r="H1" s="59" t="str">
        <x:v>Đánh giá sơ bộ</x:v>
      </x:c>
      <x:c r="I1" s="59" t="str">
        <x:v>Loại khoảng cách</x:v>
      </x:c>
      <x:c r="J1" s="59" t="str">
        <x:v>Mức rủi ro</x:v>
      </x:c>
      <x:c r="K1" s="59" t="str">
        <x:v>Câu hỏi cần xác minh</x:v>
      </x:c>
      <x:c r="L1" s="59" t="str">
        <x:v>Nguồn/URL</x:v>
      </x:c>
    </x:row>
    <x:row r="2">
      <x:c r="A2" t="str">
        <x:v>M01</x:v>
      </x:c>
      <x:c r="B2" t="str">
        <x:v>Phạm vi TSTT</x:v>
      </x:c>
      <x:c r="C2" t="str">
        <x:v>Quy chế nội bộ</x:v>
      </x:c>
      <x:c r="D2" t="str">
        <x:v>QC quản trị TSTT 2024, Điều 2-3</x:v>
      </x:c>
      <x:c r="E2" t="str">
        <x:v>TSTT được hiểu rộng: công bố, dữ liệu, học liệu, phần mềm, thông tin kỹ thuật, nhãn hiệu, KDCN, bí quyết và các kết quả sáng tạo khác; TSTT của Trường là tài sản thuộc sở hữu/đồng sở hữu của Trường.</x:v>
      </x:c>
      <x:c r="F2" t="str">
        <x:v>Đã ban hành theo QĐ số 217/QĐ-ĐHTĐ ngày 21/11/2024; hiệu lực từ 21/11/2024.</x:v>
      </x:c>
      <x:c r="G2" t="str">
        <x:v>Dataset đã nhận diện 90 đầu ra từ 38 đề tài; 26 đầu ra cần quản trị IP sâu hơn.</x:v>
      </x:c>
      <x:c r="H2" t="str">
        <x:v>Khung nội bộ bao quát rộng hơn danh mục văn bằng; dữ liệu thực tế hiện mới quản lý chắc chắn phần quyền đã đăng ký và đầu ra đề tài.</x:v>
      </x:c>
      <x:c r="I2" t="str">
        <x:v>Documentation/data gap</x:v>
      </x:c>
      <x:c r="J2" t="str">
        <x:v>Trung bình</x:v>
      </x:c>
      <x:c r="K2" t="str">
        <x:v>Sau khi Quy chế có hiệu lực từ 21/11/2024, Trường đã ban hành/triển khai những biểu mẫu và quy trình nào để thực hiện các yêu cầu về nhận diện, theo dõi và khai thác TSTT?</x:v>
      </x:c>
      <x:c r="L2" t="str">
        <x:v>QĐ 217/QĐ-ĐHTĐ ngày 21/11/2024 – Quy chế quản trị TSTT</x:v>
      </x:c>
    </x:row>
    <x:row r="3">
      <x:c r="A3" t="str">
        <x:v>M02</x:v>
      </x:c>
      <x:c r="B3" t="str">
        <x:v>Xác định sở hữu</x:v>
      </x:c>
      <x:c r="C3" t="str">
        <x:v>Quy chế nội bộ</x:v>
      </x:c>
      <x:c r="D3" t="str">
        <x:v>QC quản trị TSTT 2024, Điều 3-6</x:v>
      </x:c>
      <x:c r="E3" t="str">
        <x:v>Trường sở hữu TSTT tạo ra chủ yếu từ ngân sách/nguồn lực do Trường quản lý; có thể đồng sở hữu khi dùng nguồn lực nhiều bên; tỷ lệ sở hữu cần thỏa thuận bằng văn bản. NLĐ/người học có quyền sở hữu riêng trong các trường hợp không dùng nguồn lực Trường hoặc theo điều kiện quy định.</x:v>
      </x:c>
      <x:c r="F3" t="str">
        <x:v>QC quản trị TSTT đã ban hành theo QĐ số 217/QĐ-ĐHTĐ ngày 21/11/2024, hiệu lực 21/11/2024; QĐ 213/QĐ-ĐHTĐ năm 2021 tiếp tục là căn cứ cho Quy chế hoạt động KHCN.</x:v>
      </x:c>
      <x:c r="G3" t="str">
        <x:v>Portfolio có tài sản ĐHTĐ sở hữu, đồng sở hữu với CTY Thanh Huế, và tài sản ngoài phạm vi ĐHTĐ (UNIGO/cá nhân).</x:v>
      </x:c>
      <x:c r="H3" t="str">
        <x:v>Có thực tiễn phân biệt chủ sở hữu, nhưng hồ sơ đầu ra đề tài hiện chưa luôn cho thấy quyết định sở hữu/đồng sở hữu cụ thể.</x:v>
      </x:c>
      <x:c r="I3" t="str">
        <x:v>Documentation/ownership traceability gap</x:v>
      </x:c>
      <x:c r="J3" t="str">
        <x:v>Cao</x:v>
      </x:c>
      <x:c r="K3" t="str">
        <x:v>Đối với từng case đồng sáng tạo, quyền sở hữu được quyết định khi ký hợp đồng, khi nghiệm thu hay khi nộp đơn?</x:v>
      </x:c>
      <x:c r="L3" t="str">
        <x:v>QĐ 217/QĐ-ĐHTĐ ngày 21/11/2024; QĐ 213/QĐ-ĐHTĐ năm 2021</x:v>
      </x:c>
    </x:row>
    <x:row r="4">
      <x:c r="A4" t="str">
        <x:v>M03</x:v>
      </x:c>
      <x:c r="B4" t="str">
        <x:v>Nhận diện/kê khai TSTT</x:v>
      </x:c>
      <x:c r="C4" t="str">
        <x:v>Quy chế nội bộ</x:v>
      </x:c>
      <x:c r="D4" t="str">
        <x:v>QC quản trị TSTT 2024, Điều 11</x:v>
      </x:c>
      <x:c r="E4" t="str">
        <x:v>Phòng KHCN xây dựng quy trình, biểu mẫu ghi nhận/khai báo; nhận diện, ghi nhận TSTT mới; lập hồ sơ thống kê, theo dõi, lưu trữ tập trung.</x:v>
      </x:c>
      <x:c r="F4" t="str">
        <x:v>Đã ban hành theo QĐ số 217/QĐ-ĐHTĐ ngày 21/11/2024; hiệu lực từ 21/11/2024.</x:v>
      </x:c>
      <x:c r="G4" t="str">
        <x:v>Người dùng xác nhận hiện không có phiếu khai báo/biên bản nhận diện hoặc sổ/CSDL disclosure tương đương.</x:v>
      </x:c>
      <x:c r="H4" t="str">
        <x:v>Không có bằng chứng tài liệu hóa một cơ chế disclosure/identification có khả năng truy vết.</x:v>
      </x:c>
      <x:c r="I4" t="str">
        <x:v>Documentation gap</x:v>
      </x:c>
      <x:c r="J4" t="str">
        <x:v>Rất cao</x:v>
      </x:c>
      <x:c r="K4" t="str">
        <x:v>Nếu không dùng phiếu khai báo, tài sản mới được báo cho Phòng KHCN bằng kênh nào? Ai quyết định một kết quả cần bảo hộ?</x:v>
      </x:c>
      <x:c r="L4" t="str">
        <x:v>QĐ 217/QĐ-ĐHTĐ ngày 21/11/2024 – Quy chế quản trị TSTT</x:v>
      </x:c>
    </x:row>
    <x:row r="5">
      <x:c r="A5" t="str">
        <x:v>M04</x:v>
      </x:c>
      <x:c r="B5" t="str">
        <x:v>Công bố trước bảo hộ</x:v>
      </x:c>
      <x:c r="C5" t="str">
        <x:v>Quy chế nội bộ</x:v>
      </x:c>
      <x:c r="D5" t="str">
        <x:v>QC quản trị TSTT 2024, Điều 10</x:v>
      </x:c>
      <x:c r="E5" t="str">
        <x:v>Công bố không được ảnh hưởng khả năng bảo hộ/khai thác; tác giả cần xác định TSTT có thể bảo hộ và xin ý kiến Phòng KHCN trước khi bộc lộ công khai.</x:v>
      </x:c>
      <x:c r="F5" t="str">
        <x:v>QC quản trị TSTT có hiệu lực từ 21/11/2024 theo QĐ 217/QĐ-ĐHTĐ; QĐ 213/QĐ-ĐHTĐ năm 2021 cũng có quy định bảo mật và phổ biến/sử dụng kết quả.</x:v>
      </x:c>
      <x:c r="G5" t="str">
        <x:v>Có đề tài vừa có bài báo vừa có công thức/quy trình dự kiến GPHI; chưa có hồ sơ screening/timing.</x:v>
      </x:c>
      <x:c r="H5" t="str">
        <x:v>Rủi ro không nằm ở việc đã công bố hay chưa, mà ở việc không truy vết được quyết định 'công bố trước hay nộp đơn trước'.</x:v>
      </x:c>
      <x:c r="I5" t="str">
        <x:v>Process traceability/risk gap</x:v>
      </x:c>
      <x:c r="J5" t="str">
        <x:v>Cao</x:v>
      </x:c>
      <x:c r="K5" t="str">
        <x:v>Trong case cồn xoa bóp, viên ngậm, Quế hoa: thời điểm bài báo, thời điểm quyết định bảo hộ và thời điểm nộp đơn là khi nào?</x:v>
      </x:c>
      <x:c r="L5" t="str">
        <x:v>QĐ 217/QĐ-ĐHTĐ ngày 21/11/2024; QĐ 213/QĐ-ĐHTĐ năm 2021</x:v>
      </x:c>
    </x:row>
    <x:row r="6">
      <x:c r="A6" t="str">
        <x:v>M05</x:v>
      </x:c>
      <x:c r="B6" t="str">
        <x:v>Đăng ký quyền SHTT</x:v>
      </x:c>
      <x:c r="C6" t="str">
        <x:v>Quy chế nội bộ</x:v>
      </x:c>
      <x:c r="D6" t="str">
        <x:v>QĐ 213/QĐ-ĐHTĐ 2021, Điều 35</x:v>
      </x:c>
      <x:c r="E6" t="str">
        <x:v>Tác giả nộp đơn tại Phòng KHCN; Phòng KHCN kiểm tra hình thức, yêu cầu sửa đổi nếu cần, trình Hiệu trưởng ký và nộp đơn/lệ phí tại cơ quan nhà nước.</x:v>
      </x:c>
      <x:c r="F6" t="str">
        <x:v>Có hiệu lực từ 01/01/2022 theo Quyết định 213/2021.</x:v>
      </x:c>
      <x:c r="G6" t="str">
        <x:v>Danh mục nguồn có 11 đối tượng ĐHTĐ trực tiếp trong 2021-2025; 9 có số đăng ký/văn bằng/ký hiệu, 1 nhãn hiệu ở trạng thái tiếp nhận đơn, 1 sáng chế 2025 chưa có số trong danh sách.</x:v>
      </x:c>
      <x:c r="H6" t="str">
        <x:v>Có đầu ra đăng ký/bảo hộ thực tế, nhưng không có hồ sơ trung gian để đo thời gian xử lý hay tỷ lệ từ đề xuất → nộp đơn.</x:v>
      </x:c>
      <x:c r="I6" t="str">
        <x:v>Documentation/process measurement gap</x:v>
      </x:c>
      <x:c r="J6" t="str">
        <x:v>Cao</x:v>
      </x:c>
      <x:c r="K6" t="str">
        <x:v>Quy trình Điều 35 thực tế được khởi động bằng biểu mẫu nào? Có lưu ngày nhận đơn nội bộ/ngày trình ký/ngày nộp không?</x:v>
      </x:c>
      <x:c r="L6" t="str">
        <x:v>02. QĐ 213_QĐ-ĐHTĐ- Quy chế HĐ KHCN năm 2021.pdf</x:v>
      </x:c>
    </x:row>
    <x:row r="7">
      <x:c r="A7" t="str">
        <x:v>M06</x:v>
      </x:c>
      <x:c r="B7" t="str">
        <x:v>Sàng lọc loại quyền</x:v>
      </x:c>
      <x:c r="C7" t="str">
        <x:v>Thông lệ quản trị + nội bộ</x:v>
      </x:c>
      <x:c r="D7" t="str">
        <x:v>QC 2024 Điều 10-11; QĐ 213 Điều 35</x:v>
      </x:c>
      <x:c r="E7" t="str">
        <x:v>Trước công bố/đăng ký cần nhận diện đối tượng và lựa chọn cơ chế bảo hộ phù hợp; QC giao Phòng KHCN quản lý/nhận diện và QĐ 213 quy định quy trình đăng ký.</x:v>
      </x:c>
      <x:c r="F7" t="str">
        <x:v>QC quản trị TSTT có hiệu lực từ 21/11/2024 theo QĐ 217/QĐ-ĐHTĐ; QĐ 213/QĐ-ĐHTĐ năm 2021 có hiệu lực.</x:v>
      </x:c>
      <x:c r="G7" t="str">
        <x:v>Người dùng xác nhận không có hồ sơ sàng lọc/tra cứu khả năng bảo hộ.</x:v>
      </x:c>
      <x:c r="H7" t="str">
        <x:v>Không thể biết tiêu chí vì sao chọn KDCN, nhãn hiệu, sáng chế/GPHI hoặc không đăng ký.</x:v>
      </x:c>
      <x:c r="I7" t="str">
        <x:v>Decision-documentation gap</x:v>
      </x:c>
      <x:c r="J7" t="str">
        <x:v>Rất cao</x:v>
      </x:c>
      <x:c r="K7" t="str">
        <x:v>Ai tư vấn loại quyền? Có thuê đại diện SHTT/tra cứu ngoài trường không? Quyết định dựa trên tiêu chí nào?</x:v>
      </x:c>
      <x:c r="L7" t="str">
        <x:v>QĐ 217/QĐ-ĐHTĐ ngày 21/11/2024; QĐ 213/QĐ-ĐHTĐ năm 2021</x:v>
      </x:c>
    </x:row>
    <x:row r="8">
      <x:c r="A8" t="str">
        <x:v>M07</x:v>
      </x:c>
      <x:c r="B8" t="str">
        <x:v>Quyền đăng ký với nhiệm vụ dùng NSNN</x:v>
      </x:c>
      <x:c r="C8" t="str">
        <x:v>Pháp luật quốc gia</x:v>
      </x:c>
      <x:c r="D8" t="str">
        <x:v>Luật SHTT hiện hành (sửa đổi 2025), Điều 86; NĐ hướng dẫn về kết quả nhiệm vụ dùng NSNN</x:v>
      </x:c>
      <x:c r="E8" t="str">
        <x:v>Tổ chức được giao quyền quản lý/sử dụng hoặc quyền sở hữu kết quả nhiệm vụ KH,CN&amp;ĐMST dùng NSNN có quyền đăng ký sáng chế, KDCN, thiết kế bố trí là kết quả nhiệm vụ; với nhiệm vụ dùng NSNN có cơ chế quyền/ nghĩa vụ riêng.</x:v>
      </x:c>
      <x:c r="F8" t="str">
        <x:v>Áp dụng trực tiếp cho nhiệm vụ dùng NSNN; không tự động áp dụng cho mọi đề tài cấp cơ sở bằng nguồn Trường.</x:v>
      </x:c>
      <x:c r="G8" t="str">
        <x:v>Dataset có đề tài cấp cơ sở và một số đề tài quốc gia/NAFOSTED; chưa trộn hai nhóm trong cùng mẫu phân tích bảo hộ.</x:v>
      </x:c>
      <x:c r="H8" t="str">
        <x:v>Cần phân tầng nguồn kinh phí khi phân tích quyền đăng ký và nghĩa vụ.</x:v>
      </x:c>
      <x:c r="I8" t="str">
        <x:v>Scope/classification gap</x:v>
      </x:c>
      <x:c r="J8" t="str">
        <x:v>Trung bình</x:v>
      </x:c>
      <x:c r="K8" t="str">
        <x:v>Các sáng chế/KDCN nào hình thành từ nhiệm vụ NSNN, nguồn Trường, doanh nghiệp hay nguồn hỗn hợp?</x:v>
      </x:c>
      <x:c r="L8" t="str">
        <x:v>https://vbpl.vn/TW/Pages/vbpq-toanvan.aspx?ItemID=187492 ; https://vbpl.vn/TW/Pages/vbpq-toanvan.aspx?ItemID=164372</x:v>
      </x:c>
    </x:row>
    <x:row r="9">
      <x:c r="A9" t="str">
        <x:v>M08</x:v>
      </x:c>
      <x:c r="B9" t="str">
        <x:v>Thương mại hóa</x:v>
      </x:c>
      <x:c r="C9" t="str">
        <x:v>Pháp luật quốc gia</x:v>
      </x:c>
      <x:c r="D9" t="str">
        <x:v>Luật KH,CN&amp;ĐMST 93/2025/QH15, Điều 27</x:v>
      </x:c>
      <x:c r="E9" t="str">
        <x:v>Chủ sở hữu tự quyết định thương mại hóa; tổ chức được giao quản lý/sử dụng kết quả có quyền tự quyết hình thức, phương án, giá và phân chia lợi nhuận; luật quy định cơ chế thưởng tác giả trong trường hợp thuộc phạm vi điều chỉnh.</x:v>
      </x:c>
      <x:c r="F9" t="str">
        <x:v>Luật có hiệu lực 01/10/2025; cần phân biệt thời kỳ trước/sau hiệu lực và phạm vi nguồn vốn.</x:v>
      </x:c>
      <x:c r="G9" t="str">
        <x:v>Không có hợp đồng chuyển giao/cấp phép/biên bản thương mại hóa trong bộ hồ sơ hiện có; một số hồ sơ nghiệm thu chỉ ghi dấu hiệu ứng dụng/chuyển giao.</x:v>
      </x:c>
      <x:c r="H9" t="str">
        <x:v>Không đủ bằng chứng để tính commercialization rate hay doanh thu SHTT.</x:v>
      </x:c>
      <x:c r="I9" t="str">
        <x:v>Evidence/commercialization gap</x:v>
      </x:c>
      <x:c r="J9" t="str">
        <x:v>Rất cao</x:v>
      </x:c>
      <x:c r="K9" t="str">
        <x:v>Có ứng dụng nội bộ, bán thử, bàn giao mẫu, hợp tác doanh nghiệp hoặc thu nhập nào không được ghi dưới dạng hợp đồng chuyển giao?</x:v>
      </x:c>
      <x:c r="L9" t="str">
        <x:v>https://vbpl.vn/TW/Pages/ivbpq-toanvan.aspx?ItemID=179265</x:v>
      </x:c>
    </x:row>
    <x:row r="10">
      <x:c r="A10" t="str">
        <x:v>M09</x:v>
      </x:c>
      <x:c r="B10" t="str">
        <x:v>Chuyển giao/khai thác</x:v>
      </x:c>
      <x:c r="C10" t="str">
        <x:v>Quy chế nội bộ</x:v>
      </x:c>
      <x:c r="D10" t="str">
        <x:v>QĐ 213/2021, Điều 36; QC 2024, Điều 11</x:v>
      </x:c>
      <x:c r="E10" t="str">
        <x:v>QĐ 213 quy định chuyển giao/thương mại hóa và phân chia lợi nhuận; QC giao Phòng KHCN xúc tiến thương mại hóa và phối hợp ký hợp đồng chuyển giao, li-xăng, góp vốn, liên doanh/liên kết bằng TSTT.</x:v>
      </x:c>
      <x:c r="F10" t="str">
        <x:v>QĐ 213/QĐ-ĐHTĐ năm 2021 có hiệu lực; QC quản trị TSTT có hiệu lực từ 21/11/2024 theo QĐ 217/QĐ-ĐHTĐ.</x:v>
      </x:c>
      <x:c r="G10" t="str">
        <x:v>Case tinh dầu vỏ bưởi ghi 'sản phẩm chuyển giao công nghệ cho Trường ... thương mại hóa' nhưng không có hợp đồng/biên bản thương mại hóa trong hồ sơ hiện có.</x:v>
      </x:c>
      <x:c r="H10" t="str">
        <x:v>Có dấu hiệu khai thác nhưng thiếu bằng chứng giao dịch và định nghĩa thống nhất về 'chuyển giao'.</x:v>
      </x:c>
      <x:c r="I10" t="str">
        <x:v>Documentation/definition gap</x:v>
      </x:c>
      <x:c r="J10" t="str">
        <x:v>Rất cao</x:v>
      </x:c>
      <x:c r="K10" t="str">
        <x:v>Trong hồ sơ 2023, 'chuyển giao cho Trường để thương mại hóa' nghĩa là bàn giao nội bộ, chuyển quyền, chuyển giao công nghệ hay chỉ nghiệm thu sản phẩm?</x:v>
      </x:c>
      <x:c r="L10" t="str">
        <x:v>QĐ 213/QĐ-ĐHTĐ năm 2021; QĐ 217/QĐ-ĐHTĐ ngày 21/11/2024</x:v>
      </x:c>
    </x:row>
    <x:row r="11">
      <x:c r="A11" t="str">
        <x:v>M10</x:v>
      </x:c>
      <x:c r="B11" t="str">
        <x:v>Phân chia lợi ích</x:v>
      </x:c>
      <x:c r="C11" t="str">
        <x:v>Quy chế nội bộ + pháp luật</x:v>
      </x:c>
      <x:c r="D11" t="str">
        <x:v>QĐ 213/2021 Điều 36; Luật 93/2025 Điều 27</x:v>
      </x:c>
      <x:c r="E11" t="str">
        <x:v>QĐ 213 có công thức phân chia cho một số trường hợp; pháp luật 2025 quy định cơ chế tự chủ và mức thưởng tối thiểu cho tác giả trong phạm vi luật.</x:v>
      </x:c>
      <x:c r="F11" t="str">
        <x:v>Cần xem lại tính tương thích của công thức nội bộ cũ với pháp luật mới từ 01/10/2025, đặc biệt theo nguồn vốn/kết quả.</x:v>
      </x:c>
      <x:c r="G11" t="str">
        <x:v>Chưa có chứng từ phân chia lợi ích trong dataset.</x:v>
      </x:c>
      <x:c r="H11" t="str">
        <x:v>Policy update + evidence gap</x:v>
      </x:c>
      <x:c r="I11" t="str">
        <x:v>Cao</x:v>
      </x:c>
      <x:c r="J11" t="str">
        <x:v>Quy chế nội bộ đã được rà soát sau Luật 93/2025 chưa? Có trường hợp nào từng chi thù lao/lợi ích từ TSTT?</x:v>
      </x:c>
      <x:c r="K11" t="str">
        <x:v>QĐ 213/QĐ-ĐHTĐ 2021; https://vbpl.vn/TW/Pages/ivbpq-toanvan.aspx?ItemID=179265</x:v>
      </x:c>
      <x:c r="L11"/>
    </x:row>
    <x:row r="12">
      <x:c r="A12" t="str">
        <x:v>M11</x:v>
      </x:c>
      <x:c r="B12" t="str">
        <x:v>Theo dõi portfolio</x:v>
      </x:c>
      <x:c r="C12" t="str">
        <x:v>Quy chế nội bộ</x:v>
      </x:c>
      <x:c r="D12" t="str">
        <x:v>QC quản trị TSTT 2024, Điều 11</x:v>
      </x:c>
      <x:c r="E12" t="str">
        <x:v>Phòng KHCN lập hồ sơ thống kê, theo dõi TSTT sở hữu/đồng sở hữu, lưu trữ tập trung và phối hợp khai thác.</x:v>
      </x:c>
      <x:c r="F12" t="str">
        <x:v>Đã ban hành theo QĐ số 217/QĐ-ĐHTĐ ngày 21/11/2024; hiệu lực từ 21/11/2024.</x:v>
      </x:c>
      <x:c r="G12" t="str">
        <x:v>Có danh sách tổng hợp văn bằng/đơn; tuy nhiên trạng thái một số mục chưa đủ số đơn/văn bằng và portfolio chưa nối hoàn chỉnh với nguồn đề tài.</x:v>
      </x:c>
      <x:c r="H12" t="str">
        <x:v>Có inventory nhưng chưa đạt mức lifecycle database đầy đủ.</x:v>
      </x:c>
      <x:c r="I12" t="str">
        <x:v>Data architecture gap</x:v>
      </x:c>
      <x:c r="J12" t="str">
        <x:v>Cao</x:v>
      </x:c>
      <x:c r="K12" t="str">
        <x:v>Có file theo dõi ngày nộp, ngày cấp, gia hạn, chi phí, tác giả, đề tài nguồn và tình trạng khai thác hay không?</x:v>
      </x:c>
      <x:c r="L12" t="str">
        <x:v>QĐ 217/QĐ-ĐHTĐ ngày 21/11/2024 – Quy chế quản trị TSTT</x:v>
      </x:c>
    </x:row>
    <x:row r="13">
      <x:c r="A13" t="str">
        <x:v>M12</x:v>
      </x:c>
      <x:c r="B13" t="str">
        <x:v>Số hóa dữ liệu KH,CN&amp;ĐMST</x:v>
      </x:c>
      <x:c r="C13" t="str">
        <x:v>Pháp luật quốc gia</x:v>
      </x:c>
      <x:c r="D13" t="str">
        <x:v>Luật 93/2025 và văn bản hướng dẫn về thông tin/chuyển đổi số</x:v>
      </x:c>
      <x:c r="E13" t="str">
        <x:v>Khung pháp luật mới nhấn mạnh nền tảng số quản lý toàn diện và số hóa kết quả, dữ liệu KH,CN&amp;ĐMST.</x:v>
      </x:c>
      <x:c r="F13" t="str">
        <x:v>Khung pháp luật có hiệu lực từ 2025; mức áp dụng cụ thể tại cơ sở tư thục cần đặt trong bối cảnh nghĩa vụ/quản trị nội bộ.</x:v>
      </x:c>
      <x:c r="G13" t="str">
        <x:v>Dữ liệu hiện phân tán ở nhiều danh mục PDF/Word/ảnh; nhóm nghiên cứu phải tự nối Project–Output–Publication–Protection.</x:v>
      </x:c>
      <x:c r="H13" t="str">
        <x:v>Mức trưởng thành dữ liệu còn phân tán, khó đo vòng đời TSTT.</x:v>
      </x:c>
      <x:c r="I13" t="str">
        <x:v>Digital governance gap</x:v>
      </x:c>
      <x:c r="J13" t="str">
        <x:v>Cao</x:v>
      </x:c>
      <x:c r="K13" t="str">
        <x:v>Trường hiện dùng phần mềm/CSDL nào cho KHCN và SHTT? Có mã định danh thống nhất cho đề tài–đầu ra–TSTT không?</x:v>
      </x:c>
      <x:c r="L13" t="str">
        <x:v>https://vbpl.vn/TW/Pages/vbpq-toanvan.aspx?ItemID=183315</x:v>
      </x:c>
    </x:row>
  </x:sheetData>
  <x:conditionalFormatting sqref="F2:F13">
    <x:cfRule type="expression" dxfId="6" priority="1">
      <x:formula>ISNUMBER(SEARCH("CẦN XÁC MINH",F2))</x:formula>
    </x:cfRule>
  </x:conditionalFormatting>
  <x:conditionalFormatting sqref="J2:J13">
    <x:cfRule type="expression" dxfId="7" priority="2">
      <x:formula>J2="Rất cao"</x:formula>
    </x:cfRule>
  </x:conditionalFormatting>
  <x:pageMargins left="0.7" right="0.7" top="0.75" bottom="0.75" header="0.3" footer="0.3"/>
  <x:tableParts count="1">
    <x:tablePart xmlns:r="http://schemas.openxmlformats.org/officeDocument/2006/relationships" r:id="R96effccc33684c0a"/>
  </x:tableParts>
</x:worksheet>
</file>

<file path=xl/worksheets/sheet24.xml><?xml version="1.0" encoding="utf-8"?>
<x:worksheet xmlns:x="http://schemas.openxmlformats.org/spreadsheetml/2006/main">
  <x:sheetFormatPr defaultRowHeight="15"/>
  <x:cols>
    <x:col min="1" max="1" width="9" hidden="0" customWidth="1"/>
    <x:col min="2" max="2" width="28" hidden="0" customWidth="1"/>
    <x:col min="3" max="3" width="58" hidden="0" customWidth="1"/>
    <x:col min="4" max="4" width="34" hidden="0" customWidth="1"/>
    <x:col min="5" max="5" width="30" hidden="0" customWidth="1"/>
    <x:col min="6" max="6" width="52" hidden="0" customWidth="1"/>
    <x:col min="7" max="7" width="48" hidden="0" customWidth="1"/>
    <x:col min="8" max="8" width="30" hidden="0" customWidth="1"/>
  </x:cols>
  <x:sheetData>
    <x:row r="1">
      <x:c r="A1" s="64" t="str">
        <x:v>BỘ PHỎNG VẤN BÁN CẤU TRÚC – PROCESS TRACING (KHÔNG PHẢI KHẢO SÁT ĐỊNH LƯỢNG)</x:v>
      </x:c>
      <x:c r="B1" s="64"/>
      <x:c r="C1" s="64"/>
      <x:c r="D1" s="64"/>
      <x:c r="E1" s="64"/>
      <x:c r="F1" s="64"/>
      <x:c r="G1" s="64"/>
      <x:c r="H1" s="64"/>
    </x:row>
    <x:row r="3">
      <x:c r="A3" s="59" t="str">
        <x:v>Q_ID</x:v>
      </x:c>
      <x:c r="B3" s="59" t="str">
        <x:v>Nhóm người trả lời</x:v>
      </x:c>
      <x:c r="C3" s="59" t="str">
        <x:v>Câu hỏi chính</x:v>
      </x:c>
      <x:c r="D3" s="59" t="str">
        <x:v>Mục đích bằng chứng</x:v>
      </x:c>
      <x:c r="E3" s="59" t="str">
        <x:v>Case ưu tiên</x:v>
      </x:c>
      <x:c r="F3" s="59" t="str">
        <x:v>Câu hỏi gợi mở</x:v>
      </x:c>
      <x:c r="G3" s="59" t="str">
        <x:v>Không được dẫn dắt theo hướng</x:v>
      </x:c>
      <x:c r="H3" s="59" t="str">
        <x:v>Mã hóa sau phỏng vấn</x:v>
      </x:c>
    </x:row>
    <x:row r="4">
      <x:c r="A4" t="str">
        <x:v>Q01</x:v>
      </x:c>
      <x:c r="B4" t="str">
        <x:v>Phòng KHCN/Quản lý</x:v>
      </x:c>
      <x:c r="C4" t="str">
        <x:v>Khi một đề tài tạo ra sản phẩm, công thức, quy trình hoặc thiết kế mới, bằng cách nào Phòng KHCN biết rằng có TSTT cần xem xét?</x:v>
      </x:c>
      <x:c r="D4" t="str">
        <x:v>Tái dựng khâu nhận diện/disclosure</x:v>
      </x:c>
      <x:c r="E4" t="str">
        <x:v>Tất cả</x:v>
      </x:c>
      <x:c r="F4" t="str">
        <x:v>Ai báo? bằng email, văn bản, họp hay khi nghiệm thu? Có mốc thời gian không?</x:v>
      </x:c>
      <x:c r="G4" t="str">
        <x:v>Không hỏi 'vì sao không có phiếu disclosure' ngay từ đầu</x:v>
      </x:c>
      <x:c r="H4" t="str">
        <x:v>Trigger; channel; actor; timing</x:v>
      </x:c>
    </x:row>
    <x:row r="5">
      <x:c r="A5" t="str">
        <x:v>Q02</x:v>
      </x:c>
      <x:c r="B5" t="str">
        <x:v>Phòng KHCN/Quản lý</x:v>
      </x:c>
      <x:c r="C5" t="str">
        <x:v>Ai quyết định một kết quả nên đăng ký SHTT, giữ bí mật, chỉ công bố hay không tiếp tục bảo hộ?</x:v>
      </x:c>
      <x:c r="D5" t="str">
        <x:v>Tái dựng decision rule</x:v>
      </x:c>
      <x:c r="E5" t="str">
        <x:v>Quế hoa; cồn xoa bóp; viên ngậm; xà phòng</x:v>
      </x:c>
      <x:c r="F5" t="str">
        <x:v>Có tiêu chí về tính mới, thị trường, chi phí, khả năng áp dụng không?</x:v>
      </x:c>
      <x:c r="G5" t="str">
        <x:v>Không mặc định quyết định là sai hoặc thiếu</x:v>
      </x:c>
      <x:c r="H5" t="str">
        <x:v>Decision maker; criteria; alternatives</x:v>
      </x:c>
    </x:row>
    <x:row r="6">
      <x:c r="A6" t="str">
        <x:v>Q03</x:v>
      </x:c>
      <x:c r="B6" t="str">
        <x:v>Phòng KHCN/Chủ nhiệm</x:v>
      </x:c>
      <x:c r="C6" t="str">
        <x:v>Trước khi bài báo hoặc kết quả được công bố, có bước nào kiểm tra nguy cơ mất khả năng bảo hộ không?</x:v>
      </x:c>
      <x:c r="D6" t="str">
        <x:v>Kiểm tra publication-before-protection control</x:v>
      </x:c>
      <x:c r="E6" t="str">
        <x:v>Quế hoa; cồn xoa bóp; viên ngậm</x:v>
      </x:c>
      <x:c r="F6" t="str">
        <x:v>Ai kiểm tra? khi nào? bằng tài liệu gì?</x:v>
      </x:c>
      <x:c r="G6" t="str">
        <x:v>Không gợi ý rằng đã có vi phạm tính mới</x:v>
      </x:c>
      <x:c r="H6" t="str">
        <x:v>Timing; confidentiality; review</x:v>
      </x:c>
    </x:row>
    <x:row r="7">
      <x:c r="A7" t="str">
        <x:v>Q04</x:v>
      </x:c>
      <x:c r="B7" t="str">
        <x:v>Phòng KHCN</x:v>
      </x:c>
      <x:c r="C7" t="str">
        <x:v>Quy trình đăng ký theo Điều 35 của Quy chế KHCN 2021 được thực hiện trên thực tế như thế nào?</x:v>
      </x:c>
      <x:c r="D7" t="str">
        <x:v>So sánh formal process vs actual process</x:v>
      </x:c>
      <x:c r="E7" t="str">
        <x:v>Các nhãn hiệu/KDCN/sáng chế</x:v>
      </x:c>
      <x:c r="F7" t="str">
        <x:v>Có bước nhận nội bộ, trình ký, nộp phí, theo dõi trạng thái không?</x:v>
      </x:c>
      <x:c r="G7" t="str">
        <x:v>Không coi quy chế giấy là quy trình thực tế</x:v>
      </x:c>
      <x:c r="H7" t="str">
        <x:v>Actual steps; deviations; records</x:v>
      </x:c>
    </x:row>
    <x:row r="8">
      <x:c r="A8" t="str">
        <x:v>Q05</x:v>
      </x:c>
      <x:c r="B8" t="str">
        <x:v>Chủ nhiệm/Tác giả</x:v>
      </x:c>
      <x:c r="C8" t="str">
        <x:v>Anh/chị biết kết quả của mình có khả năng đăng ký SHTT từ thời điểm nào? Ai là người gợi ý đầu tiên?</x:v>
      </x:c>
      <x:c r="D8" t="str">
        <x:v>Nguồn hình thành ý định bảo hộ</x:v>
      </x:c>
      <x:c r="E8" t="str">
        <x:v>5 case công nghệ</x:v>
      </x:c>
      <x:c r="F8" t="str">
        <x:v>Do cá nhân, Phòng KHCN, doanh nghiệp, đại diện SHTT hay hội đồng nghiệm thu?</x:v>
      </x:c>
      <x:c r="G8" t="str">
        <x:v>Không hỏi nhận thức chung chung</x:v>
      </x:c>
      <x:c r="H8" t="str">
        <x:v>Awareness trigger; initiator</x:v>
      </x:c>
    </x:row>
    <x:row r="9">
      <x:c r="A9" t="str">
        <x:v>Q06</x:v>
      </x:c>
      <x:c r="B9" t="str">
        <x:v>Chủ nhiệm/Tác giả</x:v>
      </x:c>
      <x:c r="C9" t="str">
        <x:v>Yếu tố nào khiến nhóm quyết định tiếp tục hoặc không tiếp tục đăng ký?</x:v>
      </x:c>
      <x:c r="D9" t="str">
        <x:v>Nguyên nhân dừng/tiếp tục</x:v>
      </x:c>
      <x:c r="E9" t="str">
        <x:v>Panel ô tô; xà phòng; cồn; viên ngậm</x:v>
      </x:c>
      <x:c r="F9" t="str">
        <x:v>Chi phí, thời gian, tính mới, lợi ích, thủ tục, doanh nghiệp, công bố?</x:v>
      </x:c>
      <x:c r="G9" t="str">
        <x:v>Không ép chọn danh sách nguyên nhân</x:v>
      </x:c>
      <x:c r="H9" t="str">
        <x:v>Barrier/enabler; priority</x:v>
      </x:c>
    </x:row>
    <x:row r="10">
      <x:c r="A10" t="str">
        <x:v>Q07</x:v>
      </x:c>
      <x:c r="B10" t="str">
        <x:v>Chủ nhiệm/Tác giả + Quản lý</x:v>
      </x:c>
      <x:c r="C10" t="str">
        <x:v>Trong trường hợp có nhiều bên tham gia, quyền sở hữu và quyền nộp đơn được thỏa thuận ở thời điểm nào?</x:v>
      </x:c>
      <x:c r="D10" t="str">
        <x:v>Ownership governance</x:v>
      </x:c>
      <x:c r="E10" t="str">
        <x:v>Tinh dầu vỏ bưởi; tài sản ĐHTĐ–Thanh Huế</x:v>
      </x:c>
      <x:c r="F10" t="str">
        <x:v>Có hợp đồng từ đầu không? ai đứng tên? phân chia thế nào?</x:v>
      </x:c>
      <x:c r="G10" t="str">
        <x:v>Không giả định có tranh chấp</x:v>
      </x:c>
      <x:c r="H10" t="str">
        <x:v>Ownership timing; agreement; co-ownership</x:v>
      </x:c>
    </x:row>
    <x:row r="11">
      <x:c r="A11" t="str">
        <x:v>Q08</x:v>
      </x:c>
      <x:c r="B11" t="str">
        <x:v>Quản lý + Đơn vị sử dụng</x:v>
      </x:c>
      <x:c r="C11" t="str">
        <x:v>Sau khi có văn bằng/đơn, ai chịu trách nhiệm theo dõi và tìm cách sử dụng hoặc khai thác tài sản?</x:v>
      </x:c>
      <x:c r="D11" t="str">
        <x:v>Post-protection governance</x:v>
      </x:c>
      <x:c r="E11" t="str">
        <x:v>KDCN; nhãn hiệu; sáng chế</x:v>
      </x:c>
      <x:c r="F11" t="str">
        <x:v>Có mục tiêu sử dụng, đối tác, ngân sách khai thác không?</x:v>
      </x:c>
      <x:c r="G11" t="str">
        <x:v>Không đồng nhất 'có văn bằng' với 'có giá trị'</x:v>
      </x:c>
      <x:c r="H11" t="str">
        <x:v>Owner after grant; exploitation plan</x:v>
      </x:c>
    </x:row>
    <x:row r="12">
      <x:c r="A12" t="str">
        <x:v>Q09</x:v>
      </x:c>
      <x:c r="B12" t="str">
        <x:v>Quản lý/Doanh nghiệp/Chủ nhiệm</x:v>
      </x:c>
      <x:c r="C12" t="str">
        <x:v>Khái niệm 'chuyển giao' được hiểu và ghi nhận trong Trường như thế nào?</x:v>
      </x:c>
      <x:c r="D12" t="str">
        <x:v>Làm rõ định nghĩa thực hành</x:v>
      </x:c>
      <x:c r="E12" t="str">
        <x:v>Tinh dầu vỏ bưởi</x:v>
      </x:c>
      <x:c r="F12" t="str">
        <x:v>Bàn giao nội bộ khác hợp đồng CGCN/cấp phép như thế nào?</x:v>
      </x:c>
      <x:c r="G12" t="str">
        <x:v>Không gọi mọi bàn giao là thương mại hóa</x:v>
      </x:c>
      <x:c r="H12" t="str">
        <x:v>Transfer definition; evidence</x:v>
      </x:c>
    </x:row>
    <x:row r="13">
      <x:c r="A13" t="str">
        <x:v>Q10</x:v>
      </x:c>
      <x:c r="B13" t="str">
        <x:v>Đơn vị sử dụng/Chủ nhiệm</x:v>
      </x:c>
      <x:c r="C13" t="str">
        <x:v>Sản phẩm nghiên cứu đã được dùng trong giảng dạy, nghiên cứu tiếp, vận hành nội bộ hoặc bởi bên ngoài như thế nào?</x:v>
      </x:c>
      <x:c r="D13" t="str">
        <x:v>Đo giá trị phi tài chính</x:v>
      </x:c>
      <x:c r="E13" t="str">
        <x:v>Panel; bộ mẫu; tiêu bản; xà phòng</x:v>
      </x:c>
      <x:c r="F13" t="str">
        <x:v>Bao nhiêu lớp/người dùng/lần sử dụng? thay thế chi phí gì?</x:v>
      </x:c>
      <x:c r="G13" t="str">
        <x:v>Không chỉ hỏi doanh thu</x:v>
      </x:c>
      <x:c r="H13" t="str">
        <x:v>Utilization; reach; replacement value</x:v>
      </x:c>
    </x:row>
    <x:row r="14">
      <x:c r="A14" t="str">
        <x:v>Q11</x:v>
      </x:c>
      <x:c r="B14" t="str">
        <x:v>Quản lý/Tài chính</x:v>
      </x:c>
      <x:c r="C14" t="str">
        <x:v>Nếu TSTT tạo ra thu nhập hoặc được định giá, cơ chế phân chia lợi ích và ghi nhận tài chính được thực hiện thế nào?</x:v>
      </x:c>
      <x:c r="D14" t="str">
        <x:v>Kiểm tra incentive/value governance</x:v>
      </x:c>
      <x:c r="E14" t="str">
        <x:v>Case có khai thác nếu có</x:v>
      </x:c>
      <x:c r="F14" t="str">
        <x:v>Có từng phát sinh trường hợp thực tế chưa?</x:v>
      </x:c>
      <x:c r="G14" t="str">
        <x:v>Không giả định đã có doanh thu</x:v>
      </x:c>
      <x:c r="H14" t="str">
        <x:v>Revenue; benefit share; accounting</x:v>
      </x:c>
    </x:row>
    <x:row r="15">
      <x:c r="A15" t="str">
        <x:v>Q12</x:v>
      </x:c>
      <x:c r="B15" t="str">
        <x:v>Quản lý</x:v>
      </x:c>
      <x:c r="C15" t="str">
        <x:v>Danh mục SHTT hiện được cập nhật bằng cách nào và ai chịu trách nhiệm cập nhật trạng thái đơn/văn bằng?</x:v>
      </x:c>
      <x:c r="D15" t="str">
        <x:v>Data governance</x:v>
      </x:c>
      <x:c r="E15" t="str">
        <x:v>Toàn portfolio</x:v>
      </x:c>
      <x:c r="F15" t="str">
        <x:v>Có theo dõi ngày nộp/cấp/gia hạn/chi phí/đề tài nguồn không?</x:v>
      </x:c>
      <x:c r="G15" t="str">
        <x:v>Không đánh giá hệ thống trước khi nghe mô tả</x:v>
      </x:c>
      <x:c r="H15" t="str">
        <x:v>Database; update cycle; fields</x:v>
      </x:c>
    </x:row>
    <x:row r="16">
      <x:c r="A16" t="str">
        <x:v>Q13</x:v>
      </x:c>
      <x:c r="B16" t="str">
        <x:v>Lãnh đạo/Quản lý</x:v>
      </x:c>
      <x:c r="C16" t="str">
        <x:v>Trong chuỗi từ nghiên cứu đến giá trị, khâu nào hiện gây mất nhiều cơ hội nhất?</x:v>
      </x:c>
      <x:c r="D16" t="str">
        <x:v>Nhận diện bottleneck theo góc nhìn quản lý</x:v>
      </x:c>
      <x:c r="E16" t="str">
        <x:v>Toàn hệ thống</x:v>
      </x:c>
      <x:c r="F16" t="str">
        <x:v>Nhận diện, bảo hộ, kinh phí, doanh nghiệp, thương mại hóa, nhân lực?</x:v>
      </x:c>
      <x:c r="G16" t="str">
        <x:v>Không cung cấp sẵn kết luận của nghiên cứu</x:v>
      </x:c>
      <x:c r="H16" t="str">
        <x:v>Perceived bottleneck; rationale</x:v>
      </x:c>
    </x:row>
    <x:row r="17">
      <x:c r="A17" t="str">
        <x:v>Q14</x:v>
      </x:c>
      <x:c r="B17" t="str">
        <x:v>Chuyên gia SHTT bên ngoài</x:v>
      </x:c>
      <x:c r="C17" t="str">
        <x:v>Với portfolio và quy trình hiện có, ba cải tiến nào nên ưu tiên trong 12–24 tháng?</x:v>
      </x:c>
      <x:c r="D17" t="str">
        <x:v>Thẩm định giải pháp</x:v>
      </x:c>
      <x:c r="E17" t="str">
        <x:v>Toàn hệ thống</x:v>
      </x:c>
      <x:c r="F17" t="str">
        <x:v>Tính khả thi, nguồn lực, rủi ro pháp lý, thứ tự triển khai?</x:v>
      </x:c>
      <x:c r="G17" t="str">
        <x:v>Không yêu cầu đồng ý với giải pháp dự kiến</x:v>
      </x:c>
      <x:c r="H17" t="str">
        <x:v>Priority; feasibility; risk</x:v>
      </x:c>
    </x:row>
    <x:row r="18">
      <x:c r="A18" t="str">
        <x:v>Q15</x:v>
      </x:c>
      <x:c r="B18" t="str">
        <x:v>Chuyên gia/Quản lý</x:v>
      </x:c>
      <x:c r="C18" t="str">
        <x:v>Những chỉ số nào nên dùng để đánh giá hiệu quả quản trị TSTT của một trường tư thục như Thành Đô?</x:v>
      </x:c>
      <x:c r="D18" t="str">
        <x:v>Thẩm định KPI</x:v>
      </x:c>
      <x:c r="E18" t="str">
        <x:v>Toàn hệ thống</x:v>
      </x:c>
      <x:c r="F18" t="str">
        <x:v>Nên ưu tiên output, protection, use, revenue, time-to-IP hay strategic value?</x:v>
      </x:c>
      <x:c r="G18" t="str">
        <x:v>Không áp đặt bộ KPI đã xây</x:v>
      </x:c>
      <x:c r="H18" t="str">
        <x:v>KPI relevance; weights</x:v>
      </x:c>
    </x:row>
  </x:sheetData>
  <x:mergeCells>
    <x:mergeCell ref="A1:H1"/>
  </x:mergeCells>
  <x:pageMargins left="0.7" right="0.7" top="0.75" bottom="0.75" header="0.3" footer="0.3"/>
  <x:tableParts count="1">
    <x:tablePart xmlns:r="http://schemas.openxmlformats.org/officeDocument/2006/relationships" r:id="R164a49bd6b1d449d"/>
  </x:tableParts>
</x:worksheet>
</file>

<file path=xl/worksheets/sheet25.xml><?xml version="1.0" encoding="utf-8"?>
<x:worksheet xmlns:x="http://schemas.openxmlformats.org/spreadsheetml/2006/main">
  <x:sheetFormatPr defaultRowHeight="15"/>
  <x:cols>
    <x:col min="1" max="1" width="9" hidden="0" customWidth="1"/>
    <x:col min="2" max="2" width="14" hidden="0" customWidth="1"/>
    <x:col min="3" max="3" width="28" hidden="0" customWidth="1"/>
    <x:col min="4" max="4" width="42" hidden="0" customWidth="1"/>
    <x:col min="5" max="5" width="36" hidden="0" customWidth="1"/>
    <x:col min="6" max="6" width="42" hidden="0" customWidth="1"/>
    <x:col min="7" max="7" width="42" hidden="0" customWidth="1"/>
    <x:col min="8" max="8" width="34" hidden="0" customWidth="1"/>
    <x:col min="9" max="9" width="50" hidden="0" customWidth="1"/>
    <x:col min="10" max="10" width="38" hidden="0" customWidth="1"/>
    <x:col min="11" max="11" width="58" hidden="0" customWidth="1"/>
    <x:col min="12" max="12" width="42" hidden="0" customWidth="1"/>
    <x:col min="13" max="13" width="54" hidden="0" customWidth="1"/>
  </x:cols>
  <x:sheetData>
    <x:row r="1">
      <x:c r="A1" s="59" t="str">
        <x:v>Case_ID</x:v>
      </x:c>
      <x:c r="B1" s="59" t="str">
        <x:v>Project_ID</x:v>
      </x:c>
      <x:c r="C1" s="59" t="str">
        <x:v>Case</x:v>
      </x:c>
      <x:c r="D1" s="59" t="str">
        <x:v>Lý do chọn</x:v>
      </x:c>
      <x:c r="E1" s="59" t="str">
        <x:v>Mốc 1: Đề tài</x:v>
      </x:c>
      <x:c r="F1" s="59" t="str">
        <x:v>Mốc 2: Đầu ra kỹ thuật</x:v>
      </x:c>
      <x:c r="G1" s="59" t="str">
        <x:v>Mốc 3: Công bố</x:v>
      </x:c>
      <x:c r="H1" s="59" t="str">
        <x:v>Mốc 4: Quyết định IP</x:v>
      </x:c>
      <x:c r="I1" s="59" t="str">
        <x:v>Mốc 5: Đơn/Văn bằng</x:v>
      </x:c>
      <x:c r="J1" s="59" t="str">
        <x:v>Mốc 6: Ứng dụng</x:v>
      </x:c>
      <x:c r="K1" s="59" t="str">
        <x:v>Bằng chứng còn thiếu</x:v>
      </x:c>
      <x:c r="L1" s="59" t="str">
        <x:v>Người nên phỏng vấn</x:v>
      </x:c>
      <x:c r="M1" s="59" t="str">
        <x:v>Kết luận được phép hiện tại</x:v>
      </x:c>
    </x:row>
    <x:row r="2">
      <x:c r="A2" t="str">
        <x:v>C01</x:v>
      </x:c>
      <x:c r="B2" t="str">
        <x:v>P2023-08</x:v>
      </x:c>
      <x:c r="C2" t="str">
        <x:v>Tinh dầu vỏ bưởi</x:v>
      </x:c>
      <x:c r="D2" t="str">
        <x:v>Có hợp tác DN + sản phẩm + KDCN liên kết mạnh + ghi dấu hiệu thương mại hóa</x:v>
      </x:c>
      <x:c r="E2" t="str">
        <x:v>Đề tài 08-2023/KHCN; nghiệm thu 13/11/2023</x:v>
      </x:c>
      <x:c r="F2" t="str">
        <x:v>Tinh dầu Citrus grandis 100ml</x:v>
      </x:c>
      <x:c r="G2" t="str">
        <x:v>Có bài báo liên quan hợp tác Nhà trường-DN ngành Dược</x:v>
      </x:c>
      <x:c r="H2" t="str">
        <x:v>Chưa có hồ sơ quyết định/sàng lọc</x:v>
      </x:c>
      <x:c r="I2" t="str">
        <x:v>KDCN 'Tinh dầu vỏ bưởi đào' 3-0039694-000, 2024; ĐHTĐ + CTY Thanh Huế</x:v>
      </x:c>
      <x:c r="J2" t="str">
        <x:v>Hồ sơ đề tài ghi 'chuyển giao cho Trường ... thương mại hóa'</x:v>
      </x:c>
      <x:c r="K2" t="str">
        <x:v>Hồ sơ KDCN gốc; ngày nộp; tác giả; thỏa thuận sở hữu; nghĩa của 'chuyển giao'; bằng chứng sử dụng/doanh thu</x:v>
      </x:c>
      <x:c r="L2" t="str">
        <x:v>Phan Thị Thanh Thảo; đại diện CTY Thanh Huế; Phòng KHCN</x:v>
      </x:c>
      <x:c r="M2" t="str">
        <x:v>Có chuỗi nghiên cứu→KDCN có khả năng cao; chưa xác nhận giao dịch thương mại.</x:v>
      </x:c>
    </x:row>
    <x:row r="3">
      <x:c r="A3" t="str">
        <x:v>C02</x:v>
      </x:c>
      <x:c r="B3" t="str">
        <x:v>P2025-09</x:v>
      </x:c>
      <x:c r="C3" t="str">
        <x:v>Quế hoa (Osmanthus fragrans)</x:v>
      </x:c>
      <x:c r="D3" t="str">
        <x:v>Đề tài ghi đầu ra sáng chế; danh mục SHTT có sáng chế trùng trực tiếp đối tượng</x:v>
      </x:c>
      <x:c r="E3" t="str">
        <x:v>Đề tài 09-2025/KHCN; giai đoạn 1 nghiệm thu 25/12/2025</x:v>
      </x:c>
      <x:c r="F3" t="str">
        <x:v>Chiết xuất/đánh giá hoạt tính lá Quế hoa</x:v>
      </x:c>
      <x:c r="G3" t="str">
        <x:v>Có công bố giai đoạn 1 theo hồ sơ, cần ghép chi tiết</x:v>
      </x:c>
      <x:c r="H3" t="str">
        <x:v>Chưa có hồ sơ sàng lọc/quyết định</x:v>
      </x:c>
      <x:c r="I3" t="str">
        <x:v>Sáng chế 'Các hợp chất furofuran lignan glucoside...' năm 2025; chưa có số trong danh sách</x:v>
      </x:c>
      <x:c r="J3" t="str">
        <x:v>Chưa có bằng chứng khai thác</x:v>
      </x:c>
      <x:c r="K3" t="str">
        <x:v>Số đơn/văn bằng; ngày nộp; tác giả sáng chế; nguồn kinh phí; timeline công bố-bảo hộ</x:v>
      </x:c>
      <x:c r="L3" t="str">
        <x:v>Nguyễn Ngọc Linh; Phòng KHCN</x:v>
      </x:c>
      <x:c r="M3" t="str">
        <x:v>Liên kết đề tài→sáng chế rất cao; chưa được phép gọi là văn bằng đã cấp.</x:v>
      </x:c>
    </x:row>
    <x:row r="4">
      <x:c r="A4" t="str">
        <x:v>C03</x:v>
      </x:c>
      <x:c r="B4" t="str">
        <x:v>P2024-06</x:v>
      </x:c>
      <x:c r="C4" t="str">
        <x:v>Xà phòng tảo biển</x:v>
      </x:c>
      <x:c r="D4" t="str">
        <x:v>Có prototype số lượng lớn + công thức/quy trình + bài báo nhưng chưa nối được bảo hộ</x:v>
      </x:c>
      <x:c r="E4" t="str">
        <x:v>Đề tài 06-2024/KHCN; nghiệm thu 15/11/2024</x:v>
      </x:c>
      <x:c r="F4" t="str">
        <x:v>200 bánh xà phòng + quy trình/công thức</x:v>
      </x:c>
      <x:c r="G4" t="str">
        <x:v>Bài 'Nghiên cứu chế tạo xà bông từ tảo spirulina'</x:v>
      </x:c>
      <x:c r="H4" t="str">
        <x:v>Chưa có bằng chứng sàng lọc</x:v>
      </x:c>
      <x:c r="I4" t="str">
        <x:v>Chưa nối được đơn/văn bằng từ danh mục hiện có</x:v>
      </x:c>
      <x:c r="J4" t="str">
        <x:v>Có sản phẩm vật chất; chưa có bằng chứng mức sử dụng</x:v>
      </x:c>
      <x:c r="K4" t="str">
        <x:v>Có tra cứu tính mới không; vì sao không đăng ký/GPHI/BMKD; sản phẩm có dùng/bán/thử nghiệm không</x:v>
      </x:c>
      <x:c r="L4" t="str">
        <x:v>Nguyễn Ngọc Linh; Phạm Thị Bích Đào; Phòng KHCN</x:v>
      </x:c>
      <x:c r="M4" t="str">
        <x:v>Case 'high potential but no observed protection link' để giải thích điểm nghẽn.</x:v>
      </x:c>
    </x:row>
    <x:row r="5">
      <x:c r="A5" t="str">
        <x:v>C04</x:v>
      </x:c>
      <x:c r="B5" t="str">
        <x:v>P2025-06</x:v>
      </x:c>
      <x:c r="C5" t="str">
        <x:v>Cồn xoa bóp</x:v>
      </x:c>
      <x:c r="D5" t="str">
        <x:v>Hồ sơ ghi công thức mới, dự kiến GPHI; chưa có liên kết bảo hộ</x:v>
      </x:c>
      <x:c r="E5" t="str">
        <x:v>Đề tài 06-2025/KHCN; nghiệm thu 25/12/2025</x:v>
      </x:c>
      <x:c r="F5" t="str">
        <x:v>Công thức + 50 chai sản phẩm</x:v>
      </x:c>
      <x:c r="G5" t="str">
        <x:v>Có bài NCKH&amp;PT theo hồ sơ</x:v>
      </x:c>
      <x:c r="H5" t="str">
        <x:v>Dự kiến đăng ký GPHI</x:v>
      </x:c>
      <x:c r="I5" t="str">
        <x:v>Chưa có số đơn/văn bằng trong danh sách hiện có</x:v>
      </x:c>
      <x:c r="J5" t="str">
        <x:v>Chưa có bằng chứng khai thác</x:v>
      </x:c>
      <x:c r="K5" t="str">
        <x:v>Đã nộp đơn chưa; ai quyết định; timing bài báo; tra cứu novelty; lý do tiếp tục/dừng</x:v>
      </x:c>
      <x:c r="L5" t="str">
        <x:v>Nguyễn Đăng Việt; Phòng KHCN</x:v>
      </x:c>
      <x:c r="M5" t="str">
        <x:v>Chỉ được gọi là 'dự kiến đăng ký' cho tới khi có bằng chứng đơn.</x:v>
      </x:c>
    </x:row>
    <x:row r="6">
      <x:c r="A6" t="str">
        <x:v>C05</x:v>
      </x:c>
      <x:c r="B6" t="str">
        <x:v>P2025-07</x:v>
      </x:c>
      <x:c r="C6" t="str">
        <x:v>Viên ngậm Gừng – Húng chanh</x:v>
      </x:c>
      <x:c r="D6" t="str">
        <x:v>Quy trình mới, dự kiến GPHI + sản phẩm 50 thanh; chưa nối bảo hộ</x:v>
      </x:c>
      <x:c r="E6" t="str">
        <x:v>Đề tài 07-2025/KHCN; nghiệm thu 25/12/2025</x:v>
      </x:c>
      <x:c r="F6" t="str">
        <x:v>Quy trình + sản phẩm viên ngậm</x:v>
      </x:c>
      <x:c r="G6" t="str">
        <x:v>Có bài báo theo hồ sơ</x:v>
      </x:c>
      <x:c r="H6" t="str">
        <x:v>Dự kiến đăng ký GPHI</x:v>
      </x:c>
      <x:c r="I6" t="str">
        <x:v>Chưa có số đơn/văn bằng trong danh sách hiện có</x:v>
      </x:c>
      <x:c r="J6" t="str">
        <x:v>Chưa có bằng chứng khai thác</x:v>
      </x:c>
      <x:c r="K6" t="str">
        <x:v>Đã nộp đơn chưa; ai sàng lọc; thời điểm công bố; bằng chứng sử dụng/đối tác</x:v>
      </x:c>
      <x:c r="L6" t="str">
        <x:v>Ngô Thị Thu; Phòng KHCN</x:v>
      </x:c>
      <x:c r="M6" t="str">
        <x:v>Case chuyển đổi tiềm năng để kiểm tra từ 'dự kiến' sang 'nộp đơn'.</x:v>
      </x:c>
    </x:row>
    <x:row r="7">
      <x:c r="A7" t="str">
        <x:v>C06</x:v>
      </x:c>
      <x:c r="B7" t="str">
        <x:v>P2022-37</x:v>
      </x:c>
      <x:c r="C7" t="str">
        <x:v>Panel ô tô</x:v>
      </x:c>
      <x:c r="D7" t="str">
        <x:v>Prototype rõ, phục vụ đào tạo, không thấy bảo hộ – phù hợp đo giá trị ứng dụng phi tài chính</x:v>
      </x:c>
      <x:c r="E7" t="str">
        <x:v>Đề tài 37-2022/KHCN; nghiệm thu 09/11/2022</x:v>
      </x:c>
      <x:c r="F7" t="str">
        <x:v>Mô hình kiểm tra/sửa chữa hệ thống khởi động ô tô</x:v>
      </x:c>
      <x:c r="G7" t="str">
        <x:v>Không phải case công bố trọng tâm</x:v>
      </x:c>
      <x:c r="H7" t="str">
        <x:v>Không có hồ sơ sàng lọc</x:v>
      </x:c>
      <x:c r="I7" t="str">
        <x:v>Chưa nối được bảo hộ</x:v>
      </x:c>
      <x:c r="J7" t="str">
        <x:v>Có khả năng sử dụng trong thực hành nhưng cần minh chứng</x:v>
      </x:c>
      <x:c r="K7" t="str">
        <x:v>Mô hình còn được dùng không; số học phần/lượt SV; chi phí mua ngoài thay thế; có tính mới kỹ thuật không</x:v>
      </x:c>
      <x:c r="L7" t="str">
        <x:v>Phạm Viết Xuân; Khoa Ô tô; Phòng Đào tạo/KHCN</x:v>
      </x:c>
      <x:c r="M7" t="str">
        <x:v>Case đo training value và nguyên nhân không bảo hộ.</x:v>
      </x:c>
    </x:row>
  </x:sheetData>
  <x:pageMargins left="0.7" right="0.7" top="0.75" bottom="0.75" header="0.3" footer="0.3"/>
  <x:tableParts count="1">
    <x:tablePart xmlns:r="http://schemas.openxmlformats.org/officeDocument/2006/relationships" r:id="R0e6bde3f807b4827"/>
  </x:tableParts>
</x:worksheet>
</file>

<file path=xl/worksheets/sheet26.xml><?xml version="1.0" encoding="utf-8"?>
<x:worksheet xmlns:x="http://schemas.openxmlformats.org/spreadsheetml/2006/main">
  <x:sheetFormatPr defaultRowHeight="15"/>
  <x:cols>
    <x:col min="1" max="1" width="28" hidden="0" customWidth="1"/>
    <x:col min="2" max="2" width="62" hidden="0" customWidth="1"/>
    <x:col min="3" max="3" width="42" hidden="0" customWidth="1"/>
    <x:col min="4" max="4" width="30" hidden="0" customWidth="1"/>
    <x:col min="5" max="5" width="38" hidden="0" customWidth="1"/>
    <x:col min="6" max="6" width="54" hidden="0" customWidth="1"/>
  </x:cols>
  <x:sheetData>
    <x:row r="1">
      <x:c r="A1" s="64" t="str">
        <x:v>PHƯƠNG PHÁP NGHIÊN CỨU ĐỀ XUẤT – BẢN CHỐT KHÔNG KHẢO SÁT ĐỊNH LƯỢNG</x:v>
      </x:c>
      <x:c r="B1" s="64"/>
      <x:c r="C1" s="64"/>
      <x:c r="D1" s="64"/>
      <x:c r="E1" s="64"/>
      <x:c r="F1" s="64"/>
    </x:row>
    <x:row r="3">
      <x:c r="A3" s="59" t="str">
        <x:v>Thành phần</x:v>
      </x:c>
      <x:c r="B3" s="59" t="str">
        <x:v>Nội dung</x:v>
      </x:c>
      <x:c r="C3" s="59" t="str">
        <x:v>Dữ liệu</x:v>
      </x:c>
      <x:c r="D3" s="59" t="str">
        <x:v>Đơn vị phân tích</x:v>
      </x:c>
      <x:c r="E3" s="59" t="str">
        <x:v>Đầu ra</x:v>
      </x:c>
      <x:c r="F3" s="59" t="str">
        <x:v>Ghi chú</x:v>
      </x:c>
    </x:row>
    <x:row r="4">
      <x:c r="A4" t="str">
        <x:v>1. Phân tích tài liệu và pháp lý</x:v>
      </x:c>
      <x:c r="B4" t="str">
        <x:v>Phân tích pháp luật hiện hành, Quy chế KHCN 2021, Quy chế quản trị TSTT ban hành theo QĐ 217/QĐ-ĐHTĐ ngày 21/11/2024, hồ sơ đề tài và danh mục SHTT.</x:v>
      </x:c>
      <x:c r="C4" t="str">
        <x:v>Văn bản pháp luật; quy chế; quyết định; hồ sơ 2021-2025</x:v>
      </x:c>
      <x:c r="D4" t="str">
        <x:v>Quy định/điều khoản</x:v>
      </x:c>
      <x:c r="E4" t="str">
        <x:v>Ma trận chuẩn quản trị</x:v>
      </x:c>
      <x:c r="F4" t="str">
        <x:v>Phân tầng chuẩn đối sánh: pháp luật quốc gia → quy chế nội bộ có hiệu lực → bằng chứng thực tiễn.</x:v>
      </x:c>
    </x:row>
    <x:row r="5">
      <x:c r="A5" t="str">
        <x:v>2. IP portfolio audit</x:v>
      </x:c>
      <x:c r="B5" t="str">
        <x:v>Kiểm kê Project→Output→IP potential→Protection→Utilization.</x:v>
      </x:c>
      <x:c r="C5" t="str">
        <x:v>38 đề tài; 90 đầu ra; danh mục SHTT</x:v>
      </x:c>
      <x:c r="D5" t="str">
        <x:v>Đề tài/đầu ra/TSTT</x:v>
      </x:c>
      <x:c r="E5" t="str">
        <x:v>Cơ cấu, IP funnel, gap</x:v>
      </x:c>
      <x:c r="F5" t="str">
        <x:v>Không gọi mọi đầu ra là đối tượng bảo hộ.</x:v>
      </x:c>
    </x:row>
    <x:row r="6">
      <x:c r="A6" t="str">
        <x:v>3. Compliance/process gap analysis</x:v>
      </x:c>
      <x:c r="B6" t="str">
        <x:v>Đối sánh 'quy định phải làm' với 'bằng chứng thực tế có thể truy vết'.</x:v>
      </x:c>
      <x:c r="C6" t="str">
        <x:v>Legal-practice matrix + hồ sơ xác minh</x:v>
      </x:c>
      <x:c r="D6" t="str">
        <x:v>Khâu quy trình</x:v>
      </x:c>
      <x:c r="E6" t="str">
        <x:v>Documentation gap vs activity gap</x:v>
      </x:c>
      <x:c r="F6" t="str">
        <x:v>Không suy từ thiếu hồ sơ thành thiếu hoạt động.</x:v>
      </x:c>
    </x:row>
    <x:row r="7">
      <x:c r="A7" t="str">
        <x:v>4. Multiple case study / process tracing</x:v>
      </x:c>
      <x:c r="B7" t="str">
        <x:v>Tái dựng timeline và cơ chế ra quyết định ở 5-6 case điển hình.</x:v>
      </x:c>
      <x:c r="C7" t="str">
        <x:v>Quế hoa, tinh dầu bưởi, xà phòng, cồn, viên ngậm, panel ô tô</x:v>
      </x:c>
      <x:c r="D7" t="str">
        <x:v>Case/TSTT</x:v>
      </x:c>
      <x:c r="E7" t="str">
        <x:v>Cơ chế tạo lập-bảo hộ-khai thác</x:v>
      </x:c>
      <x:c r="F7" t="str">
        <x:v>Chọn case theo logic khác biệt, không nhằm đại diện thống kê.</x:v>
      </x:c>
    </x:row>
    <x:row r="8">
      <x:c r="A8" t="str">
        <x:v>5. Phỏng vấn bán cấu trúc</x:v>
      </x:c>
      <x:c r="B8" t="str">
        <x:v>5-7 người để xác minh quy trình thực tế, bottleneck và nguyên nhân.</x:v>
      </x:c>
      <x:c r="C8" t="str">
        <x:v>Phòng KHCN, chủ nhiệm/tác giả, lãnh đạo/chuyên gia</x:v>
      </x:c>
      <x:c r="D8" t="str">
        <x:v>Người cung cấp thông tin/case</x:v>
      </x:c>
      <x:c r="E8" t="str">
        <x:v>Giải thích nguyên nhân và process map</x:v>
      </x:c>
      <x:c r="F8" t="str">
        <x:v>Không xử lý như khảo sát định lượng; không cần SPSS/SEM.</x:v>
      </x:c>
    </x:row>
    <x:row r="9">
      <x:c r="A9" t="str">
        <x:v>6. Phương pháp chuyên gia</x:v>
      </x:c>
      <x:c r="B9" t="str">
        <x:v>Thẩm định bộ tiêu chí ưu tiên IP, giải pháp và KPI.</x:v>
      </x:c>
      <x:c r="C9" t="str">
        <x:v>3-5 chuyên gia phù hợp</x:v>
      </x:c>
      <x:c r="D9" t="str">
        <x:v>Giải pháp/tiêu chí</x:v>
      </x:c>
      <x:c r="E9" t="str">
        <x:v>Tính phù hợp, khả thi, rủi ro</x:v>
      </x:c>
      <x:c r="F9" t="str">
        <x:v>Có thể lồng với phỏng vấn chuyên gia; không nhất thiết AHP nếu đề tài muốn gọn.</x:v>
      </x:c>
    </x:row>
    <x:row r="10">
      <x:c r="A10" t="str">
        <x:v>7. Thống kê mô tả</x:v>
      </x:c>
      <x:c r="B10" t="str">
        <x:v>Tính số lượng, cơ cấu, tỷ lệ theo năm, đơn vị, strategic cluster và trạng thái vòng đời.</x:v>
      </x:c>
      <x:c r="C10" t="str">
        <x:v>Master Dataset</x:v>
      </x:c>
      <x:c r="D10" t="str">
        <x:v>Dòng dữ liệu</x:v>
      </x:c>
      <x:c r="E10" t="str">
        <x:v>Bảng/biểu đồ thực trạng</x:v>
      </x:c>
      <x:c r="F10" t="str">
        <x:v>Chỉ tính conversion rate khi mẫu số và trạng thái được xác định đáng tin cậy.</x:v>
      </x:c>
    </x:row>
  </x:sheetData>
  <x:mergeCells>
    <x:mergeCell ref="A1:F1"/>
  </x:mergeCells>
  <x:pageMargins left="0.7" right="0.7" top="0.75" bottom="0.75" header="0.3" footer="0.3"/>
  <x:tableParts count="1">
    <x:tablePart xmlns:r="http://schemas.openxmlformats.org/officeDocument/2006/relationships" r:id="R745b50fd7b394ee4"/>
  </x:tableParts>
</x:worksheet>
</file>

<file path=xl/worksheets/sheet27.xml><?xml version="1.0" encoding="utf-8"?>
<x:worksheet xmlns:x="http://schemas.openxmlformats.org/spreadsheetml/2006/main">
  <x:sheetFormatPr defaultRowHeight="15"/>
  <x:cols>
    <x:col min="1" max="1" width="9" hidden="0" customWidth="1"/>
    <x:col min="2" max="2" width="36" hidden="0" customWidth="1"/>
    <x:col min="3" max="3" width="46" hidden="0" customWidth="1"/>
    <x:col min="4" max="4" width="40" hidden="0" customWidth="1"/>
    <x:col min="5" max="5" width="46" hidden="0" customWidth="1"/>
    <x:col min="6" max="6" width="56" hidden="0" customWidth="1"/>
    <x:col min="7" max="7" width="54" hidden="0" customWidth="1"/>
    <x:col min="8" max="8" width="42" hidden="0" customWidth="1"/>
  </x:cols>
  <x:sheetData>
    <x:row r="1">
      <x:c r="A1" s="75" t="str">
        <x:v>CHƯƠNG 2 – THỰC TRẠNG QUẢN LÝ QUYỀN SHTT TẠI TRƯỜNG ĐẠI HỌC THÀNH ĐÔ</x:v>
      </x:c>
      <x:c r="B1" s="75"/>
      <x:c r="C1" s="75"/>
      <x:c r="D1" s="75"/>
      <x:c r="E1" s="75"/>
      <x:c r="F1" s="75"/>
      <x:c r="G1" s="75"/>
      <x:c r="H1" s="75"/>
    </x:row>
    <x:row r="3">
      <x:c r="A3" s="74" t="str">
        <x:v>Mục</x:v>
      </x:c>
      <x:c r="B3" s="74" t="str">
        <x:v>Tên mục đề xuất</x:v>
      </x:c>
      <x:c r="C3" s="74" t="str">
        <x:v>Câu hỏi phải trả lời</x:v>
      </x:c>
      <x:c r="D3" s="74" t="str">
        <x:v>Dữ liệu sử dụng</x:v>
      </x:c>
      <x:c r="E3" s="74" t="str">
        <x:v>Bảng/biểu đồ chính</x:v>
      </x:c>
      <x:c r="F3" s="74" t="str">
        <x:v>Phát hiện dự kiến</x:v>
      </x:c>
      <x:c r="G3" s="74" t="str">
        <x:v>Mức kết luận cho phép</x:v>
      </x:c>
      <x:c r="H3" s="74" t="str">
        <x:v>Ghi chú viết</x:v>
      </x:c>
    </x:row>
    <x:row r="4">
      <x:c r="A4" t="str">
        <x:v>2.1</x:v>
      </x:c>
      <x:c r="B4" t="str">
        <x:v>Khái quát bối cảnh quản lý KHCN và SHTT của Trường</x:v>
      </x:c>
      <x:c r="C4" t="str">
        <x:v>Hệ thống văn bản, chủ thể và phạm vi quản lý TSTT của Trường được thiết kế như thế nào?</x:v>
      </x:c>
      <x:c r="D4" t="str">
        <x:v>QĐ 213/QĐ-ĐHTĐ năm 2021; QĐ 217/QĐ-ĐHTĐ ngày 21/11/2024; hồ sơ đề tài</x:v>
      </x:c>
      <x:c r="E4" t="str">
        <x:v>Bảng 2.1 – Hệ thống văn bản và chức năng quản trị SHTT</x:v>
      </x:c>
      <x:c r="F4" t="str">
        <x:v>Từ 21/11/2024 Trường có Quy chế chuyên biệt về quản trị TSTT bên cạnh Quy chế KHCN 2021.</x:v>
      </x:c>
      <x:c r="G4" t="str">
        <x:v>Mô tả thể chế; chưa đánh giá hiệu quả ở mục này.</x:v>
      </x:c>
      <x:c r="H4" t="str">
        <x:v>Viết ngắn, làm nền cho các mục sau.</x:v>
      </x:c>
    </x:row>
    <x:row r="5">
      <x:c r="A5" t="str">
        <x:v>2.2</x:v>
      </x:c>
      <x:c r="B5" t="str">
        <x:v>Năng lực tạo ra kết quả KHCN và TSTT tiềm năng</x:v>
      </x:c>
      <x:c r="C5" t="str">
        <x:v>Giai đoạn 2021–2025 Trường tạo ra bao nhiêu đề tài, đầu ra và nhóm tài sản có tiềm năng quản trị IP?</x:v>
      </x:c>
      <x:c r="D5" t="str">
        <x:v>01_PROJECT_ALL; 02_OUTPUT_ALL; 03_IP_PRIORITY_ALL</x:v>
      </x:c>
      <x:c r="E5" t="str">
        <x:v>Bảng 2.2 – Đề tài/đầu ra theo năm; Hình 2.1 – Output→IP priority funnel</x:v>
      </x:c>
      <x:c r="F5" t="str">
        <x:v>38 đề tài được kiểm kê, 90 dòng đầu ra; 26 đầu ra cần quản trị IP sâu hơn, trong đó 15 mức ưu tiên cao.</x:v>
      </x:c>
      <x:c r="G5" t="str">
        <x:v>Chỉ gọi là 'đầu ra cần quản trị/sàng lọc IP', không gọi là 26 đối tượng đủ điều kiện bảo hộ.</x:v>
      </x:c>
      <x:c r="H5" t="str">
        <x:v>Phân biệt rõ output và legally protectable IP.</x:v>
      </x:c>
    </x:row>
    <x:row r="6">
      <x:c r="A6" t="str">
        <x:v>2.3</x:v>
      </x:c>
      <x:c r="B6" t="str">
        <x:v>Cơ cấu TSTT và văn bằng/đơn SHTT của Trường</x:v>
      </x:c>
      <x:c r="C6" t="str">
        <x:v>Portfolio SHTT trực tiếp của ĐHTĐ có cơ cấu ra sao theo loại quyền và trạng thái?</x:v>
      </x:c>
      <x:c r="D6" t="str">
        <x:v>13B_PROTECTION_FULL; danh sách SHTT do Trường cung cấp</x:v>
      </x:c>
      <x:c r="E6" t="str">
        <x:v>Bảng 2.3 – Cơ cấu portfolio; Hình 2.2 – Cơ cấu quyền theo loại hình</x:v>
      </x:c>
      <x:c r="F6" t="str">
        <x:v>Có 12 đối tượng ĐHTĐ sở hữu/đồng sở hữu trong danh sách nguồn; 11 thuộc 2021–2025; 9 có số đăng ký/văn bằng/ký hiệu, 1 ở trạng thái tiếp nhận đơn, 1 sáng chế 2025 chưa có số trong danh sách.</x:v>
      </x:c>
      <x:c r="G6" t="str">
        <x:v>Không gộp tài sản UNIGO/cá nhân vào portfolio trực tiếp ĐHTĐ; không mặc nhiên coi mục không có số là đã cấp.</x:v>
      </x:c>
      <x:c r="H6" t="str">
        <x:v>Đây là phần thống kê quyền đã quan sát được.</x:v>
      </x:c>
    </x:row>
    <x:row r="7">
      <x:c r="A7" t="str">
        <x:v>2.4</x:v>
      </x:c>
      <x:c r="B7" t="str">
        <x:v>Thực trạng nhận diện, xác lập và bảo vệ quyền SHTT</x:v>
      </x:c>
      <x:c r="C7" t="str">
        <x:v>Quy trình chính thức yêu cầu gì và hồ sơ thực tế cho phép truy vết đến đâu?</x:v>
      </x:c>
      <x:c r="D7" t="str">
        <x:v>17_LEGAL_PRACTICE_MATRIX; 11_DATA_REQUEST; 16_VERIFICATION_FINDINGS</x:v>
      </x:c>
      <x:c r="E7" t="str">
        <x:v>Bảng 2.4 – Normative requirement vs evidence; Hình 2.3 – Process traceability gap</x:v>
      </x:c>
      <x:c r="F7" t="str">
        <x:v>Có quy định về nhận diện/kê khai, công bố trước bảo hộ và quy trình đăng ký; nhưng chưa có bằng chứng tài liệu hóa disclosure và screening trong bộ hồ sơ hiện có.</x:v>
      </x:c>
      <x:c r="G7" t="str">
        <x:v>Kết luận về 'documentation gap'; chỉ nâng lên 'activity gap' nếu phỏng vấn xác nhận hoạt động thực tế không diễn ra.</x:v>
      </x:c>
      <x:c r="H7" t="str">
        <x:v>Đây là mục trung tâm của chương.</x:v>
      </x:c>
    </x:row>
    <x:row r="8">
      <x:c r="A8" t="str">
        <x:v>2.5</x:v>
      </x:c>
      <x:c r="B8" t="str">
        <x:v>Thực trạng ứng dụng, chuyển giao và thương mại hóa</x:v>
      </x:c>
      <x:c r="C8" t="str">
        <x:v>Các kết quả/TSTT đã được sử dụng hay khai thác như thế nào và bằng chứng ở mức nào?</x:v>
      </x:c>
      <x:c r="D8" t="str">
        <x:v>02_OUTPUT_ALL; 05_UTIL_VALUE; hồ sơ nghiệm thu; 17_LEGAL_PRACTICE_MATRIX</x:v>
      </x:c>
      <x:c r="E8" t="str">
        <x:v>Bảng 2.5 – Dấu hiệu ứng dụng; Hình 2.4 – Protection→Use evidence ladder</x:v>
      </x:c>
      <x:c r="F8" t="str">
        <x:v>Hồ sơ có 25 dòng đầu ra ghi dấu hiệu ứng dụng và 18/38 đề tài có ít nhất một dấu hiệu ứng dụng; tuy nhiên chưa có hồ sơ hợp đồng chuyển giao/cấp phép/thương mại hóa trong bộ dữ liệu hiện có.</x:v>
      </x:c>
      <x:c r="G8" t="str">
        <x:v>Không gọi dấu hiệu ứng dụng là commercialization; không tính doanh thu nếu không có chứng từ.</x:v>
      </x:c>
      <x:c r="H8" t="str">
        <x:v>Tách application, internal use, transfer, commercialization.</x:v>
      </x:c>
    </x:row>
    <x:row r="9">
      <x:c r="A9" t="str">
        <x:v>2.6</x:v>
      </x:c>
      <x:c r="B9" t="str">
        <x:v>Phân tích các trường hợp điển hình theo chuỗi hình thành–bảo hộ–khai thác</x:v>
      </x:c>
      <x:c r="C9" t="str">
        <x:v>Tại sao có tài sản đi từ nghiên cứu tới bảo hộ, trong khi tài sản khác dừng ở prototype/quy trình?</x:v>
      </x:c>
      <x:c r="D9" t="str">
        <x:v>19_CASE_TRACE; 18_INTERVIEW_GUIDE; 14_PROJECT_PROTECTION_LINK</x:v>
      </x:c>
      <x:c r="E9" t="str">
        <x:v>Bảng 2.6 – Timeline 6 case; Hình 2.5 – Case comparison matrix</x:v>
      </x:c>
      <x:c r="F9" t="str">
        <x:v>Tinh dầu vỏ bưởi và Quế hoa là hai case có liên kết đề tài↔bảo hộ mạnh; xà phòng/cồn/viên ngậm/panel là case so sánh để nhận diện bottleneck.</x:v>
      </x:c>
      <x:c r="G9" t="str">
        <x:v>Kết luận cơ chế chỉ sau khi có phỏng vấn xác minh.</x:v>
      </x:c>
      <x:c r="H9" t="str">
        <x:v>Dùng process tracing, không đại diện thống kê.</x:v>
      </x:c>
    </x:row>
    <x:row r="10">
      <x:c r="A10" t="str">
        <x:v>2.7</x:v>
      </x:c>
      <x:c r="B10" t="str">
        <x:v>Đối sánh pháp luật/quy chế với thực tiễn quản trị</x:v>
      </x:c>
      <x:c r="C10" t="str">
        <x:v>Khoảng cách nào là thể chế, quy trình, dữ liệu hay thực thi?</x:v>
      </x:c>
      <x:c r="D10" t="str">
        <x:v>17_LEGAL_PRACTICE_MATRIX; QĐ 213; QĐ 217</x:v>
      </x:c>
      <x:c r="E10" t="str">
        <x:v>Bảng 2.7 – Gap matrix xếp hạng rủi ro</x:v>
      </x:c>
      <x:c r="F10" t="str">
        <x:v>Ba gap nổi bật: disclosure/identification, screening/decision documentation, transfer/commercialization evidence; thêm gap về lifecycle database.</x:v>
      </x:c>
      <x:c r="G10" t="str">
        <x:v>Phân biệt documentation gap và activity gap.</x:v>
      </x:c>
      <x:c r="H10" t="str">
        <x:v>Nên xếp rủi ro Rất cao/Cao/Trung bình.</x:v>
      </x:c>
    </x:row>
    <x:row r="11">
      <x:c r="A11" t="str">
        <x:v>2.8</x:v>
      </x:c>
      <x:c r="B11" t="str">
        <x:v>Đánh giá chung về hiệu quả quản lý quyền SHTT</x:v>
      </x:c>
      <x:c r="C11" t="str">
        <x:v>Điểm mạnh, hạn chế và nguyên nhân cốt lõi là gì?</x:v>
      </x:c>
      <x:c r="D11" t="str">
        <x:v>Tổng hợp 2.1–2.7 + phỏng vấn/chuyên gia</x:v>
      </x:c>
      <x:c r="E11" t="str">
        <x:v>Bảng 2.8 – Strengths/weaknesses/causes; Hình 2.6 – Bottleneck map</x:v>
      </x:c>
      <x:c r="F11" t="str">
        <x:v>Điểm mạnh: đã có khung thể chế và portfolio quyền; hạn chế chính dự kiến nằm ở khả năng truy vết quy trình và bằng chứng khai thác giá trị.</x:v>
      </x:c>
      <x:c r="G11" t="str">
        <x:v>Nguyên nhân chỉ viết khi có dữ liệu phỏng vấn/chuyên gia; chưa suy đoán từ hồ sơ.</x:v>
      </x:c>
      <x:c r="H11" t="str">
        <x:v>Là cầu nối sang Chương 3 giải pháp.</x:v>
      </x:c>
    </x:row>
  </x:sheetData>
  <x:mergeCells>
    <x:mergeCell ref="A1:H1"/>
  </x:mergeCells>
  <x:pageMargins left="0.7" right="0.7" top="0.75" bottom="0.75" header="0.3" footer="0.3"/>
  <x:tableParts count="1">
    <x:tablePart xmlns:r="http://schemas.openxmlformats.org/officeDocument/2006/relationships" r:id="R3977c32f7d7b486b"/>
  </x:tableParts>
</x:worksheet>
</file>

<file path=xl/worksheets/sheet28.xml><?xml version="1.0" encoding="utf-8"?>
<x:worksheet xmlns:x="http://schemas.openxmlformats.org/spreadsheetml/2006/main">
  <x:sheetFormatPr defaultRowHeight="15"/>
  <x:cols>
    <x:col min="1" max="1" width="10" hidden="0" customWidth="1"/>
    <x:col min="2" max="2" width="14" hidden="0" customWidth="1"/>
    <x:col min="3" max="3" width="48" hidden="0" customWidth="1"/>
    <x:col min="4" max="4" width="38" hidden="0" customWidth="1"/>
    <x:col min="5" max="5" width="44" hidden="0" customWidth="1"/>
    <x:col min="6" max="6" width="58" hidden="0" customWidth="1"/>
    <x:col min="7" max="7" width="14" hidden="0" customWidth="1"/>
  </x:cols>
  <x:sheetData>
    <x:row r="1">
      <x:c r="A1" s="74" t="str">
        <x:v>ID</x:v>
      </x:c>
      <x:c r="B1" s="74" t="str">
        <x:v>Loại</x:v>
      </x:c>
      <x:c r="C1" s="74" t="str">
        <x:v>Tên đề xuất</x:v>
      </x:c>
      <x:c r="D1" s="74" t="str">
        <x:v>Nguồn dữ liệu</x:v>
      </x:c>
      <x:c r="E1" s="74" t="str">
        <x:v>Biến/công thức</x:v>
      </x:c>
      <x:c r="F1" s="74" t="str">
        <x:v>Thông điệp chính</x:v>
      </x:c>
      <x:c r="G1" s="74" t="str">
        <x:v>Mức ưu tiên</x:v>
      </x:c>
    </x:row>
    <x:row r="2">
      <x:c r="A2" t="str">
        <x:v>B2.1</x:v>
      </x:c>
      <x:c r="B2" t="str">
        <x:v>Bảng</x:v>
      </x:c>
      <x:c r="C2" t="str">
        <x:v>Hệ thống văn bản nội bộ điều chỉnh quản lý SHTT</x:v>
      </x:c>
      <x:c r="D2" t="str">
        <x:v>QĐ 213; QĐ 217</x:v>
      </x:c>
      <x:c r="E2" t="str">
        <x:v>Văn bản – phạm vi – chủ thể – nội dung – hiệu lực</x:v>
      </x:c>
      <x:c r="F2" t="str">
        <x:v>Khung thể chế đã chuyển từ quy định SHTT trong Quy chế KHCN sang Quy chế quản trị TSTT chuyên biệt từ 21/11/2024.</x:v>
      </x:c>
      <x:c r="G2" t="str">
        <x:v>Bắt buộc</x:v>
      </x:c>
    </x:row>
    <x:row r="3">
      <x:c r="A3" t="str">
        <x:v>B2.2</x:v>
      </x:c>
      <x:c r="B3" t="str">
        <x:v>Bảng</x:v>
      </x:c>
      <x:c r="C3" t="str">
        <x:v>Số đề tài và đầu ra KHCN theo năm 2021–2025</x:v>
      </x:c>
      <x:c r="D3" t="str">
        <x:v>01_PROJECT_ALL; 02_OUTPUT_ALL</x:v>
      </x:c>
      <x:c r="E3" t="str">
        <x:v>COUNT theo năm</x:v>
      </x:c>
      <x:c r="F3" t="str">
        <x:v>Cho thấy quy mô nguồn tạo tri thức trước khi nói về bảo hộ.</x:v>
      </x:c>
      <x:c r="G3" t="str">
        <x:v>Bắt buộc</x:v>
      </x:c>
    </x:row>
    <x:row r="4">
      <x:c r="A4" t="str">
        <x:v>H2.1</x:v>
      </x:c>
      <x:c r="B4" t="str">
        <x:v>Biểu đồ</x:v>
      </x:c>
      <x:c r="C4" t="str">
        <x:v>Phễu kết quả KHCN → đầu ra ưu tiên IP</x:v>
      </x:c>
      <x:c r="D4" t="str">
        <x:v>02_OUTPUT_ALL</x:v>
      </x:c>
      <x:c r="E4" t="str">
        <x:v>90 output → 26 medium/high → 15 high</x:v>
      </x:c>
      <x:c r="F4" t="str">
        <x:v>Minh họa chênh lệch giữa tổng output và nhóm cần quản trị IP sâu.</x:v>
      </x:c>
      <x:c r="G4" t="str">
        <x:v>Bắt buộc</x:v>
      </x:c>
    </x:row>
    <x:row r="5">
      <x:c r="A5" t="str">
        <x:v>B2.3</x:v>
      </x:c>
      <x:c r="B5" t="str">
        <x:v>Bảng</x:v>
      </x:c>
      <x:c r="C5" t="str">
        <x:v>Danh mục và cơ cấu TSTT trực tiếp của ĐHTĐ</x:v>
      </x:c>
      <x:c r="D5" t="str">
        <x:v>13B_PROTECTION_FULL</x:v>
      </x:c>
      <x:c r="E5" t="str">
        <x:v>Lọc Chủ sở hữu có ĐHTĐ</x:v>
      </x:c>
      <x:c r="F5" t="str">
        <x:v>Phân biệt rõ quyền của Trường với tài sản hệ sinh thái/cá nhân.</x:v>
      </x:c>
      <x:c r="G5" t="str">
        <x:v>Bắt buộc</x:v>
      </x:c>
    </x:row>
    <x:row r="6">
      <x:c r="A6" t="str">
        <x:v>H2.2</x:v>
      </x:c>
      <x:c r="B6" t="str">
        <x:v>Biểu đồ</x:v>
      </x:c>
      <x:c r="C6" t="str">
        <x:v>Cơ cấu portfolio SHTT theo loại hình</x:v>
      </x:c>
      <x:c r="D6" t="str">
        <x:v>13B_PROTECTION_FULL</x:v>
      </x:c>
      <x:c r="E6" t="str">
        <x:v>COUNT QTG/Nhãn hiệu/KDCN/Sáng chế</x:v>
      </x:c>
      <x:c r="F6" t="str">
        <x:v>Portfolio hiện quan sát được thiên về thương hiệu/KDCN bên cạnh tài sản công nghệ.</x:v>
      </x:c>
      <x:c r="G6" t="str">
        <x:v>Nên có</x:v>
      </x:c>
    </x:row>
    <x:row r="7">
      <x:c r="A7" t="str">
        <x:v>B2.4</x:v>
      </x:c>
      <x:c r="B7" t="str">
        <x:v>Bảng</x:v>
      </x:c>
      <x:c r="C7" t="str">
        <x:v>Đối sánh yêu cầu quản trị với bằng chứng thực tế</x:v>
      </x:c>
      <x:c r="D7" t="str">
        <x:v>17_LEGAL_PRACTICE_MATRIX</x:v>
      </x:c>
      <x:c r="E7" t="str">
        <x:v>Chuẩn – evidence – gap – risk</x:v>
      </x:c>
      <x:c r="F7" t="str">
        <x:v>Bảng trung tâm chứng minh documentation/process gap.</x:v>
      </x:c>
      <x:c r="G7" t="str">
        <x:v>Bắt buộc</x:v>
      </x:c>
    </x:row>
    <x:row r="8">
      <x:c r="A8" t="str">
        <x:v>H2.3</x:v>
      </x:c>
      <x:c r="B8" t="str">
        <x:v>Sơ đồ</x:v>
      </x:c>
      <x:c r="C8" t="str">
        <x:v>Chuỗi quản trị và điểm đứt gãy khả năng truy vết</x:v>
      </x:c>
      <x:c r="D8" t="str">
        <x:v>17_LEGAL_PRACTICE_MATRIX</x:v>
      </x:c>
      <x:c r="E8" t="str">
        <x:v>Research output→identify→screen→file→protect→use→commercialize</x:v>
      </x:c>
      <x:c r="F8" t="str">
        <x:v>Làm rõ 'có đầu ra và quyền nhưng thiếu hồ sơ trung gian'.</x:v>
      </x:c>
      <x:c r="G8" t="str">
        <x:v>Bắt buộc</x:v>
      </x:c>
    </x:row>
    <x:row r="9">
      <x:c r="A9" t="str">
        <x:v>B2.5</x:v>
      </x:c>
      <x:c r="B9" t="str">
        <x:v>Bảng</x:v>
      </x:c>
      <x:c r="C9" t="str">
        <x:v>Dấu hiệu ứng dụng của kết quả nghiên cứu</x:v>
      </x:c>
      <x:c r="D9" t="str">
        <x:v>02_OUTPUT_ALL</x:v>
      </x:c>
      <x:c r="E9" t="str">
        <x:v>COUNT cột dấu hiệu ứng dụng; phân loại loại đầu ra</x:v>
      </x:c>
      <x:c r="F9" t="str">
        <x:v>Ứng dụng tồn tại ở mức dấu hiệu nhưng chưa tương đương chuyển giao/thương mại hóa.</x:v>
      </x:c>
      <x:c r="G9" t="str">
        <x:v>Bắt buộc</x:v>
      </x:c>
    </x:row>
    <x:row r="10">
      <x:c r="A10" t="str">
        <x:v>B2.6</x:v>
      </x:c>
      <x:c r="B10" t="str">
        <x:v>Bảng</x:v>
      </x:c>
      <x:c r="C10" t="str">
        <x:v>So sánh 6 case process tracing</x:v>
      </x:c>
      <x:c r="D10" t="str">
        <x:v>19_CASE_TRACE</x:v>
      </x:c>
      <x:c r="E10" t="str">
        <x:v>Timeline từng case</x:v>
      </x:c>
      <x:c r="F10" t="str">
        <x:v>Giải thích cơ chế khác biệt giữa case bảo hộ và chưa nối được bảo hộ.</x:v>
      </x:c>
      <x:c r="G10" t="str">
        <x:v>Bắt buộc</x:v>
      </x:c>
    </x:row>
    <x:row r="11">
      <x:c r="A11" t="str">
        <x:v>H2.4</x:v>
      </x:c>
      <x:c r="B11" t="str">
        <x:v>Biểu đồ</x:v>
      </x:c>
      <x:c r="C11" t="str">
        <x:v>Ma trận mức ưu tiên IP × bằng chứng ứng dụng</x:v>
      </x:c>
      <x:c r="D11" t="str">
        <x:v>03_IP_PRIORITY_ALL; 02_OUTPUT_ALL</x:v>
      </x:c>
      <x:c r="E11" t="str">
        <x:v>Priority vs application evidence</x:v>
      </x:c>
      <x:c r="F11" t="str">
        <x:v>Chọn tài sản ưu tiên cho giải pháp quản trị sau này.</x:v>
      </x:c>
      <x:c r="G11" t="str">
        <x:v>Nên có</x:v>
      </x:c>
    </x:row>
    <x:row r="12">
      <x:c r="A12" t="str">
        <x:v>B2.7</x:v>
      </x:c>
      <x:c r="B12" t="str">
        <x:v>Bảng</x:v>
      </x:c>
      <x:c r="C12" t="str">
        <x:v>Tổng hợp khoảng cách và mức rủi ro</x:v>
      </x:c>
      <x:c r="D12" t="str">
        <x:v>17_LEGAL_PRACTICE_MATRIX</x:v>
      </x:c>
      <x:c r="E12" t="str">
        <x:v>COUNT theo gap type/risk</x:v>
      </x:c>
      <x:c r="F12" t="str">
        <x:v>Ưu tiên giải pháp theo mức độ rủi ro quản trị.</x:v>
      </x:c>
      <x:c r="G12" t="str">
        <x:v>Bắt buộc</x:v>
      </x:c>
    </x:row>
  </x:sheetData>
  <x:pageMargins left="0.7" right="0.7" top="0.75" bottom="0.75" header="0.3" footer="0.3"/>
  <x:tableParts count="1">
    <x:tablePart xmlns:r="http://schemas.openxmlformats.org/officeDocument/2006/relationships" r:id="R8390ed4e80594b3a"/>
  </x:tableParts>
</x:worksheet>
</file>

<file path=xl/worksheets/sheet29.xml><?xml version="1.0" encoding="utf-8"?>
<x:worksheet xmlns:x="http://schemas.openxmlformats.org/spreadsheetml/2006/main">
  <x:sheetFormatPr defaultRowHeight="15"/>
  <x:cols>
    <x:col min="1" max="1" width="9" hidden="0" customWidth="1"/>
    <x:col min="2" max="2" width="8" hidden="0" customWidth="1"/>
    <x:col min="3" max="3" width="110" hidden="0" customWidth="1"/>
    <x:col min="4" max="4" width="48" hidden="0" customWidth="1"/>
  </x:cols>
  <x:sheetData>
    <x:row r="1">
      <x:c r="A1" s="75" t="str">
        <x:v>BẢN NHÁP NỘI DUNG CHƯƠNG 2 – 2.1 ĐẾN 2.4</x:v>
      </x:c>
      <x:c r="B1" s="75"/>
      <x:c r="C1" s="75"/>
      <x:c r="D1" s="75"/>
    </x:row>
    <x:row r="3">
      <x:c r="A3" s="74" t="str">
        <x:v>Mục</x:v>
      </x:c>
      <x:c r="B3" s="74" t="str">
        <x:v>Đoạn</x:v>
      </x:c>
      <x:c r="C3" s="74" t="str">
        <x:v>Nội dung nháp</x:v>
      </x:c>
      <x:c r="D3" s="74" t="str">
        <x:v>Nguồn phải trích khi viết báo cáo</x:v>
      </x:c>
    </x:row>
    <x:row r="4">
      <x:c r="A4" t="str">
        <x:v>2.1</x:v>
      </x:c>
      <x:c r="B4" t="str">
        <x:v>1</x:v>
      </x:c>
      <x:c r="C4" t="str">
        <x:v>Giai đoạn nghiên cứu cho thấy quản lý quyền sở hữu trí tuệ tại Trường Đại học Thành Đô được đặt trong hai lớp thể chế nội bộ. Quy chế hoạt động khoa học và công nghệ năm 2021 đã dành Chương VI cho sở hữu trí tuệ và chuyển giao công nghệ, trong đó xác định quyền SHTT đối với kết quả đề tài thuộc Trường, quy định trách nhiệm của tác giả, quyền nộp đơn, bảo mật và cơ chế chuyển giao. Từ ngày 21/11/2024, Trường ban hành Quy chế quản trị Tài sản trí tuệ theo QĐ 217/QĐ-ĐHTĐ, mở rộng phạm vi quản trị từ khâu tạo lập, xác lập, bảo vệ đến khai thác thương mại TSTT.</x:v>
      </x:c>
      <x:c r="D4" t="str">
        <x:v>QĐ 213/QĐ-ĐHTĐ 2021; QĐ 217/QĐ-ĐHTĐ ngày 21/11/2024</x:v>
      </x:c>
    </x:row>
    <x:row r="5">
      <x:c r="A5" t="str">
        <x:v>2.1</x:v>
      </x:c>
      <x:c r="B5" t="str">
        <x:v>2</x:v>
      </x:c>
      <x:c r="C5" t="str">
        <x:v>So với Quy chế KHCN 2021, Quy chế quản trị TSTT năm 2024 có phạm vi tài sản rộng hơn, bao gồm không chỉ sáng chế, kiểu dáng và nhãn hiệu mà còn công bố nghiên cứu, dữ liệu, học liệu, phần mềm, thông tin kỹ thuật, bí quyết, hình ảnh và thương hiệu của Trường. Điều này tạo cơ sở để đánh giá TSTT của Trường theo logic portfolio thay vì chỉ thống kê văn bằng bảo hộ.</x:v>
      </x:c>
      <x:c r="D5" t="str">
        <x:v>QC quản trị TSTT – Điều 2-3</x:v>
      </x:c>
    </x:row>
    <x:row r="6">
      <x:c r="A6" t="str">
        <x:v>2.2</x:v>
      </x:c>
      <x:c r="B6" t="str">
        <x:v>1</x:v>
      </x:c>
      <x:c r="C6" t="str">
        <x:v>Trên cơ sở kiểm kê hồ sơ đề tài cấp cơ sở giai đoạn 2021–2025, nghiên cứu chuẩn hóa được 38 đề tài và bóc tách thành 90 dòng đầu ra. Các đầu ra không chỉ gồm báo cáo và bài báo mà còn có mô hình, bộ mẫu, tiêu bản, quy trình, công thức, sản phẩm thử nghiệm và các giải pháp ứng dụng. Cách tiếp cận này cho phép tách rõ 'nhiệm vụ nghiên cứu' khỏi 'tài sản/kết quả do nhiệm vụ tạo ra'.</x:v>
      </x:c>
      <x:c r="D6" t="str">
        <x:v>Tổng hợp đề tài KHCN cấp cơ sở của GV 2021-2025; Master Dataset</x:v>
      </x:c>
    </x:row>
    <x:row r="7">
      <x:c r="A7" t="str">
        <x:v>2.2</x:v>
      </x:c>
      <x:c r="B7" t="str">
        <x:v>2</x:v>
      </x:c>
      <x:c r="C7" t="str">
        <x:v>Từ 90 đầu ra, 26 đầu ra được xếp vào nhóm cần quản trị hoặc sàng lọc IP sâu hơn, trong đó 15 đầu ra ở mức ưu tiên cao. Nhóm ưu tiên cao chủ yếu là prototype, sản phẩm vật chất, công thức, quy trình và kết quả có dấu hiệu liên quan đến bảo hộ hoặc khai thác. Con số này không được hiểu là 26 đối tượng chắc chắn đáp ứng điều kiện bảo hộ, mà là danh mục ứng viên cần được đánh giá chuyên môn và pháp lý.</x:v>
      </x:c>
      <x:c r="D7" t="str">
        <x:v>02_OUTPUT_ALL; 03_IP_PRIORITY_ALL</x:v>
      </x:c>
    </x:row>
    <x:row r="8">
      <x:c r="A8" t="str">
        <x:v>2.3</x:v>
      </x:c>
      <x:c r="B8" t="str">
        <x:v>1</x:v>
      </x:c>
      <x:c r="C8" t="str">
        <x:v>Danh sách SHTT do Trường cung cấp cho thấy 16 đối tượng trong toàn bộ nguồn, nhưng sau khi phân loại theo chủ sở hữu chỉ có 12 đối tượng mà ĐHTĐ là chủ sở hữu hoặc đồng sở hữu. Trong số này, 11 đối tượng thuộc giai đoạn 2021–2025. Nghiên cứu không gộp các tài sản do Công ty/Trường UNIGO hoặc cá nhân sở hữu vào portfolio trực tiếp của ĐHTĐ.</x:v>
      </x:c>
      <x:c r="D8" t="str">
        <x:v>Danh sách thống kê văn bằng SHTT do Trường cung cấp; 13B_PROTECTION_FULL</x:v>
      </x:c>
    </x:row>
    <x:row r="9">
      <x:c r="A9" t="str">
        <x:v>2.3</x:v>
      </x:c>
      <x:c r="B9" t="str">
        <x:v>2</x:v>
      </x:c>
      <x:c r="C9" t="str">
        <x:v>Trong 11 đối tượng trực tiếp của ĐHTĐ giai đoạn 2021–2025, 9 đối tượng có số đăng ký, văn bằng hoặc ký mã hiệu trong danh sách nguồn; nhãn hiệu Double2n được ghi ở trạng thái 'Tiếp nhận đơn', còn sáng chế liên quan đến lá Quế hoa năm 2025 chưa thể hiện số đơn/văn bằng trong danh sách. Vì vậy, hai trường hợp sau không được nghiên cứu mặc nhiên xem là quyền đã được cấp.</x:v>
      </x:c>
      <x:c r="D9" t="str">
        <x:v>13B_PROTECTION_FULL</x:v>
      </x:c>
    </x:row>
    <x:row r="10">
      <x:c r="A10" t="str">
        <x:v>2.4</x:v>
      </x:c>
      <x:c r="B10" t="str">
        <x:v>1</x:v>
      </x:c>
      <x:c r="C10" t="str">
        <x:v>Đối sánh giữa quy chế và hồ sơ thực tế cho thấy khoảng cách đáng chú ý nhất không nằm ở việc Trường hoàn toàn thiếu quy định, mà ở khả năng truy vết quá trình thực thi. Quy chế quản trị TSTT năm 2024 giao Phòng KHCN xây dựng quy trình, biểu mẫu ghi nhận/khai báo, nhận diện TSTT mới, lập hồ sơ thống kê và theo dõi tập trung; tuy nhiên trong bộ hồ sơ hiện có chưa ghi nhận phiếu khai báo, biên bản nhận diện hoặc sổ/CSDL disclosure tương đương.</x:v>
      </x:c>
      <x:c r="D10" t="str">
        <x:v>QĐ 217/QĐ-ĐHTĐ; 16_VERIFICATION_FINDINGS</x:v>
      </x:c>
    </x:row>
    <x:row r="11">
      <x:c r="A11" t="str">
        <x:v>2.4</x:v>
      </x:c>
      <x:c r="B11" t="str">
        <x:v>2</x:v>
      </x:c>
      <x:c r="C11" t="str">
        <x:v>Tương tự, nghiên cứu chưa ghi nhận hồ sơ sàng lọc hoặc tra cứu khả năng bảo hộ. Trong bối cảnh một số đề tài đồng thời có bài báo, công thức/quy trình mới và dự kiến đăng ký giải pháp hữu ích, việc thiếu dấu vết sàng lọc khiến nghiên cứu không thể xác định tiêu chí lựa chọn đối tượng, loại quyền và thời điểm quyết định bảo hộ. Do đó, phát hiện hiện tại nên được diễn giải là 'khoảng trống về tài liệu hóa quyết định và khả năng truy vết quy trình', chưa phải kết luận rằng hoạt động sàng lọc không từng diễn ra.</x:v>
      </x:c>
      <x:c r="D11" t="str">
        <x:v>QĐ 217/QĐ-ĐHTĐ; hồ sơ đề tài 2025; 16_VERIFICATION_FINDINGS</x:v>
      </x:c>
    </x:row>
    <x:row r="12">
      <x:c r="A12" t="str">
        <x:v>2.4</x:v>
      </x:c>
      <x:c r="B12" t="str">
        <x:v>3</x:v>
      </x:c>
      <x:c r="C12" t="str">
        <x:v>Quy chế KHCN 2021 đã quy định một quy trình đăng ký quyền SHTT từ khâu tác giả nộp đơn tại Phòng KHCN, kiểm tra hình thức, trình Hiệu trưởng ký đến nộp hồ sơ và lệ phí tại cơ quan nhà nước. Việc danh mục hiện có đã xuất hiện các đăng ký quyền tác giả, nhãn hiệu, kiểu dáng công nghiệp và sáng chế cho thấy hoạt động xác lập quyền đã tạo ra kết quả thực tế. Tuy nhiên, do thiếu dữ liệu trung gian về thời điểm tiếp nhận, sàng lọc, quyết định và nộp đơn, chưa thể tính các chỉ số như Time-to-IP hoặc tỷ lệ chuyển đổi từ TSTT tiềm năng sang đơn đăng ký.</x:v>
      </x:c>
      <x:c r="D12" t="str">
        <x:v>QĐ 213/QĐ-ĐHTĐ 2021; danh sách SHTT; Master Dataset</x:v>
      </x:c>
    </x:row>
  </x:sheetData>
  <x:mergeCells>
    <x:mergeCell ref="A1:D1"/>
  </x:mergeCells>
  <x:pageMargins left="0.7" right="0.7" top="0.75" bottom="0.75" header="0.3" footer="0.3"/>
  <x:tableParts count="1">
    <x:tablePart xmlns:r="http://schemas.openxmlformats.org/officeDocument/2006/relationships" r:id="R3740d5c2adf94e81"/>
  </x:tableParts>
</x:worksheet>
</file>