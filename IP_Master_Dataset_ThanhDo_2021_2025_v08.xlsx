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4.xml.rels" ContentType="application/vnd.openxmlformats-package.relationships+xml"/>
  <Override PartName="/xl/worksheets/_rels/sheet33.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32.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tables/table25.xml" ContentType="application/vnd.openxmlformats-officedocument.spreadsheetml.table+xml"/>
  <Override PartName="/xl/tables/table17.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2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tables/table12.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2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14.xml" ContentType="application/vnd.openxmlformats-officedocument.spreadsheetml.table+xml"/>
  <Override PartName="/xl/tables/table16.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0_CHANGELOG_v08" sheetId="2" state="visible" r:id="rId4"/>
    <sheet name="01_PROJECT_ALL" sheetId="3" state="visible" r:id="rId5"/>
    <sheet name="02_OUTPUT_ALL" sheetId="4" state="visible" r:id="rId6"/>
    <sheet name="03_IP_PRIORITY_ALL" sheetId="5" state="visible" r:id="rId7"/>
    <sheet name="13B_PROTECTION_FULL" sheetId="6" state="visible" r:id="rId8"/>
    <sheet name="08B_KPI_v08" sheetId="7" state="visible" r:id="rId9"/>
    <sheet name="24_QC_CHECKS" sheetId="8" state="visible" r:id="rId10"/>
    <sheet name="09B_MAP_LOAI_DAURA" sheetId="9" state="visible" r:id="rId11"/>
    <sheet name="06_LEGAL_GAP" sheetId="10" state="visible" r:id="rId12"/>
    <sheet name="07_CODEBOOK" sheetId="11" state="visible" r:id="rId13"/>
    <sheet name="09_LOOKUPS" sheetId="12" state="visible" r:id="rId14"/>
    <sheet name="10_CROSSLINK_STATUS" sheetId="13" state="visible" r:id="rId15"/>
    <sheet name="11_DATA_REQUEST" sheetId="14" state="visible" r:id="rId16"/>
    <sheet name="08_KPI_ALL" sheetId="15" state="visible" r:id="rId17"/>
    <sheet name="12_PUBLICATION_LINKS" sheetId="16" state="visible" r:id="rId18"/>
    <sheet name="13_PROTECTION_INVENTORY" sheetId="17" state="visible" r:id="rId19"/>
    <sheet name="14_PROJECT_PROTECTION_LINK" sheetId="18" state="visible" r:id="rId20"/>
    <sheet name="15_KNOWLEDGE_IP_CHAIN" sheetId="19" state="visible" r:id="rId21"/>
    <sheet name="16_VERIFICATION_FINDINGS" sheetId="20" state="visible" r:id="rId22"/>
    <sheet name="17_LEGAL_PRACTICE_MATRIX" sheetId="21" state="visible" r:id="rId23"/>
    <sheet name="18_INTERVIEW_GUIDE" sheetId="22" state="visible" r:id="rId24"/>
    <sheet name="19_CASE_TRACE" sheetId="23" state="visible" r:id="rId25"/>
    <sheet name="20_METHODS_REVISION" sheetId="24" state="visible" r:id="rId26"/>
    <sheet name="21_CHAPTER2_BLUEPRINT" sheetId="25" state="visible" r:id="rId27"/>
    <sheet name="22_TABLE_FIGURE_PLAN" sheetId="26" state="visible" r:id="rId28"/>
    <sheet name="23_DRAFT_2_1_2_4" sheetId="27" state="visible" r:id="rId29"/>
    <sheet name="TPL_04_PROTECTION" sheetId="28" state="visible" r:id="rId30"/>
    <sheet name="TPL_05_UTIL_VALUE" sheetId="29" state="visible" r:id="rId31"/>
    <sheet name="ZZ_CU_01_PROJECT" sheetId="30" state="visible" r:id="rId32"/>
    <sheet name="ZZ_CU_02_OUTPUT" sheetId="31" state="visible" r:id="rId33"/>
    <sheet name="ZZ_CU_03_IP_ASSET" sheetId="32" state="visible" r:id="rId34"/>
    <sheet name="ZZ_CU_08_KPI_DASHBOARD" sheetId="33" state="visible" r:id="rId3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<sst xmlns="http://schemas.openxmlformats.org/spreadsheetml/2006/main" count="5156" uniqueCount="2188">
  <si>
    <t xml:space="preserve">IP MASTER DATASET 2021–2025 – TRƯỜNG ĐẠI HỌC THÀNH ĐÔ</t>
  </si>
  <si>
    <t xml:space="preserve">Mục</t>
  </si>
  <si>
    <t xml:space="preserve">Nội dung</t>
  </si>
  <si>
    <t xml:space="preserve">Mục đích</t>
  </si>
  <si>
    <t xml:space="preserve">Khung dữ liệu phục vụ đề tài cấp cơ sở: kiểm kê kết quả KHCN → nhận diện TSTT → xác lập/bảo hộ → ứng dụng/chuyển giao → giá trị.</t>
  </si>
  <si>
    <t xml:space="preserve">Trạng thái</t>
  </si>
  <si>
    <t xml:space="preserve">Bản v0.7: hoàn thiện blueprint Chương 2, kế hoạch bảng/biểu đồ và bản nháp các mục 2.1–2.4. Cấu trúc Chương 2 đi theo logic: thể chế → năng lực tạo đầu ra/TSTT → portfolio quyền → quy trình nhận diện/bảo hộ → ứng dụng/khai thác → case tracing → gap → đánh giá chung.</t>
  </si>
  <si>
    <t xml:space="preserve">Nguyên tắc đơn vị phân tích</t>
  </si>
  <si>
    <t xml:space="preserve">PROJECT = 1 đề tài; OUTPUT = 1 đầu ra; IP_ASSET = 1 TSTT hoặc cụm TSTT; PROTECTION = 1 hồ sơ/quyền; UTILIZATION_VALUE = 1 lần/hình thức khai thác.</t>
  </si>
  <si>
    <t xml:space="preserve">Không đồng nhất</t>
  </si>
  <si>
    <t xml:space="preserve">Không coi số văn bằng bảo hộ là tổng số TSTT. TSTT tiềm năng được nhận diện trước, sau đó mới xét hình thức quyền phù hợp.</t>
  </si>
  <si>
    <t xml:space="preserve">Mã thiếu dữ liệu</t>
  </si>
  <si>
    <t xml:space="preserve">Để trống = chưa có bằng chứng; 'Chưa xác minh' = có dấu hiệu nhưng chưa đủ hồ sơ; không suy diễn từ tên đề tài.</t>
  </si>
  <si>
    <t xml:space="preserve">Nguồn chính</t>
  </si>
  <si>
    <t xml:space="preserve">Tổng hợp đề tài KHCN cấp cơ sở của GV 2021–2025; Quy chế hoạt động KHCN 2021; Quy chế quản trị TSTT; các bảng công bố/sách/giáo trình.</t>
  </si>
  <si>
    <t xml:space="preserve">Chiến lược</t>
  </si>
  <si>
    <t xml:space="preserve">Mã Strategic Cluster theo 4 trụ cột: Smart Mobility, Digital Services, Global Communication, Wellness &amp; Care; có thể dùng 'Khác/Chưa phân loại'.</t>
  </si>
  <si>
    <t xml:space="preserve">Khuyến nghị sử dụng</t>
  </si>
  <si>
    <t xml:space="preserve">Hoàn thiện dữ liệu thô trước khi tính tỷ lệ và kết luận. Mọi chỉ số KPI hiện tại chỉ phản ánh các dòng mẫu đã nhập.</t>
  </si>
  <si>
    <t xml:space="preserve">Phiên bản</t>
  </si>
  <si>
    <t xml:space="preserve">v0.7 – Chapter 2 writing blueprint + table/figure plan + draft sections 2.1–2.4.</t>
  </si>
  <si>
    <t xml:space="preserve">v0.8 (Claude, 16/9/2026)</t>
  </si>
  <si>
    <t xml:space="preserve">Dọn trùng lặp thế hệ bảng, chuẩn hóa từ điển loại đầu ra, tách mẫu số, thêm KPI bằng công thức và 8 phép kiểm tra tự động. Chi tiết ở 00_CHANGELOG_v08. Sheet có tiền tố ZZ_CU_ là bản cũ, không dùng để trích dẫn.</t>
  </si>
  <si>
    <t xml:space="preserve">NHẬT KÝ THAY ĐỔI – TỪ v0.7 SANG v0.8</t>
  </si>
  <si>
    <t xml:space="preserve">Không xóa dữ liệu gốc. Mọi thay đổi đều cộng thêm hoặc đổi tên, có thể lần ngược.</t>
  </si>
  <si>
    <t xml:space="preserve">STT</t>
  </si>
  <si>
    <t xml:space="preserve">Vấn đề ở v0.7</t>
  </si>
  <si>
    <t xml:space="preserve">Xử lý ở v0.8</t>
  </si>
  <si>
    <t xml:space="preserve">Sheet liên quan</t>
  </si>
  <si>
    <t xml:space="preserve">Hai thế hệ bảng cùng tồn tại: 01_PROJECT 7 dòng và 01_PROJECT_ALL 38 dòng; 02_OUTPUT 19 dòng và 02_OUTPUT_ALL 90 dòng; 03_IP_ASSET 7 dòng; 08_KPI_DASHBOARD. Nguy cơ trích nhầm số.</t>
  </si>
  <si>
    <t xml:space="preserve">Đổi tên thành ZZ_CU_… và dồn xuống cuối file. Dữ liệu vẫn giữ nguyên để đối chiếu, nhưng không dùng để trích dẫn.</t>
  </si>
  <si>
    <t xml:space="preserve">ZZ_CU_01_PROJECT; ZZ_CU_02_OUTPUT; ZZ_CU_03_IP_ASSET; ZZ_CU_08_KPI_DASHBOARD</t>
  </si>
  <si>
    <t xml:space="preserve">02_OUTPUT dùng mã Output cũ dạng O2022-37-01, khác mã hiện hành O-2022-37-01. Ghép nhầm là chắc chắn nếu dùng lẫn.</t>
  </si>
  <si>
    <t xml:space="preserve">Ghi nhận xung đột mã; bảng cũ chỉ để tham chiếu lịch sử. Mã chính thức là mã của 02_OUTPUT_ALL.</t>
  </si>
  <si>
    <t xml:space="preserve">ZZ_CU_02_OUTPUT</t>
  </si>
  <si>
    <t xml:space="preserve">04_PROTECTION và 05_UTIL_VALUE trống, mỗi sheet 1000 dòng ràng buộc nhập liệu, nhưng đã bị 13B_PROTECTION_FULL thay thế.</t>
  </si>
  <si>
    <t xml:space="preserve">Đổi tên thành TPL_… để chỉ rõ đây là biểu mẫu thu thập dữ liệu về sau, không phải dữ liệu thực.</t>
  </si>
  <si>
    <t xml:space="preserve">TPL_04_PROTECTION; TPL_05_UTIL_VALUE</t>
  </si>
  <si>
    <t xml:space="preserve">Từ điển loại đầu ra bị vỡ: 09_LOOKUPS có 11 giá trị, dữ liệu dùng 14 giá trị, 9 giá trị nằm ngoài từ điển; 'Sản phẩm/prototype' và 'Mô hình/prototype' trùng nghĩa.</t>
  </si>
  <si>
    <t xml:space="preserve">Lập bảng ánh xạ 14 giá trị gốc sang 8 nhóm chuẩn. Giữ nguyên cột gốc, thêm cột P và Q tính bằng VLOOKUP nên sửa từ điển là dữ liệu tự cập nhật.</t>
  </si>
  <si>
    <t xml:space="preserve">09B_MAP_LOAI_DAURA; 02_OUTPUT_ALL cột P, Q</t>
  </si>
  <si>
    <t xml:space="preserve">34/90 dòng đầu ra là báo cáo tổng kết — sản phẩm hành chính bắt buộc. Để trong mẫu số làm loãng mọi tỷ lệ chuyển hóa.</t>
  </si>
  <si>
    <t xml:space="preserve">Thêm cột Nhóm mẫu số với 4 giá trị: Bắt buộc hành chính, Công bố, Ứng viên TSTT, Khác/quản trị. Mọi tỷ lệ ở 08B đều loại nhóm bắt buộc khỏi mẫu số.</t>
  </si>
  <si>
    <t xml:space="preserve">02_OUTPUT_ALL cột Q; 08B_KPI_v08</t>
  </si>
  <si>
    <t xml:space="preserve">08_KPI_ALL gõ tay toàn bộ giá trị, tỷ lệ để dạng 0,4736 và không ghi mẫu số.</t>
  </si>
  <si>
    <t xml:space="preserve">Lập 08B_KPI_v08 tính bằng công thức, mỗi chỉ số có cột tử số, mẫu số và ghi chú diễn giải. Ô tỷ lệ ở 08_KPI_ALL được định dạng lại thành phần trăm.</t>
  </si>
  <si>
    <t xml:space="preserve">08B_KPI_v08</t>
  </si>
  <si>
    <t xml:space="preserve">Không có cơ chế phát hiện lỗi khi dữ liệu được bổ sung.</t>
  </si>
  <si>
    <t xml:space="preserve">Lập 8 phép kiểm tra tự động: trùng mã, khóa mồ côi, giá trị ngoài từ điển, tổng nhóm mẫu số. Mọi dòng phải trả về OK.</t>
  </si>
  <si>
    <t xml:space="preserve">24_QC_CHECKS</t>
  </si>
  <si>
    <t xml:space="preserve">Portfolio SHTT mới dựa vào danh sách nội bộ, chưa đối chiếu nguồn độc lập.</t>
  </si>
  <si>
    <t xml:space="preserve">Chưa xử lý ở v0.8. Đề nghị tra ngược 9 đối tượng đã có số trên cơ sở dữ liệu công khai của Cục Sở hữu trí tuệ, ghi kết quả vào 13B thành cột xác minh độc lập.</t>
  </si>
  <si>
    <t xml:space="preserve">13B_PROTECTION_FULL</t>
  </si>
  <si>
    <t xml:space="preserve">File chứa tên cá nhân, tên doanh nghiệp đối tác, số văn bằng, kèm nhận định về việc thiếu hồ sơ.</t>
  </si>
  <si>
    <t xml:space="preserve">Chưa xử lý ở v0.8. Trước khi đưa vào luận án hoặc báo cáo, cân nhắc mã hóa tên cá nhân và tên doanh nghiệp.</t>
  </si>
  <si>
    <t xml:space="preserve">Toàn file</t>
  </si>
  <si>
    <t xml:space="preserve">Project_ID</t>
  </si>
  <si>
    <t xml:space="preserve">Năm giao/nhóm</t>
  </si>
  <si>
    <t xml:space="preserve">Mã đề tài</t>
  </si>
  <si>
    <t xml:space="preserve">Tên đề tài</t>
  </si>
  <si>
    <t xml:space="preserve">Cấp</t>
  </si>
  <si>
    <t xml:space="preserve">Chủ nhiệm</t>
  </si>
  <si>
    <t xml:space="preserve">Đơn vị chủ trì</t>
  </si>
  <si>
    <t xml:space="preserve">Nhóm ngành chuẩn hóa</t>
  </si>
  <si>
    <t xml:space="preserve">Strategic_Cluster</t>
  </si>
  <si>
    <t xml:space="preserve">Ngày nghiệm thu</t>
  </si>
  <si>
    <t xml:space="preserve">Xếp loại</t>
  </si>
  <si>
    <t xml:space="preserve">Kinh phí_VND</t>
  </si>
  <si>
    <t xml:space="preserve">Hình thức kinh phí</t>
  </si>
  <si>
    <t xml:space="preserve">Số người tham gia</t>
  </si>
  <si>
    <t xml:space="preserve">Đầu ra ứng dụng ghi trong hồ sơ?</t>
  </si>
  <si>
    <t xml:space="preserve">Số đầu ra (formula)</t>
  </si>
  <si>
    <t xml:space="preserve">Nguồn</t>
  </si>
  <si>
    <t xml:space="preserve">Ghi chú xác minh</t>
  </si>
  <si>
    <t xml:space="preserve">P2021-20</t>
  </si>
  <si>
    <t xml:space="preserve">20-2021/KHCN</t>
  </si>
  <si>
    <t xml:space="preserve">Nghiên cứu năng lực nghe hiểu của sinh viên cử nhân thực hành tiếng Nhật năm thứ 2 tại Trường Đại học Thành Đô</t>
  </si>
  <si>
    <t xml:space="preserve">Cơ sở</t>
  </si>
  <si>
    <t xml:space="preserve">Lê Thanh Phương</t>
  </si>
  <si>
    <t xml:space="preserve">Khoa DL-NN</t>
  </si>
  <si>
    <t xml:space="preserve">Ngôn ngữ/Giáo dục</t>
  </si>
  <si>
    <t xml:space="preserve">Global Communication</t>
  </si>
  <si>
    <t xml:space="preserve">Đạt</t>
  </si>
  <si>
    <t xml:space="preserve">Quy đổi giờ NCKH</t>
  </si>
  <si>
    <t xml:space="preserve">Không ghi nhận</t>
  </si>
  <si>
    <t xml:space="preserve">Tổng hợp đề tài KHCN cấp cơ sở của GV 2021-2025.pdf, tr.1</t>
  </si>
  <si>
    <t xml:space="preserve">Năm nhóm theo mục NĂM 2021; nghiệm thu năm 2022.</t>
  </si>
  <si>
    <t xml:space="preserve">P2021-22</t>
  </si>
  <si>
    <t xml:space="preserve">22-2021/KHCN</t>
  </si>
  <si>
    <t xml:space="preserve">Đánh giá giáo trình Network dùng cho sinh viên năm thứ nhất Trường Đại học Thành Đô</t>
  </si>
  <si>
    <t xml:space="preserve">Nguyễn Thị Vân Anh</t>
  </si>
  <si>
    <t xml:space="preserve">P2021-24</t>
  </si>
  <si>
    <t xml:space="preserve">24-2021/KHCN</t>
  </si>
  <si>
    <t xml:space="preserve">Đánh giá ứng dụng mô hình học tập kết hợp (Blended Learning) trong việc dạy và học tiếng Anh tại Trường Đại học Thành Đô</t>
  </si>
  <si>
    <t xml:space="preserve">Đinh Thị Thanh Huyền</t>
  </si>
  <si>
    <t xml:space="preserve">Tốt</t>
  </si>
  <si>
    <t xml:space="preserve">P2021-27</t>
  </si>
  <si>
    <t xml:space="preserve">27-2021/KHCN</t>
  </si>
  <si>
    <t xml:space="preserve">Thực trạng và động lực phát triển chuyên môn của giáo viên</t>
  </si>
  <si>
    <t xml:space="preserve">Phan Thị Thanh Thảo</t>
  </si>
  <si>
    <t xml:space="preserve">Khoa học giáo dục</t>
  </si>
  <si>
    <t xml:space="preserve">Khác/Chưa phân loại</t>
  </si>
  <si>
    <t xml:space="preserve">P2021-28</t>
  </si>
  <si>
    <t xml:space="preserve">28-2021/KHCN</t>
  </si>
  <si>
    <t xml:space="preserve">Hoạt động công bố quốc tế tại Việt Nam: Thực trạng và ý nghĩa đối với cộng đồng và những nhà hoạch định chính sách</t>
  </si>
  <si>
    <t xml:space="preserve">Khoa học giáo dục/Chính sách KHCN</t>
  </si>
  <si>
    <t xml:space="preserve">Tổng hợp đề tài KHCN cấp cơ sở của GV 2021-2025.pdf, tr.2</t>
  </si>
  <si>
    <t xml:space="preserve">P2021-37</t>
  </si>
  <si>
    <t xml:space="preserve">37-2021/KHCN</t>
  </si>
  <si>
    <t xml:space="preserve">Rào cản của các doanh nghiệp vừa và nhỏ trong việc áp dụng thương mại điện tử tại Việt Nam</t>
  </si>
  <si>
    <t xml:space="preserve">Nguyễn Thị Hay</t>
  </si>
  <si>
    <t xml:space="preserve">Khoa KT</t>
  </si>
  <si>
    <t xml:space="preserve">Kinh tế/Thương mại điện tử</t>
  </si>
  <si>
    <t xml:space="preserve">Digital Services</t>
  </si>
  <si>
    <t xml:space="preserve">P2022-01</t>
  </si>
  <si>
    <t xml:space="preserve">01-2022/KHCN</t>
  </si>
  <si>
    <t xml:space="preserve">Đề án thành lập Tạp chí Nghiên cứu khoa học và phát triển thuộc Trường Đại học Thành Đô</t>
  </si>
  <si>
    <t xml:space="preserve">Vũ Thị Thanh Minh</t>
  </si>
  <si>
    <t xml:space="preserve">Phòng KHCN</t>
  </si>
  <si>
    <t xml:space="preserve">Quản lý KHCN/Xuất bản khoa học</t>
  </si>
  <si>
    <t xml:space="preserve">Có</t>
  </si>
  <si>
    <t xml:space="preserve">Sản phẩm là Tạp chí Nghiên cứu khoa học và phát triển.</t>
  </si>
  <si>
    <t xml:space="preserve">P2022-02</t>
  </si>
  <si>
    <t xml:space="preserve">02-2022/KHCN</t>
  </si>
  <si>
    <t xml:space="preserve">Nghiên cứu xây dựng Quy chế tuyển sinh và đào tạo trình độ thạc sỹ theo Thông tư số 23/2021/TT-BGDĐT của Bộ Giáo dục và Đào tạo tại Trường Đại học Thành Đô</t>
  </si>
  <si>
    <t xml:space="preserve">Trần Hữu Dào</t>
  </si>
  <si>
    <t xml:space="preserve">Khoa SĐH</t>
  </si>
  <si>
    <t xml:space="preserve">Quản trị giáo dục/Pháp quy nội bộ</t>
  </si>
  <si>
    <t xml:space="preserve">Sản phẩm là Quy chế tuyển sinh và đào tạo trình độ thạc sĩ.</t>
  </si>
  <si>
    <t xml:space="preserve">P2022-12</t>
  </si>
  <si>
    <t xml:space="preserve">12-2022/KHCN</t>
  </si>
  <si>
    <t xml:space="preserve">Nâng cao khả năng được tuyển dụng của sinh viên ngành tiếng Anh Khoa Du lịch - Ngoại ngữ qua kỳ thực tập doanh nghiệp</t>
  </si>
  <si>
    <t xml:space="preserve">Ngôn ngữ/Đào tạo gắn doanh nghiệp</t>
  </si>
  <si>
    <t xml:space="preserve">P2022-13</t>
  </si>
  <si>
    <t xml:space="preserve">13-2022/KHCN</t>
  </si>
  <si>
    <t xml:space="preserve">Đánh giá giáo trình "New English file" dành cho học viên cao học tại Trường Đại học Thành Đô</t>
  </si>
  <si>
    <t xml:space="preserve">Tổng hợp đề tài KHCN cấp cơ sở của GV 2021-2025.pdf, tr.3</t>
  </si>
  <si>
    <t xml:space="preserve">P2022-14</t>
  </si>
  <si>
    <t xml:space="preserve">14-2022/KHCN</t>
  </si>
  <si>
    <t xml:space="preserve">A study on job satisfaction among teachers at TDU (Đánh giá sự hài lòng của giảng viên tại Đại học Thành Đô)</t>
  </si>
  <si>
    <t xml:space="preserve">Khoa học giáo dục/Nhân sự</t>
  </si>
  <si>
    <t xml:space="preserve">P2022-15</t>
  </si>
  <si>
    <t xml:space="preserve">15-2022/KHCN</t>
  </si>
  <si>
    <t xml:space="preserve">Nghiên cứu ảnh hưởng của hình thức dạy học trực tuyến đến kết quả học tập của sinh viên Khoa Du lịch - Ngoại ngữ, Trường Đại học Thành Đô</t>
  </si>
  <si>
    <t xml:space="preserve">Phan Thị Phương Thảo</t>
  </si>
  <si>
    <t xml:space="preserve">P2022-37</t>
  </si>
  <si>
    <t xml:space="preserve">37-2022/KHCN</t>
  </si>
  <si>
    <t xml:space="preserve">Tính toán thiết kế panel kiểm tra và sửa chữa hệ thống khởi động điện trên ô tô</t>
  </si>
  <si>
    <t xml:space="preserve">Phạm Viết Xuân</t>
  </si>
  <si>
    <t xml:space="preserve">Khoa CNKT Ô tô</t>
  </si>
  <si>
    <t xml:space="preserve">Kỹ thuật ô tô</t>
  </si>
  <si>
    <t xml:space="preserve">Smart Mobility</t>
  </si>
  <si>
    <t xml:space="preserve">Tiền mặt</t>
  </si>
  <si>
    <t xml:space="preserve">P2022-39</t>
  </si>
  <si>
    <t xml:space="preserve">39-2022/KHCN</t>
  </si>
  <si>
    <t xml:space="preserve">Nghiên cứu chế tạo vật liệu cầm máu trên cơ sở chitosan và cao nhọ nồi</t>
  </si>
  <si>
    <t xml:space="preserve">Nguyễn Ngọc Linh</t>
  </si>
  <si>
    <t xml:space="preserve">Khoa Dược</t>
  </si>
  <si>
    <t xml:space="preserve">Dược/Vật liệu y sinh</t>
  </si>
  <si>
    <t xml:space="preserve">Wellness &amp; Care</t>
  </si>
  <si>
    <t xml:space="preserve">P2022-40</t>
  </si>
  <si>
    <t xml:space="preserve">40-2022/KHCN</t>
  </si>
  <si>
    <t xml:space="preserve">Nghiên cứu xây dựng bộ mẫu dược liệu áp dụng giảng dạy tại Trường Đại học Thành Đô</t>
  </si>
  <si>
    <t xml:space="preserve">Lê Văn Tuyến</t>
  </si>
  <si>
    <t xml:space="preserve">Dược/Giáo dục dược</t>
  </si>
  <si>
    <t xml:space="preserve">P2022-51</t>
  </si>
  <si>
    <t xml:space="preserve">51-2022/KHCN</t>
  </si>
  <si>
    <t xml:space="preserve">Quản lý hoạt động huy động vốn của các công ty chứng khoán tại Việt Nam: Thực trạng và một số kiến nghị</t>
  </si>
  <si>
    <t xml:space="preserve">Đinh Thị Phi Nga</t>
  </si>
  <si>
    <t xml:space="preserve">Khoa Kinh tế</t>
  </si>
  <si>
    <t xml:space="preserve">Tài chính/Chứng khoán</t>
  </si>
  <si>
    <t xml:space="preserve">Tổng hợp đề tài KHCN cấp cơ sở của GV 2021-2025.pdf, tr.4</t>
  </si>
  <si>
    <t xml:space="preserve">P2023-01</t>
  </si>
  <si>
    <t xml:space="preserve">01-2023/KHCN</t>
  </si>
  <si>
    <t xml:space="preserve">Bồi dưỡng phương pháp tư duy biện chứng Hồ Chí Minh cho sinh viên Trường Đại học Thành Đô hiện nay</t>
  </si>
  <si>
    <t xml:space="preserve">Ngô Nhị Ngọc Linh</t>
  </si>
  <si>
    <t xml:space="preserve">Khoa KHCB</t>
  </si>
  <si>
    <t xml:space="preserve">Lý luận chính trị/Giáo dục</t>
  </si>
  <si>
    <t xml:space="preserve">Khá</t>
  </si>
  <si>
    <t xml:space="preserve">Có mô tả ứng dụng tại Trường.</t>
  </si>
  <si>
    <t xml:space="preserve">P2023-02</t>
  </si>
  <si>
    <t xml:space="preserve">02-2023/KHCN</t>
  </si>
  <si>
    <t xml:space="preserve">Tiếp cận CDIO để nâng cao chất lượng dạy học học phần thực hành hướng dẫn du lịch tại Trường Đại học Thành Đô</t>
  </si>
  <si>
    <t xml:space="preserve">Nguyễn Thị Bích</t>
  </si>
  <si>
    <t xml:space="preserve">Du lịch/Giáo dục</t>
  </si>
  <si>
    <t xml:space="preserve">P2023-03</t>
  </si>
  <si>
    <t xml:space="preserve">03-2023/KHCN</t>
  </si>
  <si>
    <t xml:space="preserve">Sử dụng phương pháp học tập dự án để thúc đẩy sự tự chủ của sinh viên trong học phần cú pháp học</t>
  </si>
  <si>
    <t xml:space="preserve">Tổng hợp đề tài KHCN cấp cơ sở của GV 2021-2025.pdf, tr.5</t>
  </si>
  <si>
    <t xml:space="preserve">Hồ sơ ghi bài báo ISSN nhưng chú thích '(ko có bài báo)'.</t>
  </si>
  <si>
    <t xml:space="preserve">P2023-04</t>
  </si>
  <si>
    <t xml:space="preserve">04-2023/KHCN</t>
  </si>
  <si>
    <t xml:space="preserve">Flipped classroom in higher education: Students' perspective</t>
  </si>
  <si>
    <t xml:space="preserve">P2023-05</t>
  </si>
  <si>
    <t xml:space="preserve">05-2023/KHCN</t>
  </si>
  <si>
    <t xml:space="preserve">Chính sách khuyến khích cho các công bố khoa học tại một số trường đại học ngoài công lập ở Việt Nam</t>
  </si>
  <si>
    <t xml:space="preserve">Nguyễn Thị Hảo</t>
  </si>
  <si>
    <t xml:space="preserve">Khoa Điện, Điện tử</t>
  </si>
  <si>
    <t xml:space="preserve">Chính sách KHCN/Quản trị đại học</t>
  </si>
  <si>
    <t xml:space="preserve">Tổng hợp đề tài KHCN cấp cơ sở của GV 2021-2025.pdf, tr.6</t>
  </si>
  <si>
    <t xml:space="preserve">Ứng dụng làm tài liệu tham khảo xây dựng chính sách/quy chế KHCN.</t>
  </si>
  <si>
    <t xml:space="preserve">P2023-07</t>
  </si>
  <si>
    <t xml:space="preserve">07-2023/KHCN</t>
  </si>
  <si>
    <t xml:space="preserve">Nâng cao nhận thức về luật hình sự Việt Nam cho sinh viên Trường Đại học Thành Đô</t>
  </si>
  <si>
    <t xml:space="preserve">Vũ Thị Thu Hà</t>
  </si>
  <si>
    <t xml:space="preserve">Khoa Kinh tế - Luật</t>
  </si>
  <si>
    <t xml:space="preserve">Luật/Giáo dục pháp luật</t>
  </si>
  <si>
    <t xml:space="preserve">P2023-08</t>
  </si>
  <si>
    <t xml:space="preserve">08-2023/KHCN</t>
  </si>
  <si>
    <t xml:space="preserve">Ứng dụng mô hình hợp tác giáo dục giữa Nhà trường - Doanh nghiệp trong nghiên cứu chiết xuất tinh dầu từ vỏ bưởi</t>
  </si>
  <si>
    <t xml:space="preserve">Viện REK</t>
  </si>
  <si>
    <t xml:space="preserve">Dược/Hợp tác ĐH-DN</t>
  </si>
  <si>
    <t xml:space="preserve">Tổng hợp đề tài KHCN cấp cơ sở của GV 2021-2025.pdf, tr.7</t>
  </si>
  <si>
    <t xml:space="preserve">Sản phẩm ghi chuyển giao cho Trường để thương mại hóa.</t>
  </si>
  <si>
    <t xml:space="preserve">P2024-06</t>
  </si>
  <si>
    <t xml:space="preserve">06-2024/KHCN</t>
  </si>
  <si>
    <t xml:space="preserve">Nghiên cứu ứng dụng quy trình sản xuất xà phòng tảo biển hữu cơ</t>
  </si>
  <si>
    <t xml:space="preserve">Dược/Mỹ phẩm</t>
  </si>
  <si>
    <t xml:space="preserve">P2024-07</t>
  </si>
  <si>
    <t xml:space="preserve">07-2024/KHCN</t>
  </si>
  <si>
    <t xml:space="preserve">Nghiên cứu xây dựng bộ tiêu bản hiển vi cố định trong giảng dạy học phần Ký sinh trùng tại Trường Đại học Thành Đô</t>
  </si>
  <si>
    <t xml:space="preserve">Phạm Thị Bích Đào</t>
  </si>
  <si>
    <t xml:space="preserve">Dược/Ký sinh trùng/Giáo dục</t>
  </si>
  <si>
    <t xml:space="preserve">P2024-08</t>
  </si>
  <si>
    <t xml:space="preserve">08-2024/KHCN</t>
  </si>
  <si>
    <t xml:space="preserve">Cải tiến quy trình chiết xuất Rutin từ hoa Hòe (Sophora japonica L.) trong giảng dạy tại Trường Đại học Thành Đô</t>
  </si>
  <si>
    <t xml:space="preserve">Vũ Quốc Mạnh</t>
  </si>
  <si>
    <t xml:space="preserve">Dược/Chiết xuất dược liệu</t>
  </si>
  <si>
    <t xml:space="preserve">Tổng hợp đề tài KHCN cấp cơ sở của GV 2021-2025.pdf, tr.8</t>
  </si>
  <si>
    <t xml:space="preserve">P2024-09</t>
  </si>
  <si>
    <t xml:space="preserve">09-2024/KHCN</t>
  </si>
  <si>
    <t xml:space="preserve">Nghiên cứu bào chế sản phẩm hỗ trợ giảm cân theo y học cổ truyền</t>
  </si>
  <si>
    <t xml:space="preserve">Nguyễn Đăng Việt</t>
  </si>
  <si>
    <t xml:space="preserve">Dược/Bào chế</t>
  </si>
  <si>
    <t xml:space="preserve">P2024-10</t>
  </si>
  <si>
    <t xml:space="preserve">10-2024/KHCN</t>
  </si>
  <si>
    <t xml:space="preserve">Triết lý nhân sinh trong thơ văn của Nguyễn Đình Chiểu và vận dụng giáo dục đạo đức cho sinh viên Trường Đại học Thành Đô hiện nay</t>
  </si>
  <si>
    <t xml:space="preserve">Nhân văn/Giáo dục</t>
  </si>
  <si>
    <t xml:space="preserve">P2024-12</t>
  </si>
  <si>
    <t xml:space="preserve">12-2024/KHCN</t>
  </si>
  <si>
    <t xml:space="preserve">Tích hợp giáo dục vì sự phát triển bền vững trong dạy học “sinh thái học và môi trường” (Sinh học 12)</t>
  </si>
  <si>
    <t xml:space="preserve">Hà Văn Dũng</t>
  </si>
  <si>
    <t xml:space="preserve">Viện ReK</t>
  </si>
  <si>
    <t xml:space="preserve">Khoa học giáo dục/Phát triển bền vững</t>
  </si>
  <si>
    <t xml:space="preserve">Tự tìm nhà tài trợ</t>
  </si>
  <si>
    <t xml:space="preserve">Tổng hợp đề tài KHCN cấp cơ sở của GV 2021-2025.pdf, tr.9</t>
  </si>
  <si>
    <t xml:space="preserve">P2024-13</t>
  </si>
  <si>
    <t xml:space="preserve">13-2024/KHCN</t>
  </si>
  <si>
    <t xml:space="preserve">Quan điểm của Francis Fukuyama về sự cáo chung của lịch sử trong tác phẩm Sự cáo chung của lịch sử và Con người cuối cùng</t>
  </si>
  <si>
    <t xml:space="preserve">Triết học/Nhân văn</t>
  </si>
  <si>
    <t xml:space="preserve">P2024-14</t>
  </si>
  <si>
    <t xml:space="preserve">14-2024/KHCN</t>
  </si>
  <si>
    <t xml:space="preserve">Rèn luyện năng lực dạy học tích hợp giáo dục vì sự phát triển bền vững cho sinh viên ngành sư phạm sinh học</t>
  </si>
  <si>
    <t xml:space="preserve">Tự tìm nguồn tài trợ</t>
  </si>
  <si>
    <t xml:space="preserve">Tổng hợp đề tài KHCN cấp cơ sở của GV 2021-2025.pdf, phần chuyển tiếp 2024-2025</t>
  </si>
  <si>
    <t xml:space="preserve">Nghiệm thu năm 2025.</t>
  </si>
  <si>
    <t xml:space="preserve">P2025-01</t>
  </si>
  <si>
    <t xml:space="preserve">01-2025/KHCN</t>
  </si>
  <si>
    <t xml:space="preserve">Sử dụng chiến lược scaffolding để tăng cường sự tham gia của sinh viên trong lớp học tiếng Anh đa trình độ</t>
  </si>
  <si>
    <t xml:space="preserve">Viện QT&amp;CN</t>
  </si>
  <si>
    <t xml:space="preserve">Tổng hợp đề tài KHCN cấp cơ sở của GV 2021-2025.pdf, mục NĂM 2025</t>
  </si>
  <si>
    <t xml:space="preserve">Nguồn viết 'scarfolding'; chuẩn hóa thành scaffolding trong tên phân tích.</t>
  </si>
  <si>
    <t xml:space="preserve">P2025-02</t>
  </si>
  <si>
    <t xml:space="preserve">02-2025/KHCN</t>
  </si>
  <si>
    <t xml:space="preserve">Phát triển kiến thức và kỹ năng đổi mới sáng tạo cho sinh viên ngành quản trị kinh doanh Trường Đại học Thành Đô</t>
  </si>
  <si>
    <t xml:space="preserve">Quản trị kinh doanh/Đổi mới sáng tạo</t>
  </si>
  <si>
    <t xml:space="preserve">Tính giờ NCKH đề tài + bài báo</t>
  </si>
  <si>
    <t xml:space="preserve">P2025-03</t>
  </si>
  <si>
    <t xml:space="preserve">03-2025/KHCN</t>
  </si>
  <si>
    <t xml:space="preserve">Nghiên cứu các nhân tố ảnh hưởng đến khả năng tự quyết toán thuế TNCN của người nộp thuế TNCN trên địa bàn thành phố Hà Nội</t>
  </si>
  <si>
    <t xml:space="preserve">Trần Thị Thùy</t>
  </si>
  <si>
    <t xml:space="preserve">Kinh tế/Tài chính công/Thuế</t>
  </si>
  <si>
    <t xml:space="preserve">P2025-04</t>
  </si>
  <si>
    <t xml:space="preserve">04-2025/KHCN</t>
  </si>
  <si>
    <t xml:space="preserve">Hoàn thiện kỹ năng soạn thảo hợp đồng cho sinh viên Trường Đại học Thành Đô</t>
  </si>
  <si>
    <t xml:space="preserve">Luật/Giáo dục kỹ năng</t>
  </si>
  <si>
    <t xml:space="preserve">Hồ sơ trích xuất hiện thấy sản phẩm bài báo; cần kiểm tra có báo cáo toàn văn riêng hay không.</t>
  </si>
  <si>
    <t xml:space="preserve">P2025-06</t>
  </si>
  <si>
    <t xml:space="preserve">06-2025/KHCN</t>
  </si>
  <si>
    <t xml:space="preserve">Nghiên cứu bào chế cồn thuốc xoa bóp hỗ trợ giảm đau nhức xương khớp quy mô phòng thí nghiệm</t>
  </si>
  <si>
    <t xml:space="preserve">Viện Y-Dược</t>
  </si>
  <si>
    <t xml:space="preserve">Tiền mặt + tính giờ NCKH</t>
  </si>
  <si>
    <t xml:space="preserve">Công thức mới, dự kiến đăng ký GPHI.</t>
  </si>
  <si>
    <t xml:space="preserve">P2025-07</t>
  </si>
  <si>
    <t xml:space="preserve">07-2025/KHCN</t>
  </si>
  <si>
    <t xml:space="preserve">Nghiên cứu bào chế viên ngậm hỗ trợ giảm ho từ Gừng và Húng chanh</t>
  </si>
  <si>
    <t xml:space="preserve">Ngô Thị Thu</t>
  </si>
  <si>
    <t xml:space="preserve">Quy trình mới, dự kiến đăng ký GPHI.</t>
  </si>
  <si>
    <t xml:space="preserve">P2025-09</t>
  </si>
  <si>
    <t xml:space="preserve">09-2025/KHCN</t>
  </si>
  <si>
    <t xml:space="preserve">Nghiên cứu chiết xuất và đánh giá hoạt tính dược học của lá Quế hoa (Osmanthus fragrans) hướng tới ứng dụng trong thực phẩm chức năng</t>
  </si>
  <si>
    <t xml:space="preserve">Dược/Hoạt chất tự nhiên</t>
  </si>
  <si>
    <t xml:space="preserve">Xuất sắc</t>
  </si>
  <si>
    <t xml:space="preserve">Tiền mặt + tính giờ NCKH; xin thêm 20 triệu</t>
  </si>
  <si>
    <t xml:space="preserve">Có - giai đoạn 2 dự kiến</t>
  </si>
  <si>
    <t xml:space="preserve">Giai đoạn 2 ghi 'Sáng chế' nhưng chưa có bằng chứng đã nộp/cấp.</t>
  </si>
  <si>
    <t xml:space="preserve">Output_ID</t>
  </si>
  <si>
    <t xml:space="preserve">Năm</t>
  </si>
  <si>
    <t xml:space="preserve">Tên đầu ra theo hồ sơ</t>
  </si>
  <si>
    <t xml:space="preserve">Loại đầu ra</t>
  </si>
  <si>
    <t xml:space="preserve">Số lượng</t>
  </si>
  <si>
    <t xml:space="preserve">Đơn vị tính</t>
  </si>
  <si>
    <t xml:space="preserve">Trạng thái bằng chứng</t>
  </si>
  <si>
    <t xml:space="preserve">Dấu hiệu TSTT?</t>
  </si>
  <si>
    <t xml:space="preserve">Hình thức quyền/biện pháp sơ bộ</t>
  </si>
  <si>
    <t xml:space="preserve">Ưu tiên quản trị IP</t>
  </si>
  <si>
    <t xml:space="preserve">Có dấu hiệu ứng dụng?</t>
  </si>
  <si>
    <t xml:space="preserve">Đối chiếu với CSDL công bố</t>
  </si>
  <si>
    <t xml:space="preserve">Ghi chú coding</t>
  </si>
  <si>
    <t xml:space="preserve">Loại đầu ra chuẩn hóa (v0.8)</t>
  </si>
  <si>
    <t xml:space="preserve">Nhóm mẫu số (v0.8)</t>
  </si>
  <si>
    <t xml:space="preserve">O-2021-20-01</t>
  </si>
  <si>
    <t xml:space="preserve">Báo cáo tổng kết đề tài</t>
  </si>
  <si>
    <t xml:space="preserve">Báo cáo nghiên cứu</t>
  </si>
  <si>
    <t xml:space="preserve">báo cáo</t>
  </si>
  <si>
    <t xml:space="preserve">Đã nghiệm thu</t>
  </si>
  <si>
    <t xml:space="preserve">Quyền tác giả</t>
  </si>
  <si>
    <t xml:space="preserve">Thấp</t>
  </si>
  <si>
    <t xml:space="preserve">Không</t>
  </si>
  <si>
    <t xml:space="preserve">Chưa cần</t>
  </si>
  <si>
    <t xml:space="preserve">O-2021-22-01</t>
  </si>
  <si>
    <t xml:space="preserve">O-2021-24-01</t>
  </si>
  <si>
    <t xml:space="preserve">O-2021-27-01</t>
  </si>
  <si>
    <t xml:space="preserve">O-2021-27-02</t>
  </si>
  <si>
    <t xml:space="preserve">Bài báo đăng tạp chí quốc tế</t>
  </si>
  <si>
    <t xml:space="preserve">Bài báo</t>
  </si>
  <si>
    <t xml:space="preserve">bài</t>
  </si>
  <si>
    <t xml:space="preserve">Hồ sơ ghi nhận</t>
  </si>
  <si>
    <t xml:space="preserve">Cần đối chiếu</t>
  </si>
  <si>
    <t xml:space="preserve">O-2021-27-03</t>
  </si>
  <si>
    <t xml:space="preserve">Bài báo đăng tạp chí trong nước</t>
  </si>
  <si>
    <t xml:space="preserve">O-2021-28-01</t>
  </si>
  <si>
    <t xml:space="preserve">O-2021-28-02</t>
  </si>
  <si>
    <t xml:space="preserve">O-2021-28-03</t>
  </si>
  <si>
    <t xml:space="preserve">O-2021-37-01</t>
  </si>
  <si>
    <t xml:space="preserve">O-2021-37-02</t>
  </si>
  <si>
    <t xml:space="preserve">O-2022-01-01</t>
  </si>
  <si>
    <t xml:space="preserve">Tạp chí Nghiên cứu khoa học và phát triển thuộc Trường Đại học Thành Đô</t>
  </si>
  <si>
    <t xml:space="preserve">Sản phẩm tổ chức/hạ tầng học thuật</t>
  </si>
  <si>
    <t xml:space="preserve">tạp chí</t>
  </si>
  <si>
    <t xml:space="preserve">Tên/nhãn hiệu, nội dung tạp chí, quy trình vận hành - cần tách quyền</t>
  </si>
  <si>
    <t xml:space="preserve">Trung bình</t>
  </si>
  <si>
    <t xml:space="preserve">Cần kiểm tra</t>
  </si>
  <si>
    <t xml:space="preserve">O-2022-02-01</t>
  </si>
  <si>
    <t xml:space="preserve">Quy chế tuyển sinh và đào tạo trình độ thạc sĩ tại Trường Đại học Thành Đô</t>
  </si>
  <si>
    <t xml:space="preserve">Văn bản/quy trình quản trị</t>
  </si>
  <si>
    <t xml:space="preserve">quy chế</t>
  </si>
  <si>
    <t xml:space="preserve">Quyền tác giả đối với hình thức thể hiện; tri thức/quy trình quản trị</t>
  </si>
  <si>
    <t xml:space="preserve">O-2022-12-01</t>
  </si>
  <si>
    <t xml:space="preserve">O-2022-13-01</t>
  </si>
  <si>
    <t xml:space="preserve">O-2022-14-01</t>
  </si>
  <si>
    <t xml:space="preserve">O-2022-15-01</t>
  </si>
  <si>
    <t xml:space="preserve">O-2022-37-01</t>
  </si>
  <si>
    <t xml:space="preserve">O-2022-37-02</t>
  </si>
  <si>
    <t xml:space="preserve">Mô hình kiểm tra và sửa chữa hệ thống khởi động điện trên ô tô</t>
  </si>
  <si>
    <t xml:space="preserve">Mô hình/prototype</t>
  </si>
  <si>
    <t xml:space="preserve">mô hình</t>
  </si>
  <si>
    <t xml:space="preserve">Giải pháp kỹ thuật/KDCN/know-how - cần sàng lọc</t>
  </si>
  <si>
    <t xml:space="preserve">Cao</t>
  </si>
  <si>
    <t xml:space="preserve">O-2022-39-01</t>
  </si>
  <si>
    <t xml:space="preserve">O-2022-39-02</t>
  </si>
  <si>
    <t xml:space="preserve">Sản phẩm cầm máu ở dạng màng</t>
  </si>
  <si>
    <t xml:space="preserve">Sản phẩm/prototype</t>
  </si>
  <si>
    <t xml:space="preserve">sản phẩm</t>
  </si>
  <si>
    <t xml:space="preserve">Giải pháp kỹ thuật/sáng chế-GPHI/know-how - cần sàng lọc</t>
  </si>
  <si>
    <t xml:space="preserve">O-2022-40-01</t>
  </si>
  <si>
    <t xml:space="preserve">O-2022-40-02</t>
  </si>
  <si>
    <t xml:space="preserve">Bộ mẫu cây thuốc</t>
  </si>
  <si>
    <t xml:space="preserve">Bộ mẫu/collection</t>
  </si>
  <si>
    <t xml:space="preserve">bộ</t>
  </si>
  <si>
    <t xml:space="preserve">Tác phẩm sưu tập/CSDL/học liệu - cần xác định cấu trúc</t>
  </si>
  <si>
    <t xml:space="preserve">O-2022-51-01</t>
  </si>
  <si>
    <t xml:space="preserve">O-2022-51-02</t>
  </si>
  <si>
    <t xml:space="preserve">Bài báo đăng tạp chí có ISSN</t>
  </si>
  <si>
    <t xml:space="preserve">O-2023-01-01</t>
  </si>
  <si>
    <t xml:space="preserve">Bài báo đăng trên tạp chí trong nước có chỉ số ISSN</t>
  </si>
  <si>
    <t xml:space="preserve">O-2023-01-02</t>
  </si>
  <si>
    <t xml:space="preserve">Báo cáo tổng kết</t>
  </si>
  <si>
    <t xml:space="preserve">O-2023-01-03</t>
  </si>
  <si>
    <t xml:space="preserve">Giải pháp bồi dưỡng phương pháp tư duy biện chứng Hồ Chí Minh cho sinh viên Trường Đại học Thành Đô</t>
  </si>
  <si>
    <t xml:space="preserve">Giải pháp/phương pháp ứng dụng</t>
  </si>
  <si>
    <t xml:space="preserve">giải pháp</t>
  </si>
  <si>
    <t xml:space="preserve">Hồ sơ ghi ứng dụng tại Trường</t>
  </si>
  <si>
    <t xml:space="preserve">Quyền tác giả/know-how phương pháp giáo dục</t>
  </si>
  <si>
    <t xml:space="preserve">O-2023-02-01</t>
  </si>
  <si>
    <t xml:space="preserve">Bài báo đăng Kỷ yếu Hội thảo quốc tế có chỉ số ISBN</t>
  </si>
  <si>
    <t xml:space="preserve">Bài hội thảo</t>
  </si>
  <si>
    <t xml:space="preserve">O-2023-02-02</t>
  </si>
  <si>
    <t xml:space="preserve">O-2023-02-03</t>
  </si>
  <si>
    <t xml:space="preserve">Giải pháp nâng cao chất lượng đào tạo học phần Thực hành hướng dẫn du lịch tại Trường Đại học Thành Đô</t>
  </si>
  <si>
    <t xml:space="preserve">Quyền tác giả/know-how phương pháp đào tạo</t>
  </si>
  <si>
    <t xml:space="preserve">O-2023-03-01</t>
  </si>
  <si>
    <t xml:space="preserve">Hồ sơ ghi nhưng chú thích '(ko có bài báo)'</t>
  </si>
  <si>
    <t xml:space="preserve">Chưa xác minh</t>
  </si>
  <si>
    <t xml:space="preserve">Nếu tồn tại: Quyền tác giả</t>
  </si>
  <si>
    <t xml:space="preserve">O-2023-03-02</t>
  </si>
  <si>
    <t xml:space="preserve">O-2023-03-03</t>
  </si>
  <si>
    <t xml:space="preserve">Phương pháp giảng dạy giúp sinh viên tự học nhằm nâng cao chất lượng học tập</t>
  </si>
  <si>
    <t xml:space="preserve">O-2023-04-01</t>
  </si>
  <si>
    <t xml:space="preserve">O-2023-04-02</t>
  </si>
  <si>
    <t xml:space="preserve">O-2023-04-03</t>
  </si>
  <si>
    <t xml:space="preserve">Ứng dụng flipped classroom cho sinh viên</t>
  </si>
  <si>
    <t xml:space="preserve">O-2023-05-01</t>
  </si>
  <si>
    <t xml:space="preserve">O-2023-05-02</t>
  </si>
  <si>
    <t xml:space="preserve">O-2023-05-03</t>
  </si>
  <si>
    <t xml:space="preserve">Tài liệu/giải pháp tham khảo xây dựng chính sách và Quy chế hoạt động KHCN</t>
  </si>
  <si>
    <t xml:space="preserve">Hồ sơ ghi khả năng ứng dụng</t>
  </si>
  <si>
    <t xml:space="preserve">Quyền tác giả/know-how quản trị</t>
  </si>
  <si>
    <t xml:space="preserve">O-2023-07-01</t>
  </si>
  <si>
    <t xml:space="preserve">O-2023-07-02</t>
  </si>
  <si>
    <t xml:space="preserve">O-2023-07-03</t>
  </si>
  <si>
    <t xml:space="preserve">Giải pháp nâng cao nhận thức pháp luật cho sinh viên</t>
  </si>
  <si>
    <t xml:space="preserve">Quyền tác giả/know-how giáo dục pháp luật</t>
  </si>
  <si>
    <t xml:space="preserve">O-2023-08-01</t>
  </si>
  <si>
    <t xml:space="preserve">Bài báo khoa học đăng tạp chí có chỉ số ISSN</t>
  </si>
  <si>
    <t xml:space="preserve">O-2023-08-02</t>
  </si>
  <si>
    <t xml:space="preserve">Tinh dầu Citrus grandis (L.) Osbeck 100ml</t>
  </si>
  <si>
    <t xml:space="preserve">mẫu 100ml</t>
  </si>
  <si>
    <t xml:space="preserve">Hiện thân của quy trình/know-how; có thể sàng lọc sáng chế-GPHI</t>
  </si>
  <si>
    <t xml:space="preserve">O-2023-08-03</t>
  </si>
  <si>
    <t xml:space="preserve">Sản phẩm chuyển giao công nghệ cho Trường Đại học Thành Đô thương mại hóa</t>
  </si>
  <si>
    <t xml:space="preserve">Kết quả khai thác/chuyển giao</t>
  </si>
  <si>
    <t xml:space="preserve">trường hợp</t>
  </si>
  <si>
    <t xml:space="preserve">Cần xác định TSTT gốc và hình thức chuyển giao</t>
  </si>
  <si>
    <t xml:space="preserve">O-2024-06-01</t>
  </si>
  <si>
    <t xml:space="preserve">Bài báo khoa học đăng trên Tạp chí NCKH&amp;PT Trường Đại học Thành Đô</t>
  </si>
  <si>
    <t xml:space="preserve">O-2024-06-02</t>
  </si>
  <si>
    <t xml:space="preserve">Bánh xà phòng hữu cơ tảo biển 60 gam</t>
  </si>
  <si>
    <t xml:space="preserve">bánh</t>
  </si>
  <si>
    <t xml:space="preserve">Hiện thân của công thức/quy trình; nhãn hiệu/KDCN nếu có dấu hiệu riêng</t>
  </si>
  <si>
    <t xml:space="preserve">O-2024-06-03</t>
  </si>
  <si>
    <t xml:space="preserve">Quy trình sản xuất và công thức xà phòng hữu cơ tảo biển</t>
  </si>
  <si>
    <t xml:space="preserve">Quy trình/công thức</t>
  </si>
  <si>
    <t xml:space="preserve">Sáng chế/GPHI hoặc bí mật kinh doanh - cần sàng lọc</t>
  </si>
  <si>
    <t xml:space="preserve">O-2024-06-04</t>
  </si>
  <si>
    <t xml:space="preserve">Báo cáo đề tài</t>
  </si>
  <si>
    <t xml:space="preserve">O-2024-07-01</t>
  </si>
  <si>
    <t xml:space="preserve">Tiêu bản hiển vi cố định</t>
  </si>
  <si>
    <t xml:space="preserve">tiêu bản</t>
  </si>
  <si>
    <t xml:space="preserve">Học liệu/collection; quy trình kỹ thuật nếu có tính mới</t>
  </si>
  <si>
    <t xml:space="preserve">O-2024-07-02</t>
  </si>
  <si>
    <t xml:space="preserve">Cẩm nang "Phát hiện giun sán truyền qua đất trong các mẫu môi trường"</t>
  </si>
  <si>
    <t xml:space="preserve">Cẩm nang/học liệu</t>
  </si>
  <si>
    <t xml:space="preserve">cẩm nang</t>
  </si>
  <si>
    <t xml:space="preserve">O-2024-07-03</t>
  </si>
  <si>
    <t xml:space="preserve">Bài báo đăng trên Tạp chí NCKH&amp;PT Trường Đại học Thành Đô</t>
  </si>
  <si>
    <t xml:space="preserve">O-2024-07-04</t>
  </si>
  <si>
    <t xml:space="preserve">O-2024-08-01</t>
  </si>
  <si>
    <t xml:space="preserve">Công bố khoa học chuyên ngành có chỉ số ISSN/ISBN</t>
  </si>
  <si>
    <t xml:space="preserve">Công bố khoa học</t>
  </si>
  <si>
    <t xml:space="preserve">công bố</t>
  </si>
  <si>
    <t xml:space="preserve">O-2024-08-02</t>
  </si>
  <si>
    <t xml:space="preserve">Rutin độ tinh khiết 90%</t>
  </si>
  <si>
    <t xml:space="preserve">gam</t>
  </si>
  <si>
    <t xml:space="preserve">Hiện thân của quy trình chiết/tinh chế</t>
  </si>
  <si>
    <t xml:space="preserve">O-2024-08-03</t>
  </si>
  <si>
    <t xml:space="preserve">Báo cáo toàn văn</t>
  </si>
  <si>
    <t xml:space="preserve">O-2024-08-04</t>
  </si>
  <si>
    <t xml:space="preserve">Quy trình chiết xuất và tinh chế rutin</t>
  </si>
  <si>
    <t xml:space="preserve">quy trình</t>
  </si>
  <si>
    <t xml:space="preserve">O-2024-08-05</t>
  </si>
  <si>
    <t xml:space="preserve">O-2024-09-01</t>
  </si>
  <si>
    <t xml:space="preserve">O-2024-09-02</t>
  </si>
  <si>
    <t xml:space="preserve">Thang thuốc 100ml</t>
  </si>
  <si>
    <t xml:space="preserve">thang</t>
  </si>
  <si>
    <t xml:space="preserve">Hiện thân của công thức/quy trình</t>
  </si>
  <si>
    <t xml:space="preserve">O-2024-09-03</t>
  </si>
  <si>
    <t xml:space="preserve">Công thức và quy trình sắc của thang thuốc giảm cân</t>
  </si>
  <si>
    <t xml:space="preserve">O-2024-09-04</t>
  </si>
  <si>
    <t xml:space="preserve">O-2024-10-01</t>
  </si>
  <si>
    <t xml:space="preserve">O-2024-10-02</t>
  </si>
  <si>
    <t xml:space="preserve">O-2024-12-01</t>
  </si>
  <si>
    <t xml:space="preserve">Bài báo đăng trên Tạp chí Khoa học, Trường Đại học Thành Đô</t>
  </si>
  <si>
    <t xml:space="preserve">O-2024-12-02</t>
  </si>
  <si>
    <t xml:space="preserve">Bài báo khoa học đăng trên tạp chí khoa học chuyên ngành trong nước, mức 1.0 điểm trở lên</t>
  </si>
  <si>
    <t xml:space="preserve">O-2024-12-03</t>
  </si>
  <si>
    <t xml:space="preserve">O-2024-13-01</t>
  </si>
  <si>
    <t xml:space="preserve">Bài báo có chỉ số ISSN</t>
  </si>
  <si>
    <t xml:space="preserve">O-2024-13-02</t>
  </si>
  <si>
    <t xml:space="preserve">O-2024-14-01</t>
  </si>
  <si>
    <t xml:space="preserve">Bài báo khoa học đăng trên tạp chí khoa học Trường Đại học Thành Đô</t>
  </si>
  <si>
    <t xml:space="preserve">O-2024-14-02</t>
  </si>
  <si>
    <t xml:space="preserve">Bài báo khoa học đăng trên tạp chí 1.0 điểm theo danh mục HĐGSNN</t>
  </si>
  <si>
    <t xml:space="preserve">O-2024-14-03</t>
  </si>
  <si>
    <t xml:space="preserve">O-2025-01-01</t>
  </si>
  <si>
    <t xml:space="preserve">O-2025-01-02</t>
  </si>
  <si>
    <t xml:space="preserve">Bài báo đăng trên tạp chí có chỉ số ISSN</t>
  </si>
  <si>
    <t xml:space="preserve">O-2025-02-01</t>
  </si>
  <si>
    <t xml:space="preserve">O-2025-02-02</t>
  </si>
  <si>
    <t xml:space="preserve">O-2025-03-01</t>
  </si>
  <si>
    <t xml:space="preserve">O-2025-03-02</t>
  </si>
  <si>
    <t xml:space="preserve">O-2025-04-01</t>
  </si>
  <si>
    <t xml:space="preserve">Hồ sơ trích xuất ghi nhận</t>
  </si>
  <si>
    <t xml:space="preserve">O-2025-06-01</t>
  </si>
  <si>
    <t xml:space="preserve">Bài đăng trên Tạp chí NCKH&amp;PT</t>
  </si>
  <si>
    <t xml:space="preserve">O-2025-06-02</t>
  </si>
  <si>
    <t xml:space="preserve">Công thức bào chế sản phẩm cồn thuốc xoa bóp hỗ trợ giảm đau nhức xương khớp</t>
  </si>
  <si>
    <t xml:space="preserve">công thức</t>
  </si>
  <si>
    <t xml:space="preserve">Đã nghiệm thu; ghi 'công thức mới, dự kiến đăng ký GPHI'</t>
  </si>
  <si>
    <t xml:space="preserve">Giải pháp hữu ích tiềm năng</t>
  </si>
  <si>
    <t xml:space="preserve">O-2025-06-03</t>
  </si>
  <si>
    <t xml:space="preserve">Sản phẩm cồn xoa bóp hỗ trợ giảm đau nhức xương khớp chai 50ml</t>
  </si>
  <si>
    <t xml:space="preserve">chai</t>
  </si>
  <si>
    <t xml:space="preserve">Hiện thân của công thức/quy trình; nhãn hiệu/KDCN nếu có yếu tố riêng</t>
  </si>
  <si>
    <t xml:space="preserve">O-2025-07-01</t>
  </si>
  <si>
    <t xml:space="preserve">O-2025-07-02</t>
  </si>
  <si>
    <t xml:space="preserve">Bài báo đăng trên tạp chí tính điểm/chỉ số ISSN</t>
  </si>
  <si>
    <t xml:space="preserve">O-2025-07-03</t>
  </si>
  <si>
    <t xml:space="preserve">Quy trình bào chế viên ngậm hỗ trợ giảm ho từ Gừng và Húng chanh</t>
  </si>
  <si>
    <t xml:space="preserve">Đã nghiệm thu; ghi 'quy trình mới, dự kiến đăng ký GPHI'</t>
  </si>
  <si>
    <t xml:space="preserve">O-2025-07-04</t>
  </si>
  <si>
    <t xml:space="preserve">Sản phẩm bào chế viên ngậm hỗ trợ giảm ho từ Gừng và Húng chanh</t>
  </si>
  <si>
    <t xml:space="preserve">thanh/10 viên</t>
  </si>
  <si>
    <t xml:space="preserve">Hiện thân của quy trình/công thức; nhãn hiệu/KDCN nếu có yếu tố riêng</t>
  </si>
  <si>
    <t xml:space="preserve">O-2025-09-01</t>
  </si>
  <si>
    <t xml:space="preserve">Báo cáo đề tài - Giai đoạn 1</t>
  </si>
  <si>
    <t xml:space="preserve">Đã nghiệm thu giai đoạn 1</t>
  </si>
  <si>
    <t xml:space="preserve">O-2025-09-02</t>
  </si>
  <si>
    <t xml:space="preserve">Tạp chí có chỉ số ISSN/kỷ yếu hội thảo có chỉ số ISBN - Giai đoạn 1</t>
  </si>
  <si>
    <t xml:space="preserve">O-2025-09-03</t>
  </si>
  <si>
    <t xml:space="preserve">Sáng chế - Giai đoạn 2</t>
  </si>
  <si>
    <t xml:space="preserve">Sáng chế dự kiến</t>
  </si>
  <si>
    <t xml:space="preserve">đầu ra dự kiến</t>
  </si>
  <si>
    <t xml:space="preserve">Kế hoạch giai đoạn 2; chưa có bằng chứng nộp/cấp</t>
  </si>
  <si>
    <t xml:space="preserve">Sáng chế - cần xác minh giai đoạn và hồ sơ đơn</t>
  </si>
  <si>
    <t xml:space="preserve">Dự kiến</t>
  </si>
  <si>
    <t xml:space="preserve">Priority_IP_ID</t>
  </si>
  <si>
    <t xml:space="preserve">TSTT/đầu ra ưu tiên</t>
  </si>
  <si>
    <t xml:space="preserve">Mức ưu tiên</t>
  </si>
  <si>
    <t xml:space="preserve">Dấu hiệu ứng dụng</t>
  </si>
  <si>
    <t xml:space="preserve">Đã nhận diện chính thức?</t>
  </si>
  <si>
    <t xml:space="preserve">Đã sàng lọc IP?</t>
  </si>
  <si>
    <t xml:space="preserve">Chủ sở hữu đã xác minh?</t>
  </si>
  <si>
    <t xml:space="preserve">Hành động đề xuất</t>
  </si>
  <si>
    <t xml:space="preserve">PRI-001</t>
  </si>
  <si>
    <t xml:space="preserve">Chưa kiểm tra</t>
  </si>
  <si>
    <t xml:space="preserve">Tách quyền đối với tên/nhãn hiệu, nội dung, quy trình vận hành; xác minh chủ sở hữu và cơ chế khai thác.</t>
  </si>
  <si>
    <t xml:space="preserve">PRI-002</t>
  </si>
  <si>
    <t xml:space="preserve">Tài liệu hóa phương pháp/quy trình, xác định chủ sở hữu và bằng chứng sử dụng; xem xét quyền tác giả/know-how và giá trị ứng dụng.</t>
  </si>
  <si>
    <t xml:space="preserve">PRI-003</t>
  </si>
  <si>
    <t xml:space="preserve">Rà soát tính mới/trình độ sáng tạo/khả năng áp dụng; kiểm tra công bố trước bảo hộ, chủ sở hữu và lựa chọn sáng chế/GPHI/BMKD/KDCN phù hợp.</t>
  </si>
  <si>
    <t xml:space="preserve">PRI-004</t>
  </si>
  <si>
    <t xml:space="preserve">PRI-005</t>
  </si>
  <si>
    <t xml:space="preserve">Xác định cấu trúc sáng tạo, quyền tác giả/CSDL nếu phù hợp; đo mức sử dụng trong đào tạo và chi phí thay thế.</t>
  </si>
  <si>
    <t xml:space="preserve">PRI-006</t>
  </si>
  <si>
    <t xml:space="preserve">PRI-007</t>
  </si>
  <si>
    <t xml:space="preserve">PRI-008</t>
  </si>
  <si>
    <t xml:space="preserve">PRI-009</t>
  </si>
  <si>
    <t xml:space="preserve">PRI-010</t>
  </si>
  <si>
    <t xml:space="preserve">PRI-011</t>
  </si>
  <si>
    <t xml:space="preserve">PRI-012</t>
  </si>
  <si>
    <t xml:space="preserve">PRI-013</t>
  </si>
  <si>
    <t xml:space="preserve">Xác minh TSTT gốc, chủ sở hữu, hợp đồng/biên bản chuyển giao, đối tác, doanh thu và phạm vi quyền.</t>
  </si>
  <si>
    <t xml:space="preserve">PRI-014</t>
  </si>
  <si>
    <t xml:space="preserve">PRI-015</t>
  </si>
  <si>
    <t xml:space="preserve">PRI-016</t>
  </si>
  <si>
    <t xml:space="preserve">PRI-017</t>
  </si>
  <si>
    <t xml:space="preserve">PRI-018</t>
  </si>
  <si>
    <t xml:space="preserve">PRI-019</t>
  </si>
  <si>
    <t xml:space="preserve">PRI-020</t>
  </si>
  <si>
    <t xml:space="preserve">PRI-021</t>
  </si>
  <si>
    <t xml:space="preserve">PRI-022</t>
  </si>
  <si>
    <t xml:space="preserve">PRI-023</t>
  </si>
  <si>
    <t xml:space="preserve">PRI-024</t>
  </si>
  <si>
    <t xml:space="preserve">PRI-025</t>
  </si>
  <si>
    <t xml:space="preserve">PRI-026</t>
  </si>
  <si>
    <t xml:space="preserve">Source_ID</t>
  </si>
  <si>
    <t xml:space="preserve">Loại hình chuẩn hóa</t>
  </si>
  <si>
    <t xml:space="preserve">Tên và nội dung</t>
  </si>
  <si>
    <t xml:space="preserve">Số/Ký mã hiệu theo nguồn</t>
  </si>
  <si>
    <t xml:space="preserve">Nơi cấp</t>
  </si>
  <si>
    <t xml:space="preserve">Vai trò theo nguồn</t>
  </si>
  <si>
    <t xml:space="preserve">Chủ sở hữu</t>
  </si>
  <si>
    <t xml:space="preserve">Trạng thái hồ sơ suy ra tối thiểu</t>
  </si>
  <si>
    <t xml:space="preserve">Phạm vi đối với nghiên cứu ĐHTĐ</t>
  </si>
  <si>
    <t xml:space="preserve">Project_ID liên quan sơ bộ</t>
  </si>
  <si>
    <t xml:space="preserve">Mức độ liên kết</t>
  </si>
  <si>
    <t xml:space="preserve">Ghi chú phương pháp</t>
  </si>
  <si>
    <t xml:space="preserve">SRC-IP-001</t>
  </si>
  <si>
    <t xml:space="preserve">Bản quyền tác giả</t>
  </si>
  <si>
    <t xml:space="preserve">Bộ Logo Trường Đại học Thành Đô</t>
  </si>
  <si>
    <t xml:space="preserve">6534/2021/QTG</t>
  </si>
  <si>
    <t xml:space="preserve">Cục Bản quyền tác giả, Bộ Văn hóa, Thể thao và Du lịch</t>
  </si>
  <si>
    <t xml:space="preserve">Tác giả</t>
  </si>
  <si>
    <t xml:space="preserve">ĐHTĐ</t>
  </si>
  <si>
    <t xml:space="preserve">Đã có số đăng ký</t>
  </si>
  <si>
    <t xml:space="preserve">Trực tiếp ĐHTĐ</t>
  </si>
  <si>
    <t xml:space="preserve">SRC-IP-002</t>
  </si>
  <si>
    <t xml:space="preserve">Bộ Logo UNIGO</t>
  </si>
  <si>
    <t xml:space="preserve">1584/2022/QTG</t>
  </si>
  <si>
    <t xml:space="preserve">CTY UNIGO</t>
  </si>
  <si>
    <t xml:space="preserve">Ngoài phạm vi ĐHTĐ trực tiếp</t>
  </si>
  <si>
    <t xml:space="preserve">Giữ trong danh mục nguồn đầy đủ nhưng không đưa vào tử số TSTT trực tiếp của ĐHTĐ.</t>
  </si>
  <si>
    <t xml:space="preserve">SRC-IP-003</t>
  </si>
  <si>
    <t xml:space="preserve">Bộ Logo Hệ sinh thái giáo dục Trường Đại học Thành Đô</t>
  </si>
  <si>
    <t xml:space="preserve">5790/2023/QTG</t>
  </si>
  <si>
    <t xml:space="preserve">SRC-IP-004</t>
  </si>
  <si>
    <t xml:space="preserve">Bộ Logo Chương trình Thần đồng Tiếng Việt - Vietnamese LangMaster Kids</t>
  </si>
  <si>
    <t xml:space="preserve">5550/2025/QTG</t>
  </si>
  <si>
    <t xml:space="preserve">Trường UNIGO</t>
  </si>
  <si>
    <t xml:space="preserve">Giữ để phân biệt tài sản hệ sinh thái với tài sản của ĐHTĐ.</t>
  </si>
  <si>
    <t xml:space="preserve">SRC-IP-005</t>
  </si>
  <si>
    <t xml:space="preserve">Nhãn hiệu</t>
  </si>
  <si>
    <t xml:space="preserve">Nhãn hiệu chữ "Unigo"</t>
  </si>
  <si>
    <t xml:space="preserve">364106</t>
  </si>
  <si>
    <t xml:space="preserve">Cục Sở hữu trí tuệ, Bộ KH&amp;CN</t>
  </si>
  <si>
    <t xml:space="preserve">Không ghi</t>
  </si>
  <si>
    <t xml:space="preserve">Đã có số văn bằng/ký hiệu</t>
  </si>
  <si>
    <t xml:space="preserve">Năm 2020, ngoài giai đoạn phân tích chính 2021-2025.</t>
  </si>
  <si>
    <t xml:space="preserve">SRC-IP-006</t>
  </si>
  <si>
    <t xml:space="preserve">Thanh do University</t>
  </si>
  <si>
    <t xml:space="preserve">468353</t>
  </si>
  <si>
    <t xml:space="preserve">SRC-IP-007</t>
  </si>
  <si>
    <t xml:space="preserve">Thado Edupark</t>
  </si>
  <si>
    <t xml:space="preserve">545780</t>
  </si>
  <si>
    <t xml:space="preserve">SRC-IP-008</t>
  </si>
  <si>
    <t xml:space="preserve">Double2n</t>
  </si>
  <si>
    <t xml:space="preserve">Tiếp nhận đơn</t>
  </si>
  <si>
    <t xml:space="preserve">Đồng tác giả</t>
  </si>
  <si>
    <t xml:space="preserve">ĐHTĐ, CTY Thanh Huế</t>
  </si>
  <si>
    <t xml:space="preserve">Tiếp nhận đơn; chưa coi là đã được cấp</t>
  </si>
  <si>
    <t xml:space="preserve">Không có số đơn trong danh sách nguồn được cung cấp.</t>
  </si>
  <si>
    <t xml:space="preserve">SRC-IP-009</t>
  </si>
  <si>
    <t xml:space="preserve">Thần Đồng Tiếng Việt</t>
  </si>
  <si>
    <t xml:space="preserve">Chờ tiếp nhận</t>
  </si>
  <si>
    <t xml:space="preserve">Chờ tiếp nhận; chưa coi là đã nộp/được cấp</t>
  </si>
  <si>
    <t xml:space="preserve">SRC-IP-010</t>
  </si>
  <si>
    <t xml:space="preserve">Kiểu dáng công nghiệp</t>
  </si>
  <si>
    <t xml:space="preserve">Dung dịch vệ sinh phụ nữ</t>
  </si>
  <si>
    <t xml:space="preserve">3-0039693-000</t>
  </si>
  <si>
    <t xml:space="preserve">Đã có số/ký mã hiệu</t>
  </si>
  <si>
    <t xml:space="preserve">SRC-IP-011</t>
  </si>
  <si>
    <t xml:space="preserve">Tinh dầu vỏ bưởi đào</t>
  </si>
  <si>
    <t xml:space="preserve">3-0039694-000</t>
  </si>
  <si>
    <t xml:space="preserve">Tên sản phẩm và bối cảnh hợp tác phù hợp; vẫn cần hồ sơ gốc để khẳng định nguồn từ đề tài.</t>
  </si>
  <si>
    <t xml:space="preserve">SRC-IP-012</t>
  </si>
  <si>
    <t xml:space="preserve">Xịt miệng - họng thảo dược</t>
  </si>
  <si>
    <t xml:space="preserve">3-0039902-000</t>
  </si>
  <si>
    <t xml:space="preserve">Chưa có đầu ra đề tài hiện tại đủ mạnh để liên kết.</t>
  </si>
  <si>
    <t xml:space="preserve">SRC-IP-013</t>
  </si>
  <si>
    <t xml:space="preserve">Dầu gội nha đam - bưởi đào</t>
  </si>
  <si>
    <t xml:space="preserve">3-0039695-000</t>
  </si>
  <si>
    <t xml:space="preserve">SRC-IP-014</t>
  </si>
  <si>
    <t xml:space="preserve">Kem ủ xả tóc - Chiết xuất từ Bưởi - Bơ - Dừa</t>
  </si>
  <si>
    <t xml:space="preserve">3-0039696-000</t>
  </si>
  <si>
    <t xml:space="preserve">SRC-IP-015</t>
  </si>
  <si>
    <t xml:space="preserve">Sáng chế</t>
  </si>
  <si>
    <t xml:space="preserve">Các hợp chất furofuran lignan glucoside và phương pháp chiết các hợp chất này từ lá của cây quế hoa (Osmanthus fragrans)</t>
  </si>
  <si>
    <t xml:space="preserve">Nguyễn Ngọc Linh (ghi tại cột Vai trò)</t>
  </si>
  <si>
    <t xml:space="preserve">Có trong danh sách; chưa có số/ký mã hiệu trong nguồn</t>
  </si>
  <si>
    <t xml:space="preserve">Rất cao</t>
  </si>
  <si>
    <t xml:space="preserve">Không suy ra đã nộp hay đã cấp khi chưa có số đơn/văn bằng.</t>
  </si>
  <si>
    <t xml:space="preserve">SRC-IP-016</t>
  </si>
  <si>
    <t xml:space="preserve">Phương pháp chiết tách và phân lập hợp chất Isoembigenin từ cây Piper aduncum L.</t>
  </si>
  <si>
    <t xml:space="preserve">Ngoài giai đoạn 2021-2025; giữ để theo dõi pipeline tiếp theo.</t>
  </si>
  <si>
    <t xml:space="preserve">KPI BẢN v0.8 – MỌI CHỈ SỐ GHI RÕ MẪU SỐ VÀ TÍNH BẰNG CÔNG THỨC</t>
  </si>
  <si>
    <t xml:space="preserve">Thay thế 08_KPI_ALL (giá trị gõ tay). Tỷ lệ chỉ tính trên mẫu số đã loại đầu ra hành chính bắt buộc.</t>
  </si>
  <si>
    <t xml:space="preserve">Mã</t>
  </si>
  <si>
    <t xml:space="preserve">Chỉ số</t>
  </si>
  <si>
    <t xml:space="preserve">Tử số</t>
  </si>
  <si>
    <t xml:space="preserve">Mẫu số</t>
  </si>
  <si>
    <t xml:space="preserve">Giá trị</t>
  </si>
  <si>
    <t xml:space="preserve">Ghi chú diễn giải</t>
  </si>
  <si>
    <t xml:space="preserve">K01</t>
  </si>
  <si>
    <t xml:space="preserve">Tổng số đề tài cấp cơ sở đã kiểm kê</t>
  </si>
  <si>
    <t xml:space="preserve">Đơn vị phân tích: 1 đề tài.</t>
  </si>
  <si>
    <t xml:space="preserve">K02</t>
  </si>
  <si>
    <t xml:space="preserve">Tổng số dòng đầu ra</t>
  </si>
  <si>
    <t xml:space="preserve">Dòng đầu ra, không phải số sản phẩm.</t>
  </si>
  <si>
    <t xml:space="preserve">K03</t>
  </si>
  <si>
    <t xml:space="preserve">Trong đó: báo cáo tổng kết (bắt buộc hành chính)</t>
  </si>
  <si>
    <t xml:space="preserve">Loại khỏi mọi mẫu số tính tỷ lệ.</t>
  </si>
  <si>
    <t xml:space="preserve">K04</t>
  </si>
  <si>
    <t xml:space="preserve">Trong đó: công bố khoa học</t>
  </si>
  <si>
    <t xml:space="preserve">Bài báo, kỷ yếu; chưa đối chiếu DOI.</t>
  </si>
  <si>
    <t xml:space="preserve">K05</t>
  </si>
  <si>
    <t xml:space="preserve">Trong đó: ứng viên tài sản trí tuệ</t>
  </si>
  <si>
    <t xml:space="preserve">Sản phẩm, quy trình, bộ mẫu, học liệu, SHCN dự kiến.</t>
  </si>
  <si>
    <t xml:space="preserve">K06</t>
  </si>
  <si>
    <t xml:space="preserve">Trong đó: sản phẩm tổ chức/quản trị</t>
  </si>
  <si>
    <t xml:space="preserve">Không đưa vào phân tích TSTT.</t>
  </si>
  <si>
    <t xml:space="preserve">K07</t>
  </si>
  <si>
    <t xml:space="preserve">Mẫu số phân tích TSTT</t>
  </si>
  <si>
    <t xml:space="preserve">K02 trừ K03.</t>
  </si>
  <si>
    <t xml:space="preserve">K08</t>
  </si>
  <si>
    <t xml:space="preserve">Tỷ lệ ứng viên TSTT trên mẫu số phân tích</t>
  </si>
  <si>
    <t xml:space="preserve">Không gọi là tỷ lệ bảo hộ.</t>
  </si>
  <si>
    <t xml:space="preserve">K09</t>
  </si>
  <si>
    <t xml:space="preserve">Số đề tài có ít nhất 1 ứng viên TSTT</t>
  </si>
  <si>
    <t xml:space="preserve">Tính trên 38 đề tài.</t>
  </si>
  <si>
    <t xml:space="preserve">K10</t>
  </si>
  <si>
    <t xml:space="preserve">Tỷ lệ đề tài có ít nhất 1 ứng viên TSTT</t>
  </si>
  <si>
    <t xml:space="preserve">Mẫu số gồm cả đề tài thuần lý thuyết.</t>
  </si>
  <si>
    <t xml:space="preserve">K11</t>
  </si>
  <si>
    <t xml:space="preserve">Số đề tài hồ sơ ghi có đầu ra ứng dụng</t>
  </si>
  <si>
    <t xml:space="preserve">19 đề tài ghi 'Không ghi nhận' — không suy ra là không có.</t>
  </si>
  <si>
    <t xml:space="preserve">K12</t>
  </si>
  <si>
    <t xml:space="preserve">Tỷ lệ đề tài hồ sơ ghi có đầu ra ứng dụng</t>
  </si>
  <si>
    <t xml:space="preserve">Là tỷ lệ ghi nhận trong hồ sơ, không phải tỷ lệ ứng dụng thực tế.</t>
  </si>
  <si>
    <t xml:space="preserve">K13</t>
  </si>
  <si>
    <t xml:space="preserve">Đối tượng SHTT ĐHTĐ sở hữu/đồng sở hữu, 2021–2025</t>
  </si>
  <si>
    <t xml:space="preserve">Loại tài sản của UNIGO và cá nhân.</t>
  </si>
  <si>
    <t xml:space="preserve">K14</t>
  </si>
  <si>
    <t xml:space="preserve">Trong đó đã có số văn bằng/số đăng ký</t>
  </si>
  <si>
    <t xml:space="preserve">Loại Double2n (tiếp nhận đơn) và sáng chế chưa có số.</t>
  </si>
  <si>
    <t xml:space="preserve">K15</t>
  </si>
  <si>
    <t xml:space="preserve">Tỷ lệ đối tượng đã có số trên portfolio trực tiếp</t>
  </si>
  <si>
    <t xml:space="preserve">Chỉ mô tả trạng thái hồ sơ, không phải hiệu quả bảo hộ.</t>
  </si>
  <si>
    <t xml:space="preserve">Lưu ý: K05 (ứng viên TSTT theo từ điển v0.8) khác K-cũ 'đầu ra ưu tiên IP' ở 03_IP_PRIORITY_ALL vì hai tiêu chí phân loại khác nhau. Khi viết luận án phải nêu rõ đang dùng định nghĩa nào.</t>
  </si>
  <si>
    <t xml:space="preserve">KIỂM TRA CHẤT LƯỢNG DỮ LIỆU – TỰ ĐỘNG</t>
  </si>
  <si>
    <t xml:space="preserve">Mọi dòng phải cho kết quả OK. Chạy lại sau mỗi lần sửa dữ liệu.</t>
  </si>
  <si>
    <t xml:space="preserve">Nội dung kiểm tra</t>
  </si>
  <si>
    <t xml:space="preserve">Kỳ vọng</t>
  </si>
  <si>
    <t xml:space="preserve">Kết quả</t>
  </si>
  <si>
    <t xml:space="preserve">Kết luận</t>
  </si>
  <si>
    <t xml:space="preserve">QC01</t>
  </si>
  <si>
    <t xml:space="preserve">Số Project_ID bị trùng trong 01_PROJECT_ALL</t>
  </si>
  <si>
    <t xml:space="preserve">QC02</t>
  </si>
  <si>
    <t xml:space="preserve">Số Output_ID bị trùng trong 02_OUTPUT_ALL</t>
  </si>
  <si>
    <t xml:space="preserve">QC03</t>
  </si>
  <si>
    <t xml:space="preserve">Đầu ra trỏ tới đề tài không tồn tại</t>
  </si>
  <si>
    <t xml:space="preserve">QC04</t>
  </si>
  <si>
    <t xml:space="preserve">Dòng ưu tiên IP trỏ tới đầu ra không tồn tại</t>
  </si>
  <si>
    <t xml:space="preserve">QC05</t>
  </si>
  <si>
    <t xml:space="preserve">Loại đầu ra không có trong từ điển 09B</t>
  </si>
  <si>
    <t xml:space="preserve">QC06</t>
  </si>
  <si>
    <t xml:space="preserve">Tổng 4 nhóm mẫu số phải bằng tổng dòng đầu ra</t>
  </si>
  <si>
    <t xml:space="preserve">QC07</t>
  </si>
  <si>
    <t xml:space="preserve">Đề tài không có dòng đầu ra nào</t>
  </si>
  <si>
    <t xml:space="preserve">QC08</t>
  </si>
  <si>
    <t xml:space="preserve">Đối tượng SHTT thiếu cả số văn bằng lẫn ghi chú trạng thái</t>
  </si>
  <si>
    <t xml:space="preserve">BẢNG ÁNH XẠ LOẠI ĐẦU RA – CHUẨN HÓA v0.8</t>
  </si>
  <si>
    <t xml:space="preserve">Giữ nguyên giá trị gốc trong 02_OUTPUT_ALL cột E; cột P và Q là giá trị chuẩn hóa tra theo bảng này.</t>
  </si>
  <si>
    <t xml:space="preserve">Giá trị gốc trong hồ sơ</t>
  </si>
  <si>
    <t xml:space="preserve">Loại đầu ra chuẩn hóa (8 nhóm)</t>
  </si>
  <si>
    <t xml:space="preserve">Nhóm mẫu số</t>
  </si>
  <si>
    <t xml:space="preserve">Bắt buộc hành chính</t>
  </si>
  <si>
    <t xml:space="preserve">Công bố</t>
  </si>
  <si>
    <t xml:space="preserve">Sản phẩm/mô hình/prototype</t>
  </si>
  <si>
    <t xml:space="preserve">Ứng viên TSTT</t>
  </si>
  <si>
    <t xml:space="preserve">Quy trình/giải pháp/công thức</t>
  </si>
  <si>
    <t xml:space="preserve">Bộ mẫu/CSDL/học liệu</t>
  </si>
  <si>
    <t xml:space="preserve">Đối tượng SHCN dự kiến</t>
  </si>
  <si>
    <t xml:space="preserve">Kết quả ứng dụng/chuyển giao</t>
  </si>
  <si>
    <t xml:space="preserve">Sản phẩm tổ chức/quản trị</t>
  </si>
  <si>
    <t xml:space="preserve">Khác/quản trị</t>
  </si>
  <si>
    <t xml:space="preserve">Gap_ID</t>
  </si>
  <si>
    <t xml:space="preserve">Khâu quản trị</t>
  </si>
  <si>
    <t xml:space="preserve">Yêu cầu/quy định nội bộ</t>
  </si>
  <si>
    <t xml:space="preserve">Nguồn quy định</t>
  </si>
  <si>
    <t xml:space="preserve">Bằng chứng thực tế cần thu</t>
  </si>
  <si>
    <t xml:space="preserve">Bằng chứng hiện có</t>
  </si>
  <si>
    <t xml:space="preserve">Mức tuân thủ (0-2)</t>
  </si>
  <si>
    <t xml:space="preserve">Mức độ rủi ro</t>
  </si>
  <si>
    <t xml:space="preserve">Khoảng cách sơ bộ</t>
  </si>
  <si>
    <t xml:space="preserve">Dữ liệu cần xin thêm</t>
  </si>
  <si>
    <t xml:space="preserve">Khuyến nghị kiểm tra</t>
  </si>
  <si>
    <t xml:space="preserve">G01</t>
  </si>
  <si>
    <t xml:space="preserve">Nhận diện và kiểm kê TSTT</t>
  </si>
  <si>
    <t xml:space="preserve">Quy chế quản trị TSTT bao quát tạo lập, xác lập, bảo vệ và khai thác thương mại TSTT; cần có cơ chế nhận diện TSTT phát sinh.</t>
  </si>
  <si>
    <t xml:space="preserve">QC SHTT ĐHTĐ.docx</t>
  </si>
  <si>
    <t xml:space="preserve">Sổ/CSDL TSTT, phiếu khai báo, hồ sơ nhận diện</t>
  </si>
  <si>
    <t xml:space="preserve">Người dùng xác nhận hiện không có phiếu khai báo/biên bản nhận diện hoặc sổ/CSDL tương đương.</t>
  </si>
  <si>
    <t xml:space="preserve">Khoảng trống về tài liệu hóa và khả năng truy vết khâu nhận diện; chưa đủ căn cứ để kết luận hoạt động nhận diện không diễn ra.</t>
  </si>
  <si>
    <t xml:space="preserve">CSDL/sổ đăng ký TSTT</t>
  </si>
  <si>
    <t xml:space="preserve">Kiểm tra có danh mục TSTT tập trung và thời điểm ghi nhận.</t>
  </si>
  <si>
    <t xml:space="preserve">G02</t>
  </si>
  <si>
    <t xml:space="preserve">Xác định chủ sở hữu</t>
  </si>
  <si>
    <t xml:space="preserve">Quy chế KHCN 2021 quy định quyền SHTT đối với kết quả nghiên cứu đề tài thuộc Trường; tác giả hưởng quyền tác giả và các bên thỏa thuận quyền nộp đơn/phân chia lợi ích.</t>
  </si>
  <si>
    <t xml:space="preserve">QĐ 213/QĐ-ĐHTĐ 2021</t>
  </si>
  <si>
    <t xml:space="preserve">Hợp đồng/thuyết minh/biên bản xác định chủ sở hữu từng đề tài</t>
  </si>
  <si>
    <t xml:space="preserve">Có quy định chung; chưa đối chiếu hồ sơ từng dự án</t>
  </si>
  <si>
    <t xml:space="preserve">Có nguy cơ gap giữa quy định chung và hồ sơ cụ thể</t>
  </si>
  <si>
    <t xml:space="preserve">Hợp đồng đề tài; thỏa thuận đồng sở hữu</t>
  </si>
  <si>
    <t xml:space="preserve">Lấy mẫu 10–20 đề tài có sản phẩm ứng dụng để audit.</t>
  </si>
  <si>
    <t xml:space="preserve">G03</t>
  </si>
  <si>
    <t xml:space="preserve">Bảo mật trước công bố</t>
  </si>
  <si>
    <t xml:space="preserve">Quy chế KHCN 2021 yêu cầu bảo mật kết quả; phổ biến/sử dụng phải có thỏa thuận bằng văn bản trong trường hợp thuộc phạm vi điều chỉnh.</t>
  </si>
  <si>
    <t xml:space="preserve">Ngày công bố bài báo vs ngày sàng lọc/nộp đơn</t>
  </si>
  <si>
    <t xml:space="preserve">Có các đề tài vừa có bài báo vừa dự kiến đăng ký GPHI</t>
  </si>
  <si>
    <t xml:space="preserve">Có rủi ro công bố trước khi hoàn tất sàng lọc IP</t>
  </si>
  <si>
    <t xml:space="preserve">Ngày accepted/published và ngày nộp đơn</t>
  </si>
  <si>
    <t xml:space="preserve">Ưu tiên audit P2025-06 và P2025-07.</t>
  </si>
  <si>
    <t xml:space="preserve">G04</t>
  </si>
  <si>
    <t xml:space="preserve">Đăng ký xác lập quyền</t>
  </si>
  <si>
    <t xml:space="preserve">Cần thống nhất quyền nộp đơn và thực hiện đăng ký khi có tài sản đủ điều kiện.</t>
  </si>
  <si>
    <t xml:space="preserve">QĐ 213/QĐ-ĐHTĐ 2021; QC SHTT</t>
  </si>
  <si>
    <t xml:space="preserve">Số đơn, ngày nộp, trạng thái, chủ đơn</t>
  </si>
  <si>
    <t xml:space="preserve">Có danh sách đơn/văn bằng tổng hợp, nhưng người dùng xác nhận không có hồ sơ sàng lọc/tra cứu khả năng bảo hộ.</t>
  </si>
  <si>
    <t xml:space="preserve">Có đầu ra được bảo hộ/đang xử lý nhưng thiếu hồ sơ giải thích quyết định chọn đối tượng, loại quyền và thời điểm nộp.</t>
  </si>
  <si>
    <t xml:space="preserve">Danh sách đơn SHTT của Trường</t>
  </si>
  <si>
    <t xml:space="preserve">Đối chiếu từng IP_ID với dữ liệu/hồ sơ trường.</t>
  </si>
  <si>
    <t xml:space="preserve">G05</t>
  </si>
  <si>
    <t xml:space="preserve">Ứng dụng/chuyển giao</t>
  </si>
  <si>
    <t xml:space="preserve">Quy chế KHCN quy định chuyển giao và phân chia lợi ích; sản phẩm hợp tác DN phải tuân thủ hợp đồng và quyền SHTT.</t>
  </si>
  <si>
    <t xml:space="preserve">Hợp đồng chuyển giao, biên bản bàn giao, đối tác, doanh thu</t>
  </si>
  <si>
    <t xml:space="preserve">Người dùng xác nhận không có hợp đồng chuyển giao/cấp phép/biên bản thương mại hóa trong bộ hồ sơ hiện có.</t>
  </si>
  <si>
    <t xml:space="preserve">Không thể xác nhận giao dịch thương mại chỉ từ mô tả 'chuyển giao/ứng dụng' trong hồ sơ nghiệm thu.</t>
  </si>
  <si>
    <t xml:space="preserve">Hợp đồng/biên bản/doanh thu</t>
  </si>
  <si>
    <t xml:space="preserve">Phân biệt chuyển giao nội bộ, cấp phép, bán sản phẩm, CGCN ra ngoài.</t>
  </si>
  <si>
    <t xml:space="preserve">G06</t>
  </si>
  <si>
    <t xml:space="preserve">Phân chia lợi ích</t>
  </si>
  <si>
    <t xml:space="preserve">Quy chế KHCN 2021 có tỷ lệ phân chia lợi nhuận cho một số trường hợp thương mại hóa/chuyển giao.</t>
  </si>
  <si>
    <t xml:space="preserve">Chứng từ phân chia lợi ích thực tế</t>
  </si>
  <si>
    <t xml:space="preserve">Chưa có trong bộ dữ liệu</t>
  </si>
  <si>
    <t xml:space="preserve">Chưa đánh giá</t>
  </si>
  <si>
    <t xml:space="preserve">Hồ sơ tài chính, quyết định chi</t>
  </si>
  <si>
    <t xml:space="preserve">Kiểm tra đã từng kích hoạt cơ chế này chưa.</t>
  </si>
  <si>
    <t xml:space="preserve">G07</t>
  </si>
  <si>
    <t xml:space="preserve">Định giá TSTT</t>
  </si>
  <si>
    <t xml:space="preserve">Đề cương nghiên cứu đặt vấn đề hiệu quả quản lý/bảo hộ/thương mại hóa; dữ liệu hiện chưa cho thấy quy trình định giá.</t>
  </si>
  <si>
    <t xml:space="preserve">Đề xuất KHCN 2026 + hồ sơ nội bộ cần kiểm chứng</t>
  </si>
  <si>
    <t xml:space="preserve">Hồ sơ thẩm định/định giá, tiêu chí lựa chọn</t>
  </si>
  <si>
    <t xml:space="preserve">Có thể là khoảng trống quản trị</t>
  </si>
  <si>
    <t xml:space="preserve">Biên bản định giá/thẩm định</t>
  </si>
  <si>
    <t xml:space="preserve">Không kết luận 'không có' trước khi kiểm tra hồ sơ tài chính/pháp chế.</t>
  </si>
  <si>
    <t xml:space="preserve">G08</t>
  </si>
  <si>
    <t xml:space="preserve">Theo dõi vòng đời quyền</t>
  </si>
  <si>
    <t xml:space="preserve">Quản trị TSTT cần theo dõi tình trạng đơn/văn bằng và khai thác.</t>
  </si>
  <si>
    <t xml:space="preserve">Ngày nộp/cấp/gia hạn/hết hạn/chi phí</t>
  </si>
  <si>
    <t xml:space="preserve">Bảng thống kê văn bằng hiện mới là ảnh/danh sách rời</t>
  </si>
  <si>
    <t xml:space="preserve">Dữ liệu phân tán</t>
  </si>
  <si>
    <t xml:space="preserve">Sổ theo dõi văn bằng</t>
  </si>
  <si>
    <t xml:space="preserve">Chuẩn hóa thành PROTECTION table.</t>
  </si>
  <si>
    <t xml:space="preserve">G09</t>
  </si>
  <si>
    <t xml:space="preserve">Liên kết ĐH-DN</t>
  </si>
  <si>
    <t xml:space="preserve">Quy chế KHCN khuyến khích hợp tác nghiên cứu, chuyển giao công nghệ với doanh nghiệp.</t>
  </si>
  <si>
    <t xml:space="preserve">Hợp đồng hợp tác, contribution, điều khoản IP</t>
  </si>
  <si>
    <t xml:space="preserve">Một số đề tài có yếu tố hợp tác ĐH-DN</t>
  </si>
  <si>
    <t xml:space="preserve">Chưa biết điều khoản IP được xác lập từ đầu hay sau nghiên cứu</t>
  </si>
  <si>
    <t xml:space="preserve">Hợp đồng hợp tác</t>
  </si>
  <si>
    <t xml:space="preserve">Audit điều khoản background IP/foreground IP.</t>
  </si>
  <si>
    <t xml:space="preserve">G10</t>
  </si>
  <si>
    <t xml:space="preserve">Ứng dụng nội bộ</t>
  </si>
  <si>
    <t xml:space="preserve">Kết quả KHCN có thể phục vụ đào tạo, nghiên cứu và phát triển Nhà trường.</t>
  </si>
  <si>
    <t xml:space="preserve">Minh chứng sử dụng trong môn học/phòng thực hành/quản trị</t>
  </si>
  <si>
    <t xml:space="preserve">Một số sản phẩm có mục tiêu đào tạo rõ (bộ mẫu, panel)</t>
  </si>
  <si>
    <t xml:space="preserve">Chưa có chỉ số đo mức sử dụng</t>
  </si>
  <si>
    <t xml:space="preserve">Kế hoạch môn học, biên bản bàn giao, số lượt sử dụng</t>
  </si>
  <si>
    <t xml:space="preserve">Tách 'có sản phẩm' khỏi 'được sử dụng thực tế'.</t>
  </si>
  <si>
    <t xml:space="preserve">G11</t>
  </si>
  <si>
    <t xml:space="preserve">Cơ sở dữ liệu và số hóa</t>
  </si>
  <si>
    <t xml:space="preserve">Đề cương nhấn mạnh số hóa quản trị TSTT; QC TSTT tạo nền cho quản lý tập trung.</t>
  </si>
  <si>
    <t xml:space="preserve">Đề xuất KHCN 2026; QC SHTT</t>
  </si>
  <si>
    <t xml:space="preserve">Phần mềm/CSDL/IP disclosure workflow</t>
  </si>
  <si>
    <t xml:space="preserve">Chưa có bằng chứng trong bộ dữ liệu</t>
  </si>
  <si>
    <t xml:space="preserve">Quy trình phần mềm/phân quyền</t>
  </si>
  <si>
    <t xml:space="preserve">Khảo sát Phòng KHCN về hệ thống đang dùng.</t>
  </si>
  <si>
    <t xml:space="preserve">G12</t>
  </si>
  <si>
    <t xml:space="preserve">Động lực cá nhân</t>
  </si>
  <si>
    <t xml:space="preserve">Quy chế có cơ chế quyền lợi/khen thưởng; hiệu quả phụ thuộc nhận thức và động lực giảng viên.</t>
  </si>
  <si>
    <t xml:space="preserve">QĐ 213/QĐ-ĐHTĐ 2021; đề cương 2026</t>
  </si>
  <si>
    <t xml:space="preserve">Khảo sát TPB/động lực, phỏng vấn</t>
  </si>
  <si>
    <t xml:space="preserve">Chưa có dữ liệu khảo sát</t>
  </si>
  <si>
    <t xml:space="preserve">Khảo sát giảng viên/chuyên gia</t>
  </si>
  <si>
    <t xml:space="preserve">Đo thái độ, chuẩn chủ quan, perceived control, incentive fairness.</t>
  </si>
  <si>
    <t xml:space="preserve">Dataset</t>
  </si>
  <si>
    <t xml:space="preserve">Biến</t>
  </si>
  <si>
    <t xml:space="preserve">Nhãn/ý nghĩa</t>
  </si>
  <si>
    <t xml:space="preserve">Kiểu</t>
  </si>
  <si>
    <t xml:space="preserve">Mã hóa/giá trị hợp lệ</t>
  </si>
  <si>
    <t xml:space="preserve">Bắt buộc?</t>
  </si>
  <si>
    <t xml:space="preserve">Nguồn dự kiến</t>
  </si>
  <si>
    <t xml:space="preserve">PROJECT</t>
  </si>
  <si>
    <t xml:space="preserve">Mã duy nhất đề tài</t>
  </si>
  <si>
    <t xml:space="preserve">Text</t>
  </si>
  <si>
    <t xml:space="preserve">PYYYY-XX</t>
  </si>
  <si>
    <t xml:space="preserve">Hồ sơ đề tài</t>
  </si>
  <si>
    <t xml:space="preserve">Không đổi sau khi gán</t>
  </si>
  <si>
    <t xml:space="preserve">Năm nghiệm thu/ghi nhận</t>
  </si>
  <si>
    <t xml:space="preserve">Integer</t>
  </si>
  <si>
    <t xml:space="preserve">2021–2025</t>
  </si>
  <si>
    <t xml:space="preserve">Ưu tiên năm nghiệm thu</t>
  </si>
  <si>
    <t xml:space="preserve">Mã quản lý nội bộ</t>
  </si>
  <si>
    <t xml:space="preserve">Theo quyết định</t>
  </si>
  <si>
    <t xml:space="preserve">Tên đầy đủ</t>
  </si>
  <si>
    <t xml:space="preserve">Nguyên văn</t>
  </si>
  <si>
    <t xml:space="preserve">Không tự chuẩn hóa làm mất nghĩa</t>
  </si>
  <si>
    <t xml:space="preserve">Cấp đề tài</t>
  </si>
  <si>
    <t xml:space="preserve">Cấp quản lý</t>
  </si>
  <si>
    <t xml:space="preserve">Category</t>
  </si>
  <si>
    <t xml:space="preserve">Cơ sở/Quốc gia/Bộ/Tỉnh/Khác</t>
  </si>
  <si>
    <t xml:space="preserve">Hồ sơ</t>
  </si>
  <si>
    <t xml:space="preserve">Chủ nhiệm đề tài</t>
  </si>
  <si>
    <t xml:space="preserve">Khoa/viện/phòng</t>
  </si>
  <si>
    <t xml:space="preserve">Chuẩn hóa tên đơn vị</t>
  </si>
  <si>
    <t xml:space="preserve">Giữ thêm tên gốc nếu đổi tổ chức</t>
  </si>
  <si>
    <t xml:space="preserve">Nhóm chuyên môn</t>
  </si>
  <si>
    <t xml:space="preserve">Dược/Kỹ thuật/Kinh tế/CNTT/NN-DL/...</t>
  </si>
  <si>
    <t xml:space="preserve">Suy từ đơn vị+nội dung</t>
  </si>
  <si>
    <t xml:space="preserve">Có bảng mapping</t>
  </si>
  <si>
    <t xml:space="preserve">Trụ cột chiến lược 2030</t>
  </si>
  <si>
    <t xml:space="preserve">Smart Mobility/Digital Services/Global Communication/Wellness &amp; Care/Khác</t>
  </si>
  <si>
    <t xml:space="preserve">Khung chiến lược</t>
  </si>
  <si>
    <t xml:space="preserve">Date</t>
  </si>
  <si>
    <t xml:space="preserve">dd/mm/yyyy</t>
  </si>
  <si>
    <t xml:space="preserve">QĐ/biên bản</t>
  </si>
  <si>
    <t xml:space="preserve">Kết quả nghiệm thu</t>
  </si>
  <si>
    <t xml:space="preserve">Đạt/Tốt/Xuất sắc/Khác</t>
  </si>
  <si>
    <t xml:space="preserve">Kinh phí thực hiện</t>
  </si>
  <si>
    <t xml:space="preserve">Number</t>
  </si>
  <si>
    <t xml:space="preserve">VND</t>
  </si>
  <si>
    <t xml:space="preserve">Tách phần quy đổi giờ nếu cần</t>
  </si>
  <si>
    <t xml:space="preserve">Số thành viên</t>
  </si>
  <si>
    <t xml:space="preserve">Quy mô nhóm</t>
  </si>
  <si>
    <t xml:space="preserve">&gt;=1</t>
  </si>
  <si>
    <t xml:space="preserve">Tính chủ nhiệm + thành viên</t>
  </si>
  <si>
    <t xml:space="preserve">Có DN tham gia?</t>
  </si>
  <si>
    <t xml:space="preserve">Có doanh nghiệp trong nhóm/hợp tác</t>
  </si>
  <si>
    <t xml:space="preserve">Có/Không/Chưa xác minh</t>
  </si>
  <si>
    <t xml:space="preserve">Hồ sơ/hợp đồng</t>
  </si>
  <si>
    <t xml:space="preserve">Không suy từ tên đề tài</t>
  </si>
  <si>
    <t xml:space="preserve">Có SV tham gia?</t>
  </si>
  <si>
    <t xml:space="preserve">Có người học tham gia</t>
  </si>
  <si>
    <t xml:space="preserve">Số đầu ra</t>
  </si>
  <si>
    <t xml:space="preserve">Tổng output liên kết</t>
  </si>
  <si>
    <t xml:space="preserve">Formula</t>
  </si>
  <si>
    <t xml:space="preserve">COUNTIF OUTPUT</t>
  </si>
  <si>
    <t xml:space="preserve">Tự động</t>
  </si>
  <si>
    <t xml:space="preserve">OUTPUT</t>
  </si>
  <si>
    <t xml:space="preserve">Mã đầu ra</t>
  </si>
  <si>
    <t xml:space="preserve">OYYYY-Project-Seq</t>
  </si>
  <si>
    <t xml:space="preserve">Khóa liên kết đề tài</t>
  </si>
  <si>
    <t xml:space="preserve">Phải tồn tại ở PROJECT</t>
  </si>
  <si>
    <t xml:space="preserve">Tên đầu ra</t>
  </si>
  <si>
    <t xml:space="preserve">Tên sản phẩm/đầu ra</t>
  </si>
  <si>
    <t xml:space="preserve">Nguyên văn tối đa</t>
  </si>
  <si>
    <t xml:space="preserve">Sản phẩm nghiệm thu</t>
  </si>
  <si>
    <t xml:space="preserve">Loại vật mang kết quả</t>
  </si>
  <si>
    <t xml:space="preserve">Báo cáo/Bài báo/Sách-GT/CSDL/Phần mềm/Quy trình/Sản phẩm/Mô hình/Thiết kế/Nhãn hiệu/Khác</t>
  </si>
  <si>
    <t xml:space="preserve">Coding</t>
  </si>
  <si>
    <t xml:space="preserve">Số lượng đầu ra</t>
  </si>
  <si>
    <t xml:space="preserve">&gt;=0</t>
  </si>
  <si>
    <t xml:space="preserve">Đã công bố?</t>
  </si>
  <si>
    <t xml:space="preserve">Trạng thái công bố</t>
  </si>
  <si>
    <t xml:space="preserve">Có/Có nội bộ/Chưa/Chưa xác minh</t>
  </si>
  <si>
    <t xml:space="preserve">Có khả năng là TSTT</t>
  </si>
  <si>
    <t xml:space="preserve">Không đồng nghĩa đủ điều kiện bảo hộ độc quyền</t>
  </si>
  <si>
    <t xml:space="preserve">Nhóm TSTT sơ bộ</t>
  </si>
  <si>
    <t xml:space="preserve">Phân nhóm sơ bộ</t>
  </si>
  <si>
    <t xml:space="preserve">Học thuật/Công nghệ/Số/Thương hiệu/Khác</t>
  </si>
  <si>
    <t xml:space="preserve">Khả năng tạo giá trị</t>
  </si>
  <si>
    <t xml:space="preserve">Dạng giá trị tiềm năng</t>
  </si>
  <si>
    <t xml:space="preserve">Multi-category</t>
  </si>
  <si>
    <t xml:space="preserve">Khoa học/Đào tạo/Công nghệ/Kinh tế/Chiến lược/Xã hội</t>
  </si>
  <si>
    <t xml:space="preserve">Bằng chứng nguồn</t>
  </si>
  <si>
    <t xml:space="preserve">Nguồn chứng minh</t>
  </si>
  <si>
    <t xml:space="preserve">Tên file + trang/dòng</t>
  </si>
  <si>
    <t xml:space="preserve">File nội bộ</t>
  </si>
  <si>
    <t xml:space="preserve">Mức tin cậy</t>
  </si>
  <si>
    <t xml:space="preserve">Độ chắc chắn coding</t>
  </si>
  <si>
    <t xml:space="preserve">Cao/Trung bình/Thấp</t>
  </si>
  <si>
    <t xml:space="preserve">Coder</t>
  </si>
  <si>
    <t xml:space="preserve">IP_ASSET</t>
  </si>
  <si>
    <t xml:space="preserve">IP_ID</t>
  </si>
  <si>
    <t xml:space="preserve">Mã TSTT/cụm TSTT</t>
  </si>
  <si>
    <t xml:space="preserve">IPYYYY-XX-A</t>
  </si>
  <si>
    <t xml:space="preserve">Tên TSTT/cụm TSTT</t>
  </si>
  <si>
    <t xml:space="preserve">Đối tượng quản trị</t>
  </si>
  <si>
    <t xml:space="preserve">Output/hồ sơ</t>
  </si>
  <si>
    <t xml:space="preserve">Nhóm TSTT</t>
  </si>
  <si>
    <t xml:space="preserve">Nhóm bản chất</t>
  </si>
  <si>
    <t xml:space="preserve">Học thuật/Công nghệ/Số/Thương hiệu/Dữ liệu/Khác</t>
  </si>
  <si>
    <t xml:space="preserve">Hình thức quyền dự kiến</t>
  </si>
  <si>
    <t xml:space="preserve">Quyền có thể áp dụng</t>
  </si>
  <si>
    <t xml:space="preserve">QTG/Sáng chế/GPHI/KDCN/Nhãn hiệu/BMKD/CSDL/Khác/Chưa xác minh</t>
  </si>
  <si>
    <t xml:space="preserve">Sàng lọc IP</t>
  </si>
  <si>
    <t xml:space="preserve">Không tự kết luận nếu thiếu tra cứu</t>
  </si>
  <si>
    <t xml:space="preserve">Chủ thể sáng tạo rõ?</t>
  </si>
  <si>
    <t xml:space="preserve">Xác định tác giả/người tạo</t>
  </si>
  <si>
    <t xml:space="preserve">Chủ sở hữu rõ?</t>
  </si>
  <si>
    <t xml:space="preserve">Có bằng chứng sở hữu cụ thể</t>
  </si>
  <si>
    <t xml:space="preserve">Hợp đồng/quy chế</t>
  </si>
  <si>
    <t xml:space="preserve">Trường sở hữu/đồng sở hữu?</t>
  </si>
  <si>
    <t xml:space="preserve">Vị thế của Trường</t>
  </si>
  <si>
    <t xml:space="preserve">Có/Đồng sở hữu/Không/Chưa xác minh</t>
  </si>
  <si>
    <t xml:space="preserve">Nguồn lực trường?</t>
  </si>
  <si>
    <t xml:space="preserve">Có sử dụng nguồn lực Trường</t>
  </si>
  <si>
    <t xml:space="preserve">Có/Không/Một phần/Chưa xác minh</t>
  </si>
  <si>
    <t xml:space="preserve">Có đối tác ngoài trường?</t>
  </si>
  <si>
    <t xml:space="preserve">Có đối tác tạo lập/khai thác</t>
  </si>
  <si>
    <t xml:space="preserve">Hợp đồng</t>
  </si>
  <si>
    <t xml:space="preserve">Đã được nhận diện chính thức?</t>
  </si>
  <si>
    <t xml:space="preserve">Có trong sổ/CSDL/phiếu disclosure</t>
  </si>
  <si>
    <t xml:space="preserve">Đã sàng lọc khả năng bảo hộ?</t>
  </si>
  <si>
    <t xml:space="preserve">Có biên bản/ý kiến sàng lọc</t>
  </si>
  <si>
    <t xml:space="preserve">Mức tiềm năng bảo hộ</t>
  </si>
  <si>
    <t xml:space="preserve">Điểm sơ bộ</t>
  </si>
  <si>
    <t xml:space="preserve">0–3</t>
  </si>
  <si>
    <t xml:space="preserve">Hội đồng/chuyên gia</t>
  </si>
  <si>
    <t xml:space="preserve">Không chấm khi chưa có tiêu chí</t>
  </si>
  <si>
    <t xml:space="preserve">Mức tiềm năng ứng dụng</t>
  </si>
  <si>
    <t xml:space="preserve">Rủi ro công bố trước bảo hộ</t>
  </si>
  <si>
    <t xml:space="preserve">Rủi ro novelty/confidentiality</t>
  </si>
  <si>
    <t xml:space="preserve">Thấp/Trung bình/Cao/Chưa xác minh</t>
  </si>
  <si>
    <t xml:space="preserve">Đối chiếu thời gian</t>
  </si>
  <si>
    <t xml:space="preserve">Tình trạng IP</t>
  </si>
  <si>
    <t xml:space="preserve">Giai đoạn vòng đời</t>
  </si>
  <si>
    <t xml:space="preserve">Tiềm năng/Đang sàng lọc/Dự kiến đăng ký/Đã nộp/Đã cấp/Không tiếp tục</t>
  </si>
  <si>
    <t xml:space="preserve">PROTECTION</t>
  </si>
  <si>
    <t xml:space="preserve">Protection_ID</t>
  </si>
  <si>
    <t xml:space="preserve">Mã hồ sơ bảo hộ</t>
  </si>
  <si>
    <t xml:space="preserve">Khóa TSTT</t>
  </si>
  <si>
    <t xml:space="preserve">Loại quyền/hồ sơ</t>
  </si>
  <si>
    <t xml:space="preserve">Loại đơn/quyền</t>
  </si>
  <si>
    <t xml:space="preserve">QTG/Sáng chế/GPHI/KDCN/Nhãn hiệu/...</t>
  </si>
  <si>
    <t xml:space="preserve">Ngày phát sinh kết quả</t>
  </si>
  <si>
    <t xml:space="preserve">Mốc hình thành tài sản</t>
  </si>
  <si>
    <t xml:space="preserve">Ngày khai báo IP</t>
  </si>
  <si>
    <t xml:space="preserve">Ngày disclosure nội bộ</t>
  </si>
  <si>
    <t xml:space="preserve">Phiếu khai báo</t>
  </si>
  <si>
    <t xml:space="preserve">Ngày sàng lọc</t>
  </si>
  <si>
    <t xml:space="preserve">Ngày đánh giá IP</t>
  </si>
  <si>
    <t xml:space="preserve">Biên bản</t>
  </si>
  <si>
    <t xml:space="preserve">Ngày nộp đơn</t>
  </si>
  <si>
    <t xml:space="preserve">Ngày nộp chính thức</t>
  </si>
  <si>
    <t xml:space="preserve">Đơn</t>
  </si>
  <si>
    <t xml:space="preserve">Số đơn</t>
  </si>
  <si>
    <t xml:space="preserve">Mã đơn</t>
  </si>
  <si>
    <t xml:space="preserve">Chủ đơn</t>
  </si>
  <si>
    <t xml:space="preserve">Applicant</t>
  </si>
  <si>
    <t xml:space="preserve">Tình trạng</t>
  </si>
  <si>
    <t xml:space="preserve">Trạng thái hồ sơ</t>
  </si>
  <si>
    <t xml:space="preserve">Dự kiến/Đã nộp/Thẩm định/Được cấp/Từ chối/Rút bỏ/Hết hiệu lực</t>
  </si>
  <si>
    <t xml:space="preserve">Ngày cấp</t>
  </si>
  <si>
    <t xml:space="preserve">Ngày cấp quyền</t>
  </si>
  <si>
    <t xml:space="preserve">Văn bằng</t>
  </si>
  <si>
    <t xml:space="preserve">Số văn bằng</t>
  </si>
  <si>
    <t xml:space="preserve">Mã văn bằng</t>
  </si>
  <si>
    <t xml:space="preserve">Chi phí bảo hộ_VND</t>
  </si>
  <si>
    <t xml:space="preserve">Chi phí đăng ký/duy trì</t>
  </si>
  <si>
    <t xml:space="preserve">Tài chính</t>
  </si>
  <si>
    <t xml:space="preserve">Time_to_IP_days</t>
  </si>
  <si>
    <t xml:space="preserve">Thời gian từ kết quả đến nộp đơn</t>
  </si>
  <si>
    <t xml:space="preserve">Ngày nộp - ngày phát sinh</t>
  </si>
  <si>
    <t xml:space="preserve">UTIL_VALUE</t>
  </si>
  <si>
    <t xml:space="preserve">Util_ID</t>
  </si>
  <si>
    <t xml:space="preserve">Mã lần khai thác</t>
  </si>
  <si>
    <t xml:space="preserve">Hình thức sử dụng</t>
  </si>
  <si>
    <t xml:space="preserve">Kiểu khai thác</t>
  </si>
  <si>
    <t xml:space="preserve">Giảng dạy/Nghiên cứu tiếp/Ứng dụng nội bộ/Thử nghiệm DN/Sử dụng ngoài trường/Chuyển giao/Thương mại hóa</t>
  </si>
  <si>
    <t xml:space="preserve">Bằng chứng</t>
  </si>
  <si>
    <t xml:space="preserve">Mức sử dụng</t>
  </si>
  <si>
    <t xml:space="preserve">Mã cấp độ</t>
  </si>
  <si>
    <t xml:space="preserve">0 chưa dùng;1 giảng dạy;2 nghiên cứu tiếp;3 nội bộ;4 chuẩn bị/thử nghiệm;5 ngoài trường;6 chuyển giao;7 thương mại hóa</t>
  </si>
  <si>
    <t xml:space="preserve">Đơn vị sử dụng</t>
  </si>
  <si>
    <t xml:space="preserve">Bên sử dụng</t>
  </si>
  <si>
    <t xml:space="preserve">Biên bản/hợp đồng</t>
  </si>
  <si>
    <t xml:space="preserve">Đối tác</t>
  </si>
  <si>
    <t xml:space="preserve">Tổ chức ngoài trường</t>
  </si>
  <si>
    <t xml:space="preserve">Doanh thu_VND</t>
  </si>
  <si>
    <t xml:space="preserve">Doanh thu phát sinh</t>
  </si>
  <si>
    <t xml:space="preserve">Tiết kiệm chi phí_VND</t>
  </si>
  <si>
    <t xml:space="preserve">Giá trị tránh chi phí</t>
  </si>
  <si>
    <t xml:space="preserve">Số người dùng</t>
  </si>
  <si>
    <t xml:space="preserve">Quy mô thụ hưởng</t>
  </si>
  <si>
    <t xml:space="preserve">Giá trị khoa học</t>
  </si>
  <si>
    <t xml:space="preserve">Điểm 0–3</t>
  </si>
  <si>
    <t xml:space="preserve">Chuyên gia</t>
  </si>
  <si>
    <t xml:space="preserve">Giá trị đào tạo</t>
  </si>
  <si>
    <t xml:space="preserve">Giá trị công nghệ</t>
  </si>
  <si>
    <t xml:space="preserve">Giá trị kinh tế</t>
  </si>
  <si>
    <t xml:space="preserve">Giá trị chiến lược</t>
  </si>
  <si>
    <t xml:space="preserve">Chuyên gia/ranking mapping</t>
  </si>
  <si>
    <t xml:space="preserve">Tình trạng định giá</t>
  </si>
  <si>
    <t xml:space="preserve">Mức định giá</t>
  </si>
  <si>
    <t xml:space="preserve">Chưa/Ước tính sơ bộ/Thẩm định chuyên nghiệp</t>
  </si>
  <si>
    <t xml:space="preserve">LEGAL_GAP</t>
  </si>
  <si>
    <t xml:space="preserve">Bước trong chu trình IP</t>
  </si>
  <si>
    <t xml:space="preserve">Nhận diện/Sở hữu/Bảo mật/Đăng ký/Khai thác/Phân chia lợi ích/Định giá/Theo dõi/...</t>
  </si>
  <si>
    <t xml:space="preserve">Khung nghiên cứu</t>
  </si>
  <si>
    <t xml:space="preserve">Chuẩn phải đạt</t>
  </si>
  <si>
    <t xml:space="preserve">Quy chế</t>
  </si>
  <si>
    <t xml:space="preserve">Evidence checklist</t>
  </si>
  <si>
    <t xml:space="preserve">Thiết kế audit</t>
  </si>
  <si>
    <t xml:space="preserve">Evidence đã thu</t>
  </si>
  <si>
    <t xml:space="preserve">Mức tuân thủ</t>
  </si>
  <si>
    <t xml:space="preserve">Điểm compliance</t>
  </si>
  <si>
    <t xml:space="preserve">0 không có;1 một phần;2 đầy đủ</t>
  </si>
  <si>
    <t xml:space="preserve">Đánh giá sau audit</t>
  </si>
  <si>
    <t xml:space="preserve">Risk rating</t>
  </si>
  <si>
    <t xml:space="preserve">Thấp/Trung bình/Cao</t>
  </si>
  <si>
    <t xml:space="preserve">Nhóm nghiên cứu</t>
  </si>
  <si>
    <t xml:space="preserve">Gap finding</t>
  </si>
  <si>
    <t xml:space="preserve">Phân tích</t>
  </si>
  <si>
    <t xml:space="preserve">Không kết luận khi thiếu hồ sơ</t>
  </si>
  <si>
    <t xml:space="preserve">Strategic Cluster</t>
  </si>
  <si>
    <t xml:space="preserve">Trạng thái IP</t>
  </si>
  <si>
    <t xml:space="preserve">Học thuật</t>
  </si>
  <si>
    <t xml:space="preserve">Tiềm năng</t>
  </si>
  <si>
    <t xml:space="preserve">Công nghệ</t>
  </si>
  <si>
    <t xml:space="preserve">Đang sàng lọc</t>
  </si>
  <si>
    <t xml:space="preserve">Sách/Giáo trình/Học liệu</t>
  </si>
  <si>
    <t xml:space="preserve">Số</t>
  </si>
  <si>
    <t xml:space="preserve">Dự kiến đăng ký</t>
  </si>
  <si>
    <t xml:space="preserve">CSDL</t>
  </si>
  <si>
    <t xml:space="preserve">Thương hiệu</t>
  </si>
  <si>
    <t xml:space="preserve">Đã nộp</t>
  </si>
  <si>
    <t xml:space="preserve">Phần mềm</t>
  </si>
  <si>
    <t xml:space="preserve">Dữ liệu</t>
  </si>
  <si>
    <t xml:space="preserve">Đã cấp</t>
  </si>
  <si>
    <t xml:space="preserve">Khác</t>
  </si>
  <si>
    <t xml:space="preserve">Không tiếp tục</t>
  </si>
  <si>
    <t xml:space="preserve">Thiết kế/KDCN</t>
  </si>
  <si>
    <t xml:space="preserve">Crosslink_ID</t>
  </si>
  <si>
    <t xml:space="preserve">Đầu ra ghi trong hồ sơ</t>
  </si>
  <si>
    <t xml:space="preserve">CSDL đích</t>
  </si>
  <si>
    <t xml:space="preserve">Match_Status</t>
  </si>
  <si>
    <t xml:space="preserve">Tiêu đề ghép được</t>
  </si>
  <si>
    <t xml:space="preserve">DOI/Link</t>
  </si>
  <si>
    <t xml:space="preserve">Mức tin cậy ghép</t>
  </si>
  <si>
    <t xml:space="preserve">Trạng thái bằng chứng gốc</t>
  </si>
  <si>
    <t xml:space="preserve">Ghi chú</t>
  </si>
  <si>
    <t xml:space="preserve">XL-001</t>
  </si>
  <si>
    <t xml:space="preserve">Bài báo quốc tế</t>
  </si>
  <si>
    <t xml:space="preserve">Chưa đối chiếu</t>
  </si>
  <si>
    <t xml:space="preserve">Không khẳng định đầu ra đã công bố cho đến khi ghép được tiêu đề/tác giả/năm hoặc DOI/link.</t>
  </si>
  <si>
    <t xml:space="preserve">XL-002</t>
  </si>
  <si>
    <t xml:space="preserve">Bài báo trong nước/khác</t>
  </si>
  <si>
    <t xml:space="preserve">XL-003</t>
  </si>
  <si>
    <t xml:space="preserve">XL-004</t>
  </si>
  <si>
    <t xml:space="preserve">XL-005</t>
  </si>
  <si>
    <t xml:space="preserve">XL-006</t>
  </si>
  <si>
    <t xml:space="preserve">XL-007</t>
  </si>
  <si>
    <t xml:space="preserve">XL-008</t>
  </si>
  <si>
    <t xml:space="preserve">Hội nghị/Hội thảo</t>
  </si>
  <si>
    <t xml:space="preserve">XL-009</t>
  </si>
  <si>
    <t xml:space="preserve">XL-010</t>
  </si>
  <si>
    <t xml:space="preserve">XL-011</t>
  </si>
  <si>
    <t xml:space="preserve">XL-012</t>
  </si>
  <si>
    <t xml:space="preserve">XL-013</t>
  </si>
  <si>
    <t xml:space="preserve">XL-014</t>
  </si>
  <si>
    <t xml:space="preserve">XL-015</t>
  </si>
  <si>
    <t xml:space="preserve">XL-016</t>
  </si>
  <si>
    <t xml:space="preserve">XL-017</t>
  </si>
  <si>
    <t xml:space="preserve">XL-018</t>
  </si>
  <si>
    <t xml:space="preserve">XL-019</t>
  </si>
  <si>
    <t xml:space="preserve">XL-020</t>
  </si>
  <si>
    <t xml:space="preserve">XL-021</t>
  </si>
  <si>
    <t xml:space="preserve">XL-022</t>
  </si>
  <si>
    <t xml:space="preserve">XL-023</t>
  </si>
  <si>
    <t xml:space="preserve">XL-024</t>
  </si>
  <si>
    <t xml:space="preserve">XL-025</t>
  </si>
  <si>
    <t xml:space="preserve">XL-026</t>
  </si>
  <si>
    <t xml:space="preserve">XL-027</t>
  </si>
  <si>
    <t xml:space="preserve">XL-028</t>
  </si>
  <si>
    <t xml:space="preserve">XL-029</t>
  </si>
  <si>
    <t xml:space="preserve">XL-030</t>
  </si>
  <si>
    <t xml:space="preserve">Request_ID</t>
  </si>
  <si>
    <t xml:space="preserve">Dữ liệu/hồ sơ cần xin</t>
  </si>
  <si>
    <t xml:space="preserve">Giai đoạn</t>
  </si>
  <si>
    <t xml:space="preserve">Đơn vị dự kiến lưu giữ</t>
  </si>
  <si>
    <t xml:space="preserve">Trường dữ liệu tối thiểu</t>
  </si>
  <si>
    <t xml:space="preserve">Phục vụ chỉ số/phân tích</t>
  </si>
  <si>
    <t xml:space="preserve">Ưu tiên</t>
  </si>
  <si>
    <t xml:space="preserve">R01</t>
  </si>
  <si>
    <t xml:space="preserve">Danh mục toàn bộ đơn đăng ký và văn bằng SHTT của Trường giai đoạn 2021–2025</t>
  </si>
  <si>
    <t xml:space="preserve">Bảo hộ</t>
  </si>
  <si>
    <t xml:space="preserve">Tên TSTT; loại quyền; số đơn; ngày nộp; chủ đơn; trạng thái; số văn bằng; ngày cấp</t>
  </si>
  <si>
    <t xml:space="preserve">IP funnel; protection rate; time-to-IP</t>
  </si>
  <si>
    <t xml:space="preserve">Đã có danh sách tổng hợp</t>
  </si>
  <si>
    <t xml:space="preserve">Người dùng đã cung cấp danh sách 16 đối tượng trong nguồn tổng hợp; 12 đối tượng có ĐHTĐ là chủ sở hữu/đồng sở hữu, trong đó 11 thuộc 2021-2025. Vẫn thiếu số đơn/văn bằng đối với 2 sáng chế và số đơn cụ thể của Double2n.</t>
  </si>
  <si>
    <t xml:space="preserve">R02</t>
  </si>
  <si>
    <t xml:space="preserve">Phiếu khai báo/biên bản nhận diện TSTT hoặc sổ/CSDL TSTT</t>
  </si>
  <si>
    <t xml:space="preserve">Nhận diện</t>
  </si>
  <si>
    <t xml:space="preserve">Tên tài sản; ngày khai báo; tác giả; đơn vị; nguồn kinh phí; chủ sở hữu dự kiến</t>
  </si>
  <si>
    <t xml:space="preserve">Disclosure rate; identification gap</t>
  </si>
  <si>
    <t xml:space="preserve">Không có theo xác nhận hiện tại</t>
  </si>
  <si>
    <t xml:space="preserve">Theo người dùng, không có phiếu khai báo/biên bản nhận diện TSTT hoặc sổ/CSDL tương đương. Đây là một phát hiện thực chứng về hồ sơ quản trị; không tự động đồng nghĩa hoạt động nhận diện chưa từng diễn ra.</t>
  </si>
  <si>
    <t xml:space="preserve">R03</t>
  </si>
  <si>
    <t xml:space="preserve">Biên bản/ý kiến sàng lọc khả năng bảo hộ và tra cứu tính mới</t>
  </si>
  <si>
    <t xml:space="preserve">Sàng lọc</t>
  </si>
  <si>
    <t xml:space="preserve">Phòng KHCN/đơn vị chuyên môn</t>
  </si>
  <si>
    <t xml:space="preserve">Ngày sàng lọc; kết luận; loại quyền khuyến nghị; lý do tiếp tục/không tiếp tục</t>
  </si>
  <si>
    <t xml:space="preserve">Screening rate; protection potential</t>
  </si>
  <si>
    <t xml:space="preserve">Theo người dùng, không có hồ sơ sàng lọc/tra cứu khả năng bảo hộ. Vì vậy không thể tính Screening Rate theo hồ sơ; có thể đánh giá 'không có bằng chứng tài liệu hóa quy trình' trong giai đoạn nghiên cứu.</t>
  </si>
  <si>
    <t xml:space="preserve">R04</t>
  </si>
  <si>
    <t xml:space="preserve">Thuyết minh, hợp đồng và biên bản nghiệm thu đầy đủ của các đề tài có đầu ra ứng dụng</t>
  </si>
  <si>
    <t xml:space="preserve">Tạo lập</t>
  </si>
  <si>
    <t xml:space="preserve">Nguồn lực; sản phẩm đăng ký; sản phẩm đạt được; tác giả; điều khoản SHTT; kiến nghị chuyển giao</t>
  </si>
  <si>
    <t xml:space="preserve">Ownership audit; legal-practice gap</t>
  </si>
  <si>
    <t xml:space="preserve">Chưa xin</t>
  </si>
  <si>
    <t xml:space="preserve">Lấy trước 10–15 case ưu tiên.</t>
  </si>
  <si>
    <t xml:space="preserve">R05</t>
  </si>
  <si>
    <t xml:space="preserve">Hợp đồng/thỏa thuận hợp tác Nhà trường–Doanh nghiệp có điều khoản SHTT</t>
  </si>
  <si>
    <t xml:space="preserve">Đồng sáng tạo</t>
  </si>
  <si>
    <t xml:space="preserve">Phòng KHCN/Pháp chế/Đơn vị</t>
  </si>
  <si>
    <t xml:space="preserve">Background IP; foreground IP; quyền nộp đơn; chia sẻ lợi ích; bảo mật</t>
  </si>
  <si>
    <t xml:space="preserve">University-industry IP governance</t>
  </si>
  <si>
    <t xml:space="preserve">Đặc biệt case tinh dầu vỏ bưởi.</t>
  </si>
  <si>
    <t xml:space="preserve">R06</t>
  </si>
  <si>
    <t xml:space="preserve">Hợp đồng chuyển giao, cấp phép, bàn giao sản phẩm hoặc biên bản thương mại hóa</t>
  </si>
  <si>
    <t xml:space="preserve">Khai thác</t>
  </si>
  <si>
    <t xml:space="preserve">Phòng KHCN/Bộ phận Khởi nghiệp</t>
  </si>
  <si>
    <t xml:space="preserve">TSTT gốc; đối tác; hình thức giao dịch; thời hạn; phạm vi; giá trị</t>
  </si>
  <si>
    <t xml:space="preserve">IP-to-Value; commercialization rate</t>
  </si>
  <si>
    <t xml:space="preserve">Theo người dùng, không có hợp đồng chuyển giao/cấp phép/biên bản thương mại hóa trong bộ hồ sơ hiện có. Cần phân biệt: 'không có hồ sơ' với 'không có hoạt động'. Các dòng nghiệm thu ghi chuyển giao/ứng dụng chỉ được coi là dấu hiệu, chưa phải giao dịch thương mại đã xác nhận.</t>
  </si>
  <si>
    <t xml:space="preserve">R07</t>
  </si>
  <si>
    <t xml:space="preserve">Dữ liệu doanh thu/thu nhập từ chuyển giao, cấp phép, bán sản phẩm dựa trên TSTT</t>
  </si>
  <si>
    <t xml:space="preserve">Phòng Tài chính-Kế toán</t>
  </si>
  <si>
    <t xml:space="preserve">Doanh thu; năm; TSTT; hợp đồng; chi phí liên quan</t>
  </si>
  <si>
    <t xml:space="preserve">Economic value; ROI</t>
  </si>
  <si>
    <t xml:space="preserve">Có thể tổng hợp theo mã hóa nếu dữ liệu nhạy cảm.</t>
  </si>
  <si>
    <t xml:space="preserve">R08</t>
  </si>
  <si>
    <t xml:space="preserve">Chi phí đăng ký, gia hạn, duy trì và tư vấn SHTT</t>
  </si>
  <si>
    <t xml:space="preserve">Bảo hộ/giá trị</t>
  </si>
  <si>
    <t xml:space="preserve">Phòng Tài chính-Kế toán/Phòng KHCN</t>
  </si>
  <si>
    <t xml:space="preserve">Loại chi phí; TSTT; năm; số tiền</t>
  </si>
  <si>
    <t xml:space="preserve">Cost of protection; portfolio efficiency</t>
  </si>
  <si>
    <t xml:space="preserve">R09</t>
  </si>
  <si>
    <t xml:space="preserve">Chứng từ phân chia lợi ích, nhuận bút, thù lao liên quan khai thác TSTT</t>
  </si>
  <si>
    <t xml:space="preserve">Lợi ích</t>
  </si>
  <si>
    <t xml:space="preserve">TSTT; người nhận; căn cứ; số tiền/tỷ lệ; thời điểm</t>
  </si>
  <si>
    <t xml:space="preserve">Incentive effectiveness; compliance gap</t>
  </si>
  <si>
    <t xml:space="preserve">R10</t>
  </si>
  <si>
    <t xml:space="preserve">Minh chứng sử dụng sản phẩm nghiên cứu trong giảng dạy/phòng thực hành/quản trị</t>
  </si>
  <si>
    <t xml:space="preserve">Khoa/Viện/Phòng Đào tạo</t>
  </si>
  <si>
    <t xml:space="preserve">Tên sản phẩm; học phần/đơn vị; số lớp/lượt người dùng; thời điểm; quyết định/biên bản</t>
  </si>
  <si>
    <t xml:space="preserve">Utilization rate; training value</t>
  </si>
  <si>
    <t xml:space="preserve">Đặc biệt panel ô tô, bộ mẫu dược liệu, tiêu bản, quy trình thực hành.</t>
  </si>
  <si>
    <t xml:space="preserve">R11</t>
  </si>
  <si>
    <t xml:space="preserve">Danh sách bài báo thực tế kèm DOI/link, tác giả, năm; danh mục hội thảo/kỷ yếu</t>
  </si>
  <si>
    <t xml:space="preserve">Phòng KHCN/Tạp chí</t>
  </si>
  <si>
    <t xml:space="preserve">Tiêu đề; tác giả; năm; DOI/link; loại công bố; liên kết đề tài nếu có</t>
  </si>
  <si>
    <t xml:space="preserve">Cross-link outputs; tránh đếm trùng</t>
  </si>
  <si>
    <t xml:space="preserve">Một phần đã có</t>
  </si>
  <si>
    <t xml:space="preserve">Cần ghép 1:1 với các dòng 'bài báo' trong hồ sơ nghiệm thu.</t>
  </si>
  <si>
    <t xml:space="preserve">R12</t>
  </si>
  <si>
    <t xml:space="preserve">Danh mục giáo trình, tài liệu giảng dạy và hồ sơ quyền tác giả/chủ sở hữu</t>
  </si>
  <si>
    <t xml:space="preserve">Học liệu</t>
  </si>
  <si>
    <t xml:space="preserve">Phòng KHCN/Thư viện/Đào tạo</t>
  </si>
  <si>
    <t xml:space="preserve">Tên; tác giả; đơn vị; năm; quyết định; phạm vi sử dụng; đăng ký QTG nếu có</t>
  </si>
  <si>
    <t xml:space="preserve">Academic IP portfolio; ownership audit</t>
  </si>
  <si>
    <t xml:space="preserve">Dữ liệu thống kê 2021–2025 đã có, còn thiếu liên kết quyền và mức sử dụng.</t>
  </si>
  <si>
    <t xml:space="preserve">R13</t>
  </si>
  <si>
    <t xml:space="preserve">Số giảng viên/nghiên cứu viên theo đơn vị và năm</t>
  </si>
  <si>
    <t xml:space="preserve">Chuẩn hóa</t>
  </si>
  <si>
    <t xml:space="preserve">Phòng TCCB</t>
  </si>
  <si>
    <t xml:space="preserve">Đơn vị; năm; số GV/NV nghiên cứu; FTE nếu có</t>
  </si>
  <si>
    <t xml:space="preserve">IP/output per capita by faculty</t>
  </si>
  <si>
    <t xml:space="preserve">Dùng chuẩn hóa so sánh giữa khoa, tránh thiên lệch quy mô.</t>
  </si>
  <si>
    <t xml:space="preserve">R14</t>
  </si>
  <si>
    <t xml:space="preserve">Dữ liệu sinh viên, số học phần và quy mô đào tạo theo nhóm ngành</t>
  </si>
  <si>
    <t xml:space="preserve">Chuẩn hóa/giá trị</t>
  </si>
  <si>
    <t xml:space="preserve">Phòng Đào tạo</t>
  </si>
  <si>
    <t xml:space="preserve">Ngành; năm; số SV; học phần; quy mô sử dụng học liệu</t>
  </si>
  <si>
    <t xml:space="preserve">Training reach; value per user</t>
  </si>
  <si>
    <t xml:space="preserve">R15</t>
  </si>
  <si>
    <t xml:space="preserve">Bằng chứng sử dụng TSTT trong truyền thông, tuyển sinh, kiểm định và xếp hạng</t>
  </si>
  <si>
    <t xml:space="preserve">Phòng TT/ĐBCL/HTQT</t>
  </si>
  <si>
    <t xml:space="preserve">Tài sản; chỉ số/ranking/tiêu chí; minh chứng; năm</t>
  </si>
  <si>
    <t xml:space="preserve">Strategic/ranking value mapping</t>
  </si>
  <si>
    <t xml:space="preserve">Không quy tiền trực tiếp nếu chưa có phương pháp định giá phù hợp.</t>
  </si>
  <si>
    <t xml:space="preserve">MISSION 1.2 – IP PORTFOLIO INVENTORY 2021–2025 (DỮ LIỆU HỒ SƠ)</t>
  </si>
  <si>
    <t xml:space="preserve">Ý nghĩa</t>
  </si>
  <si>
    <t xml:space="preserve">Mức ưu tiên IP</t>
  </si>
  <si>
    <t xml:space="preserve">Tổng số đề tài cấp cơ sở</t>
  </si>
  <si>
    <t xml:space="preserve">Số dòng Project_ID đã kiểm kê</t>
  </si>
  <si>
    <t xml:space="preserve">Đầu ra bóc tách từ sản phẩm nghiệm thu</t>
  </si>
  <si>
    <t xml:space="preserve">Đầu ra ưu tiên IP (TB + Cao)</t>
  </si>
  <si>
    <t xml:space="preserve">Cần quản trị/sàng lọc sâu hơn</t>
  </si>
  <si>
    <t xml:space="preserve">Đầu ra ưu tiên IP mức Cao</t>
  </si>
  <si>
    <t xml:space="preserve">Prototype/quy trình/công thức/chuyển giao...</t>
  </si>
  <si>
    <t xml:space="preserve">Tổng</t>
  </si>
  <si>
    <t xml:space="preserve">Đầu ra có dấu hiệu ứng dụng</t>
  </si>
  <si>
    <t xml:space="preserve">Hồ sơ ghi Có ở cột ứng dụng</t>
  </si>
  <si>
    <t xml:space="preserve">Đầu ra cần đối chiếu CSDL công bố</t>
  </si>
  <si>
    <t xml:space="preserve">Bài báo/kỷ yếu cần ghép tiêu đề/DOI</t>
  </si>
  <si>
    <t xml:space="preserve">Bằng chứng công bố mâu thuẫn/chưa đủ</t>
  </si>
  <si>
    <t xml:space="preserve">Ví dụ hồ sơ ghi '(ko có bài báo)'</t>
  </si>
  <si>
    <t xml:space="preserve">Đầu ra bảo hộ mới ở mức dự kiến</t>
  </si>
  <si>
    <t xml:space="preserve">GPHI/sáng chế ghi dự kiến/kế hoạch</t>
  </si>
  <si>
    <t xml:space="preserve">Số đề tài có đầu ra ứng dụng ghi trong hồ sơ</t>
  </si>
  <si>
    <t xml:space="preserve">Project column O = Có</t>
  </si>
  <si>
    <t xml:space="preserve">Tỷ lệ đề tài có dấu hiệu ứng dụng</t>
  </si>
  <si>
    <t xml:space="preserve">Project có dấu hiệu ứng dụng / tổng project</t>
  </si>
  <si>
    <t xml:space="preserve">Năm nhóm</t>
  </si>
  <si>
    <t xml:space="preserve">Số đề tài</t>
  </si>
  <si>
    <t xml:space="preserve">Số dòng đầu ra</t>
  </si>
  <si>
    <t xml:space="preserve">Lưu ý: các con số trên phản ánh dữ liệu hồ sơ đã bóc tách, không đồng nghĩa với số TSTT đã được pháp luật xác lập/bảo hộ. Hình thức quyền trong dataset là phân loại sơ bộ để sàng lọc, chưa phải kết luận pháp lý.</t>
  </si>
  <si>
    <t xml:space="preserve">MISSION 1.3</t>
  </si>
  <si>
    <t xml:space="preserve">Liên kết đầu ra → công bố → bảo hộ</t>
  </si>
  <si>
    <t xml:space="preserve">DANH MỤC SHTT NGUỒN ĐẦY ĐỦ</t>
  </si>
  <si>
    <t xml:space="preserve">Phạm vi</t>
  </si>
  <si>
    <t xml:space="preserve">MISSION 2</t>
  </si>
  <si>
    <t xml:space="preserve">Case-based IP governance audit</t>
  </si>
  <si>
    <t xml:space="preserve">Công bố đã xác định/ghép mạnh</t>
  </si>
  <si>
    <t xml:space="preserve">Số liên kết ở 12_PUBLICATION_LINKS</t>
  </si>
  <si>
    <t xml:space="preserve">Tổng đối tượng trong danh sách nguồn</t>
  </si>
  <si>
    <t xml:space="preserve">Mọi chủ sở hữu/mọi năm</t>
  </si>
  <si>
    <t xml:space="preserve">Số khâu trong ma trận pháp luật-thực tiễn</t>
  </si>
  <si>
    <t xml:space="preserve">17_LEGAL_PRACTICE_MATRIX</t>
  </si>
  <si>
    <t xml:space="preserve">Đối tượng SHTT trong bảng văn bằng nội bộ</t>
  </si>
  <si>
    <t xml:space="preserve">Tổng copyright + nhãn hiệu + KDCN + sáng chế ghi trong ảnh</t>
  </si>
  <si>
    <t xml:space="preserve">Trong giai đoạn 2021-2025</t>
  </si>
  <si>
    <t xml:space="preserve">Mọi chủ sở hữu</t>
  </si>
  <si>
    <t xml:space="preserve">Số câu hỏi phỏng vấn lõi</t>
  </si>
  <si>
    <t xml:space="preserve">18_INTERVIEW_GUIDE</t>
  </si>
  <si>
    <t xml:space="preserve">Đối tượng SHTT trong giai đoạn 2021-2025</t>
  </si>
  <si>
    <t xml:space="preserve">Loại trừ sáng chế năm 2026</t>
  </si>
  <si>
    <t xml:space="preserve">ĐHTĐ là chủ sở hữu/đồng sở hữu</t>
  </si>
  <si>
    <t xml:space="preserve">Mọi năm</t>
  </si>
  <si>
    <t xml:space="preserve">Số case process-tracing</t>
  </si>
  <si>
    <t xml:space="preserve">19_CASE_TRACE</t>
  </si>
  <si>
    <t xml:space="preserve">Liên kết đề tài ↔ hồ sơ bảo hộ mức Cao/Rất cao</t>
  </si>
  <si>
    <t xml:space="preserve">Số dòng 14_PROJECT_PROTECTION_LINK</t>
  </si>
  <si>
    <t xml:space="preserve">ĐHTĐ trực tiếp trong 2021-2025</t>
  </si>
  <si>
    <t xml:space="preserve">Portfolio chính của đề tài</t>
  </si>
  <si>
    <t xml:space="preserve">Khảo sát định lượng</t>
  </si>
  <si>
    <t xml:space="preserve">Không thực hiện</t>
  </si>
  <si>
    <t xml:space="preserve">Đề tài có liên kết bảo hộ</t>
  </si>
  <si>
    <t xml:space="preserve">Distinct project trong bảng liên kết</t>
  </si>
  <si>
    <t xml:space="preserve">ĐHTĐ trực tiếp có số đăng ký/văn bằng/ký hiệu trong 2021-2025</t>
  </si>
  <si>
    <t xml:space="preserve">Loại trừ Double2n tiếp nhận đơn và sáng chế 2025 chưa có số</t>
  </si>
  <si>
    <t xml:space="preserve">Văn bản QC TSTT 2024</t>
  </si>
  <si>
    <t xml:space="preserve">Đã xác minh: QĐ 217/QĐ-ĐHTĐ ngày 21/11/2024, hiệu lực 21/11/2024</t>
  </si>
  <si>
    <t xml:space="preserve">Đề tài có công bố đã ghép</t>
  </si>
  <si>
    <t xml:space="preserve">Distinct project hiện có ít nhất 1 link</t>
  </si>
  <si>
    <t xml:space="preserve">ĐHTĐ trực tiếp ở trạng thái tiếp nhận đơn</t>
  </si>
  <si>
    <t xml:space="preserve">Gap ưu tiên 1</t>
  </si>
  <si>
    <t xml:space="preserve">Nhận diện/disclosure không có hồ sơ</t>
  </si>
  <si>
    <t xml:space="preserve">Đề tài có đầu ra IP mức Cao nhưng chưa nối bảo hộ</t>
  </si>
  <si>
    <t xml:space="preserve">Ứng viên cần sàng lọc/đối chiếu hồ sơ; chưa phải kết luận thiếu bảo hộ</t>
  </si>
  <si>
    <t xml:space="preserve">ĐHTĐ trực tiếp có sáng chế chưa rõ số đơn/văn bằng</t>
  </si>
  <si>
    <t xml:space="preserve">2025 và 2026</t>
  </si>
  <si>
    <t xml:space="preserve">Gap ưu tiên 2</t>
  </si>
  <si>
    <t xml:space="preserve">Không có hồ sơ screening/tra cứu IP</t>
  </si>
  <si>
    <t xml:space="preserve">Không tính conversion rate chính thức trước khi nhận danh mục đơn/văn bằng đầy đủ và hồ sơ disclosure/sàng lọc.</t>
  </si>
  <si>
    <t xml:space="preserve">Nguyên tắc</t>
  </si>
  <si>
    <t xml:space="preserve">Không gộp UNIGO/cá nhân vào portfolio trực tiếp ĐHTĐ.</t>
  </si>
  <si>
    <t xml:space="preserve">Gap ưu tiên 3</t>
  </si>
  <si>
    <t xml:space="preserve">Không có hồ sơ transfer/commercialization</t>
  </si>
  <si>
    <t xml:space="preserve">Link_ID</t>
  </si>
  <si>
    <t xml:space="preserve">Quan hệ</t>
  </si>
  <si>
    <t xml:space="preserve">Tiêu đề công bố xác định được</t>
  </si>
  <si>
    <t xml:space="preserve">Loại công bố</t>
  </si>
  <si>
    <t xml:space="preserve">Tạp chí/Hội thảo</t>
  </si>
  <si>
    <t xml:space="preserve">Số/Vol/ISBN</t>
  </si>
  <si>
    <t xml:space="preserve">Mức độ khớp</t>
  </si>
  <si>
    <t xml:space="preserve">Cơ sở khớp</t>
  </si>
  <si>
    <t xml:space="preserve">Nguồn dữ liệu</t>
  </si>
  <si>
    <t xml:space="preserve">PUB-001</t>
  </si>
  <si>
    <t xml:space="preserve">Đầu ra nghiệm thu</t>
  </si>
  <si>
    <t xml:space="preserve">Tìm hiểu thực trạng về động lực phát triển chuyên môn giáo viên tại Việt Nam</t>
  </si>
  <si>
    <t xml:space="preserve">Bài báo trong nước</t>
  </si>
  <si>
    <t xml:space="preserve">Tạp chí Giáo dục</t>
  </si>
  <si>
    <t xml:space="preserve">Phan Thị Thanh Thảo; Nguyễn Thị Vân Anh</t>
  </si>
  <si>
    <t xml:space="preserve">59-64</t>
  </si>
  <si>
    <t xml:space="preserve">Chủ đề gần trùng với tên đề tài; chủ nhiệm và thành viên cùng xuất hiện trong bài.</t>
  </si>
  <si>
    <t xml:space="preserve">Thống kê bài báo đăng tạp chí khoa học trong nước 2021-2025.pdf</t>
  </si>
  <si>
    <t xml:space="preserve">PUB-002</t>
  </si>
  <si>
    <t xml:space="preserve">International academic publishing in Vietnam: policy efficiency and room for development</t>
  </si>
  <si>
    <t xml:space="preserve">Science Editing</t>
  </si>
  <si>
    <t xml:space="preserve">Phan Thị Thanh Thảo; Hiep Hung Pham; Huong Linh Nguyen; Linh Chi Nguyen</t>
  </si>
  <si>
    <t xml:space="preserve">Sci Ed 2021; 8(2)</t>
  </si>
  <si>
    <t xml:space="preserve">https://escienceediting.org/journal/view.php?number=255</t>
  </si>
  <si>
    <t xml:space="preserve">Chủ đề công bố quốc tế tại Việt Nam; nhiều thành viên đề tài trùng tác giả.</t>
  </si>
  <si>
    <t xml:space="preserve">Thống kê bài báo đăng tạp chí khoa học quốc tế 2021-2025.pdf</t>
  </si>
  <si>
    <t xml:space="preserve">PUB-003</t>
  </si>
  <si>
    <t xml:space="preserve">Đầu ra nghiệm thu (1/2 bài trong nước đã xác định)</t>
  </si>
  <si>
    <t xml:space="preserve">Năng suất công bố của các cơ sở giáo dục đại học ở Việt Nam giai đoạn 2016-2020: Dữ liệu từ Scopus</t>
  </si>
  <si>
    <t xml:space="preserve">Lương Đình Hải; Phan Thị Thanh Thảo; Đinh Đức Tài; Phạm Hùng Hiệp</t>
  </si>
  <si>
    <t xml:space="preserve">01-06</t>
  </si>
  <si>
    <t xml:space="preserve">Chủ đề trực tiếp về năng suất công bố; nhóm tác giả trùng nhiều thành viên đề tài.</t>
  </si>
  <si>
    <t xml:space="preserve">PUB-004</t>
  </si>
  <si>
    <t xml:space="preserve">Tạp chí Nghiên cứu Tài chính Kế toán</t>
  </si>
  <si>
    <t xml:space="preserve">Đặng Thái Bình; Nguyễn Thị Hay</t>
  </si>
  <si>
    <t xml:space="preserve">29-35</t>
  </si>
  <si>
    <t xml:space="preserve">Tiêu đề bài báo trùng tên đề tài; tác giả trùng chủ nhiệm và thành viên.</t>
  </si>
  <si>
    <t xml:space="preserve">PUB-005</t>
  </si>
  <si>
    <t xml:space="preserve">Nâng cao chất lượng đào tạo nguồn nhân lực du lịch áp dụng phương pháp tiếp cận CDIO</t>
  </si>
  <si>
    <t xml:space="preserve">Kỷ yếu hội thảo quốc tế</t>
  </si>
  <si>
    <t xml:space="preserve">Phát triển kinh tế du lịch gắn với yêu cầu chuyển đổi số: Cơ hội và thách thức đối với nhiệm vụ đào tạo nguồn nhân lực tại tỉnh Đắk Nông</t>
  </si>
  <si>
    <t xml:space="preserve">Nguyễn Thị Bích; Nguyễn Tuấn Ninh</t>
  </si>
  <si>
    <t xml:space="preserve">ISBN 978-604-79-4095-0</t>
  </si>
  <si>
    <t xml:space="preserve">Đúng phương pháp CDIO, đúng lĩnh vực du lịch và trùng toàn bộ nhóm tác giả đề tài.</t>
  </si>
  <si>
    <t xml:space="preserve">Thống kê báo cáo, tham luận Hội nghị, Hội thảo quốc tế 2021-2025.pdf</t>
  </si>
  <si>
    <t xml:space="preserve">PUB-006</t>
  </si>
  <si>
    <t xml:space="preserve">Khoa học &amp; Đào tạo - Trường ĐH Công nghệ Sài Gòn</t>
  </si>
  <si>
    <t xml:space="preserve">Nguyễn Thị Hảo; Hoàng Thị Thu Hà; Nguyễn Thị Phương Uyên</t>
  </si>
  <si>
    <t xml:space="preserve">Số 01/2023</t>
  </si>
  <si>
    <t xml:space="preserve">Tiêu đề công bố trùng tên đề tài; 3/4 thành viên đề tài là tác giả.</t>
  </si>
  <si>
    <t xml:space="preserve">PUB-007</t>
  </si>
  <si>
    <t xml:space="preserve">Hợp tác Nhà trường - Doanh nghiệp trong nghiên cứu khoa học và đào tạo sinh viên ngành Dược học: Nghiên cứu trường hợp tại Trường Đại học Thành Đô</t>
  </si>
  <si>
    <t xml:space="preserve">Trần Thị Thu Trang; Phan Thị Thanh Thảo; Phạm Thị Thanh Huế</t>
  </si>
  <si>
    <t xml:space="preserve">Số 24(4)</t>
  </si>
  <si>
    <t xml:space="preserve">Chủ đề hợp tác Nhà trường-Doanh nghiệp ngành Dược và tác giả trùng nhóm đề tài.</t>
  </si>
  <si>
    <t xml:space="preserve">PUB-008</t>
  </si>
  <si>
    <t xml:space="preserve">Nghiên cứu chế tạo xà bông từ tảo spirulina</t>
  </si>
  <si>
    <t xml:space="preserve">Tạp chí NCKH&amp;PT</t>
  </si>
  <si>
    <t xml:space="preserve">Đỗ Thị Huyền Thương; Vũ Quốc Mạnh; Lê Thị Hiền; Nguyễn Thị Huyền Trang; Đào Thị Mai Hương; Phạm Văn Đại; Nguyễn Ngọc Linh; Phạm Thị Bích Đào</t>
  </si>
  <si>
    <t xml:space="preserve">Volume 4, Issue 1 (March 2025)</t>
  </si>
  <si>
    <t xml:space="preserve">https://doi.org/10.58902/tcnckhpt.v4i1.215</t>
  </si>
  <si>
    <t xml:space="preserve">Chủ đề xà phòng từ tảo; chủ nhiệm và thành viên chủ chốt của đề tài có trong nhóm tác giả.</t>
  </si>
  <si>
    <t xml:space="preserve">PUB-009</t>
  </si>
  <si>
    <t xml:space="preserve">Triết lý nhân sinh trong truyện Lục Vân Tiên của Nguyễn Đình Chiểu</t>
  </si>
  <si>
    <t xml:space="preserve">Trần Doãn Phú; Nguyễn Thị Hảo; Ngô Nhị Ngọc Linh</t>
  </si>
  <si>
    <t xml:space="preserve">Tháng 12/2024</t>
  </si>
  <si>
    <t xml:space="preserve">Chủ đề trùng trực tiếp với đề tài và cả 3 thành viên đề tài xuất hiện trong bài.</t>
  </si>
  <si>
    <t xml:space="preserve">PUB-010</t>
  </si>
  <si>
    <t xml:space="preserve">Thực trạng tích hợp giáo dục vì sự phát triển bền vững trong dạy học “Sinh thái học và môi trường” (Sinh học 12): Nghiên cứu tại một số trường trung học phổ thông ở Hà Nội và thành phố Hồ Chí Minh</t>
  </si>
  <si>
    <t xml:space="preserve">Hà Văn Dũng; Nguyễn Linh Chi; Đoàn Thị Phương Thục; Đỗ Thuỳ Linh; Bùi Thị Thanh Nhàn</t>
  </si>
  <si>
    <t xml:space="preserve">Volume 3, Issue 3 (September 2024)</t>
  </si>
  <si>
    <t xml:space="preserve">https://doi.org/10.58902/tcnckhpt.v3i3.164</t>
  </si>
  <si>
    <t xml:space="preserve">Tiêu đề và nhóm tác giả trùng gần như đầy đủ với đề tài.</t>
  </si>
  <si>
    <t xml:space="preserve">PUB-011</t>
  </si>
  <si>
    <t xml:space="preserve">An understanding of "universal history" in Francis Fukuyama's “The End of History and the Last Man”</t>
  </si>
  <si>
    <t xml:space="preserve">Universum: Social Sciences</t>
  </si>
  <si>
    <t xml:space="preserve">4(107), 36-40</t>
  </si>
  <si>
    <t xml:space="preserve">https://doi.org/10.32743/UniSoc.2024.107.4.17403</t>
  </si>
  <si>
    <t xml:space="preserve">Chủ đề trùng trực tiếp với đề tài và chủ nhiệm là tác giả.</t>
  </si>
  <si>
    <t xml:space="preserve">PUB-012</t>
  </si>
  <si>
    <t xml:space="preserve">Một số nghiên cứu về năng lực dạy học tích hợp</t>
  </si>
  <si>
    <t xml:space="preserve">Hà Văn Dũng; Nguyễn Linh Chi; Đoàn Thị Phương Thục; Phạm Đình Văn; Nguyễn Thuỳ Dung</t>
  </si>
  <si>
    <t xml:space="preserve">https://doi.org/10.58902/tcnckhpt.v4i1.207</t>
  </si>
  <si>
    <t xml:space="preserve">Toàn bộ nhóm tác giả trùng nhóm đề tài; nội dung về năng lực dạy học tích hợp.</t>
  </si>
  <si>
    <t xml:space="preserve">PUB-013</t>
  </si>
  <si>
    <t xml:space="preserve">Phát triển năng lực đổi mới sáng tạo cho sinh viên</t>
  </si>
  <si>
    <t xml:space="preserve">Tạp chí Quản lý nhà nước và lao động</t>
  </si>
  <si>
    <t xml:space="preserve">Nguyễn Thị Hay; Phạm Hoàng Giang; Bùi Đức Thịnh</t>
  </si>
  <si>
    <t xml:space="preserve">15/12/2025</t>
  </si>
  <si>
    <t xml:space="preserve">https://tcnnld.vn/news/detail/70804/Phat-trien-nang-luc-doi-moi-sang-tao-cho-sinh-vien</t>
  </si>
  <si>
    <t xml:space="preserve">Chủ nhiệm đề tài là tác giả; chủ đề phát triển năng lực đổi mới sáng tạo cho sinh viên phù hợp trực tiếp.</t>
  </si>
  <si>
    <t xml:space="preserve">Loại hình</t>
  </si>
  <si>
    <t xml:space="preserve">Tên/đối tượng</t>
  </si>
  <si>
    <t xml:space="preserve">Số/Ký mã hiệu</t>
  </si>
  <si>
    <t xml:space="preserve">Cơ quan</t>
  </si>
  <si>
    <t xml:space="preserve">Trạng thái suy ra từ nguồn</t>
  </si>
  <si>
    <t xml:space="preserve">PIP-001</t>
  </si>
  <si>
    <t xml:space="preserve">Ảnh thống kê văn bằng SHTT do người dùng cung cấp</t>
  </si>
  <si>
    <t xml:space="preserve">TSTT thương hiệu/hình ảnh tổ chức.</t>
  </si>
  <si>
    <t xml:space="preserve">PIP-002</t>
  </si>
  <si>
    <t xml:space="preserve">PIP-003</t>
  </si>
  <si>
    <t xml:space="preserve">Đã có số văn bằng</t>
  </si>
  <si>
    <t xml:space="preserve">PIP-004</t>
  </si>
  <si>
    <t xml:space="preserve">PIP-005</t>
  </si>
  <si>
    <t xml:space="preserve">ĐHTĐ; CTY Thanh Huế</t>
  </si>
  <si>
    <t xml:space="preserve">Nguồn ghi rõ 'Tiếp nhận đơn', chưa coi là đã được cấp.</t>
  </si>
  <si>
    <t xml:space="preserve">PIP-006</t>
  </si>
  <si>
    <t xml:space="preserve">PIP-007</t>
  </si>
  <si>
    <t xml:space="preserve">Tên sản phẩm gần trùng đầu ra tinh dầu Citrus grandis; đồng chủ sở hữu có CTY Thanh Huế phù hợp bối cảnh hợp tác.</t>
  </si>
  <si>
    <t xml:space="preserve">PIP-008</t>
  </si>
  <si>
    <t xml:space="preserve">PIP-009</t>
  </si>
  <si>
    <t xml:space="preserve">PIP-010</t>
  </si>
  <si>
    <t xml:space="preserve">PIP-011</t>
  </si>
  <si>
    <t xml:space="preserve">Có trong bảng thống kê nội bộ; số văn bằng/đơn chưa thể hiện</t>
  </si>
  <si>
    <t xml:space="preserve">Tên đối tượng trùng trực tiếp cây quế hoa và hướng chiết xuất của đề tài; cần xin số đơn/văn bằng để xác định trạng thái pháp lý.</t>
  </si>
  <si>
    <t xml:space="preserve">PIP-012</t>
  </si>
  <si>
    <t xml:space="preserve">Ngoài giai đoạn 2021-2025 nhưng giữ để theo dõi pipeline kế tiếp.</t>
  </si>
  <si>
    <t xml:space="preserve">Tên liên kết</t>
  </si>
  <si>
    <t xml:space="preserve">Bằng chứng liên kết</t>
  </si>
  <si>
    <t xml:space="preserve">Điểm cần xác minh</t>
  </si>
  <si>
    <t xml:space="preserve">PPL-001</t>
  </si>
  <si>
    <t xml:space="preserve">Tinh dầu Citrus grandis ↔ KDCN 'Tinh dầu vỏ bưởi đào'</t>
  </si>
  <si>
    <t xml:space="preserve">Tên sản phẩm cùng tinh dầu vỏ bưởi; năm KDCN 2024 ngay sau nghiệm thu 2023; chủ sở hữu có ĐHTĐ và CTY Thanh Huế, phù hợp dấu hiệu hợp tác doanh nghiệp.</t>
  </si>
  <si>
    <t xml:space="preserve">Cần hồ sơ KDCN để xác nhận tác giả/nguồn gốc từ đề tài và ngày nộp đơn.</t>
  </si>
  <si>
    <t xml:space="preserve">PPL-002</t>
  </si>
  <si>
    <t xml:space="preserve">Đề tài Quế hoa ↔ sáng chế hợp chất lignan glucoside/phương pháp chiết từ Osmanthus fragrans</t>
  </si>
  <si>
    <t xml:space="preserve">Tên sáng chế trùng trực tiếp cây Quế hoa (Osmanthus fragrans) và hướng chiết xuất của đề tài; hồ sơ đề tài ghi Giai đoạn 2 có đầu ra 'Sáng chế'.</t>
  </si>
  <si>
    <t xml:space="preserve">Cần số đơn/văn bằng, ngày nộp, tác giả sáng chế, quan hệ với kinh phí đề tài và tình trạng thẩm định/cấp.</t>
  </si>
  <si>
    <t xml:space="preserve">Đầu ra ưu tiên IP</t>
  </si>
  <si>
    <t xml:space="preserve">Công bố đã ghép</t>
  </si>
  <si>
    <t xml:space="preserve">Bảo hộ đã liên kết</t>
  </si>
  <si>
    <t xml:space="preserve">Giai đoạn chuỗi hiện quan sát được</t>
  </si>
  <si>
    <t xml:space="preserve">Khoảng trống cần kiểm chứng</t>
  </si>
  <si>
    <t xml:space="preserve">Đầu ra IP mức Cao</t>
  </si>
  <si>
    <t xml:space="preserve">Finding_ID</t>
  </si>
  <si>
    <t xml:space="preserve">Nội dung xác nhận</t>
  </si>
  <si>
    <t xml:space="preserve">Cách diễn giải được phép</t>
  </si>
  <si>
    <t xml:space="preserve">Không được suy diễn</t>
  </si>
  <si>
    <t xml:space="preserve">Hệ quả đối với chỉ số</t>
  </si>
  <si>
    <t xml:space="preserve">Phương pháp thay thế/bổ sung</t>
  </si>
  <si>
    <t xml:space="preserve">Mức quan trọng</t>
  </si>
  <si>
    <t xml:space="preserve">VF01</t>
  </si>
  <si>
    <t xml:space="preserve">Có danh sách tổng hợp SHTT gồm 16 đối tượng trong nguồn người dùng cung cấp.</t>
  </si>
  <si>
    <t xml:space="preserve">4 bản quyền tác giả; 5 nhãn hiệu; 5 kiểu dáng công nghiệp; 2 sáng chế.</t>
  </si>
  <si>
    <t xml:space="preserve">Có thể dùng làm inventory nguồn; cần tách tài sản trực tiếp của ĐHTĐ khỏi tài sản UNIGO/cá nhân.</t>
  </si>
  <si>
    <t xml:space="preserve">Không coi toàn bộ 16 là TSTT của ĐHTĐ.</t>
  </si>
  <si>
    <t xml:space="preserve">Có thể tính số lượng/cơ cấu portfolio theo nguồn và theo phạm vi chủ sở hữu.</t>
  </si>
  <si>
    <t xml:space="preserve">Đối chiếu hồ sơ gốc nếu cần xác nhận trạng thái pháp lý chi tiết.</t>
  </si>
  <si>
    <t xml:space="preserve">VF02</t>
  </si>
  <si>
    <t xml:space="preserve">Trong danh sách nguồn, có 12 đối tượng mà ĐHTĐ là chủ sở hữu/đồng sở hữu; 11 đối tượng thuộc giai đoạn 2021-2025.</t>
  </si>
  <si>
    <t xml:space="preserve">2 QTG; 3 nhãn hiệu (gồm Double2n ở trạng thái tiếp nhận đơn); 5 KDCN; 2 sáng chế, trong đó một sáng chế năm 2026.</t>
  </si>
  <si>
    <t xml:space="preserve">Đây là portfolio trực tiếp phù hợp nhất cho nghiên cứu quản trị SHTT tại Trường.</t>
  </si>
  <si>
    <t xml:space="preserve">Không coi Double2n là đã được cấp; không coi 2 sáng chế là đã nộp/cấp khi thiếu số đơn/văn bằng.</t>
  </si>
  <si>
    <t xml:space="preserve">Có thể mô tả cấu trúc tài sản, nhưng protection success rate phải dùng mẫu số/trạng thái được xác minh.</t>
  </si>
  <si>
    <t xml:space="preserve">Xin số đơn/ngày nộp hoặc bản sao hồ sơ nếu còn khả năng tiếp cận.</t>
  </si>
  <si>
    <t xml:space="preserve">VF03</t>
  </si>
  <si>
    <t xml:space="preserve">Không có phiếu khai báo/biên bản nhận diện TSTT hoặc sổ/CSDL tương đương theo xác nhận hiện tại.</t>
  </si>
  <si>
    <t xml:space="preserve">Xác nhận trực tiếp của người dùng trong quá trình nghiên cứu.</t>
  </si>
  <si>
    <t xml:space="preserve">Có thể kết luận: chưa có bằng chứng tài liệu hóa khâu disclosure/nhận diện trong bộ hồ sơ hiện có.</t>
  </si>
  <si>
    <t xml:space="preserve">Không kết luận rằng hoạt động nhận diện chưa từng diễn ra hoặc cá nhân không trao đổi không chính thức.</t>
  </si>
  <si>
    <t xml:space="preserve">Không tính được Disclosure/Identification Rate dựa trên hồ sơ.</t>
  </si>
  <si>
    <t xml:space="preserve">Phỏng vấn bán cấu trúc để tái dựng quy trình thực tế; process tracing theo 2-5 case.</t>
  </si>
  <si>
    <t xml:space="preserve">VF04</t>
  </si>
  <si>
    <t xml:space="preserve">Không có hồ sơ sàng lọc/tra cứu khả năng bảo hộ theo xác nhận hiện tại.</t>
  </si>
  <si>
    <t xml:space="preserve">Xác nhận trực tiếp của người dùng.</t>
  </si>
  <si>
    <t xml:space="preserve">Có thể đánh giá khoảng trống về khả năng truy vết quyết định chọn/không chọn bảo hộ.</t>
  </si>
  <si>
    <t xml:space="preserve">Không kết luận rằng không ai từng tra cứu hoặc cân nhắc khả năng bảo hộ.</t>
  </si>
  <si>
    <t xml:space="preserve">Không tính được Screening Rate hoặc thời gian từ disclosure đến screening.</t>
  </si>
  <si>
    <t xml:space="preserve">Phỏng vấn người phụ trách; kiểm tra email/quyết định/tra cứu bên ngoài nếu có.</t>
  </si>
  <si>
    <t xml:space="preserve">VF05</t>
  </si>
  <si>
    <t xml:space="preserve">Không có hợp đồng chuyển giao/cấp phép/biên bản thương mại hóa trong bộ hồ sơ hiện có theo xác nhận hiện tại.</t>
  </si>
  <si>
    <t xml:space="preserve">Xác nhận trực tiếp của người dùng; một số hồ sơ nghiệm thu chỉ ghi dấu hiệu 'chuyển giao/ứng dụng'.</t>
  </si>
  <si>
    <t xml:space="preserve">Có thể phân biệt rõ 'dấu hiệu ứng dụng/chuyển giao' với 'giao dịch thương mại đã được chứng minh'.</t>
  </si>
  <si>
    <t xml:space="preserve">Không kết luận rằng chưa từng có ứng dụng thực tế; cũng không coi dòng nghiệm thu là hợp đồng chuyển giao.</t>
  </si>
  <si>
    <t xml:space="preserve">Không tính được Commercialization Rate, licensing revenue hoặc IP-to-Value chính thức.</t>
  </si>
  <si>
    <t xml:space="preserve">Case study + phỏng vấn + chứng từ tài chính/biên bản bàn giao nếu tìm được; nếu không, chỉ đo giá trị phi tài chính.</t>
  </si>
  <si>
    <t xml:space="preserve">VF06</t>
  </si>
  <si>
    <t xml:space="preserve">Tồn tại chuỗi sản phẩm nghiên cứu có khả năng liên kết với quyền SHTT, nhưng mới có 2 liên kết đề tài↔bảo hộ có bằng chứng mạnh.</t>
  </si>
  <si>
    <t xml:space="preserve">P2023-08 ↔ KDCN Tinh dầu vỏ bưởi đào; P2025-09 ↔ sáng chế về Osmanthus fragrans.</t>
  </si>
  <si>
    <t xml:space="preserve">Dùng làm case tracing để kiểm tra cách một đầu ra đi từ nghiên cứu sang bảo hộ.</t>
  </si>
  <si>
    <t xml:space="preserve">Không ngoại suy 2 case này cho toàn bộ portfolio.</t>
  </si>
  <si>
    <t xml:space="preserve">Tạo 'Observed Project-to-Protection Link' mô tả, không gọi là conversion rate chính thức.</t>
  </si>
  <si>
    <t xml:space="preserve">Phỏng vấn chủ nhiệm + Phòng KHCN, lập timeline của từng case.</t>
  </si>
  <si>
    <t xml:space="preserve">Matrix_ID</t>
  </si>
  <si>
    <t xml:space="preserve">Tầng chuẩn</t>
  </si>
  <si>
    <t xml:space="preserve">Văn bản/Điều</t>
  </si>
  <si>
    <t xml:space="preserve">Nội dung chuẩn cần đối chiếu</t>
  </si>
  <si>
    <t xml:space="preserve">Tình trạng hiệu lực/áp dụng</t>
  </si>
  <si>
    <t xml:space="preserve">Bằng chứng thực tế 2021-2025</t>
  </si>
  <si>
    <t xml:space="preserve">Đánh giá sơ bộ</t>
  </si>
  <si>
    <t xml:space="preserve">Loại khoảng cách</t>
  </si>
  <si>
    <t xml:space="preserve">Mức rủi ro</t>
  </si>
  <si>
    <t xml:space="preserve">Câu hỏi cần xác minh</t>
  </si>
  <si>
    <t xml:space="preserve">Nguồn/URL</t>
  </si>
  <si>
    <t xml:space="preserve">M01</t>
  </si>
  <si>
    <t xml:space="preserve">Phạm vi TSTT</t>
  </si>
  <si>
    <t xml:space="preserve">Quy chế nội bộ</t>
  </si>
  <si>
    <t xml:space="preserve">QC quản trị TSTT 2024, Điều 2-3</t>
  </si>
  <si>
    <t xml:space="preserve">TSTT được hiểu rộng: công bố, dữ liệu, học liệu, phần mềm, thông tin kỹ thuật, nhãn hiệu, KDCN, bí quyết và các kết quả sáng tạo khác; TSTT của Trường là tài sản thuộc sở hữu/đồng sở hữu của Trường.</t>
  </si>
  <si>
    <t xml:space="preserve">Đã ban hành theo QĐ số 217/QĐ-ĐHTĐ ngày 21/11/2024; hiệu lực từ 21/11/2024.</t>
  </si>
  <si>
    <t xml:space="preserve">Dataset đã nhận diện 90 đầu ra từ 38 đề tài; 26 đầu ra cần quản trị IP sâu hơn.</t>
  </si>
  <si>
    <t xml:space="preserve">Khung nội bộ bao quát rộng hơn danh mục văn bằng; dữ liệu thực tế hiện mới quản lý chắc chắn phần quyền đã đăng ký và đầu ra đề tài.</t>
  </si>
  <si>
    <t xml:space="preserve">Documentation/data gap</t>
  </si>
  <si>
    <t xml:space="preserve">Sau khi Quy chế có hiệu lực từ 21/11/2024, Trường đã ban hành/triển khai những biểu mẫu và quy trình nào để thực hiện các yêu cầu về nhận diện, theo dõi và khai thác TSTT?</t>
  </si>
  <si>
    <t xml:space="preserve">QĐ 217/QĐ-ĐHTĐ ngày 21/11/2024 – Quy chế quản trị TSTT</t>
  </si>
  <si>
    <t xml:space="preserve">M02</t>
  </si>
  <si>
    <t xml:space="preserve">Xác định sở hữu</t>
  </si>
  <si>
    <t xml:space="preserve">QC quản trị TSTT 2024, Điều 3-6</t>
  </si>
  <si>
    <t xml:space="preserve">Trường sở hữu TSTT tạo ra chủ yếu từ ngân sách/nguồn lực do Trường quản lý; có thể đồng sở hữu khi dùng nguồn lực nhiều bên; tỷ lệ sở hữu cần thỏa thuận bằng văn bản. NLĐ/người học có quyền sở hữu riêng trong các trường hợp không dùng nguồn lực Trường hoặc theo điều kiện quy định.</t>
  </si>
  <si>
    <t xml:space="preserve">QC quản trị TSTT đã ban hành theo QĐ số 217/QĐ-ĐHTĐ ngày 21/11/2024, hiệu lực 21/11/2024; QĐ 213/QĐ-ĐHTĐ năm 2021 tiếp tục là căn cứ cho Quy chế hoạt động KHCN.</t>
  </si>
  <si>
    <t xml:space="preserve">Portfolio có tài sản ĐHTĐ sở hữu, đồng sở hữu với CTY Thanh Huế, và tài sản ngoài phạm vi ĐHTĐ (UNIGO/cá nhân).</t>
  </si>
  <si>
    <t xml:space="preserve">Có thực tiễn phân biệt chủ sở hữu, nhưng hồ sơ đầu ra đề tài hiện chưa luôn cho thấy quyết định sở hữu/đồng sở hữu cụ thể.</t>
  </si>
  <si>
    <t xml:space="preserve">Documentation/ownership traceability gap</t>
  </si>
  <si>
    <t xml:space="preserve">Đối với từng case đồng sáng tạo, quyền sở hữu được quyết định khi ký hợp đồng, khi nghiệm thu hay khi nộp đơn?</t>
  </si>
  <si>
    <t xml:space="preserve">QĐ 217/QĐ-ĐHTĐ ngày 21/11/2024; QĐ 213/QĐ-ĐHTĐ năm 2021</t>
  </si>
  <si>
    <t xml:space="preserve">M03</t>
  </si>
  <si>
    <t xml:space="preserve">Nhận diện/kê khai TSTT</t>
  </si>
  <si>
    <t xml:space="preserve">QC quản trị TSTT 2024, Điều 11</t>
  </si>
  <si>
    <t xml:space="preserve">Phòng KHCN xây dựng quy trình, biểu mẫu ghi nhận/khai báo; nhận diện, ghi nhận TSTT mới; lập hồ sơ thống kê, theo dõi, lưu trữ tập trung.</t>
  </si>
  <si>
    <t xml:space="preserve">Người dùng xác nhận hiện không có phiếu khai báo/biên bản nhận diện hoặc sổ/CSDL disclosure tương đương.</t>
  </si>
  <si>
    <t xml:space="preserve">Không có bằng chứng tài liệu hóa một cơ chế disclosure/identification có khả năng truy vết.</t>
  </si>
  <si>
    <t xml:space="preserve">Documentation gap</t>
  </si>
  <si>
    <t xml:space="preserve">Nếu không dùng phiếu khai báo, tài sản mới được báo cho Phòng KHCN bằng kênh nào? Ai quyết định một kết quả cần bảo hộ?</t>
  </si>
  <si>
    <t xml:space="preserve">M04</t>
  </si>
  <si>
    <t xml:space="preserve">Công bố trước bảo hộ</t>
  </si>
  <si>
    <t xml:space="preserve">QC quản trị TSTT 2024, Điều 10</t>
  </si>
  <si>
    <t xml:space="preserve">Công bố không được ảnh hưởng khả năng bảo hộ/khai thác; tác giả cần xác định TSTT có thể bảo hộ và xin ý kiến Phòng KHCN trước khi bộc lộ công khai.</t>
  </si>
  <si>
    <t xml:space="preserve">QC quản trị TSTT có hiệu lực từ 21/11/2024 theo QĐ 217/QĐ-ĐHTĐ; QĐ 213/QĐ-ĐHTĐ năm 2021 cũng có quy định bảo mật và phổ biến/sử dụng kết quả.</t>
  </si>
  <si>
    <t xml:space="preserve">Có đề tài vừa có bài báo vừa có công thức/quy trình dự kiến GPHI; chưa có hồ sơ screening/timing.</t>
  </si>
  <si>
    <t xml:space="preserve">Rủi ro không nằm ở việc đã công bố hay chưa, mà ở việc không truy vết được quyết định 'công bố trước hay nộp đơn trước'.</t>
  </si>
  <si>
    <t xml:space="preserve">Process traceability/risk gap</t>
  </si>
  <si>
    <t xml:space="preserve">Trong case cồn xoa bóp, viên ngậm, Quế hoa: thời điểm bài báo, thời điểm quyết định bảo hộ và thời điểm nộp đơn là khi nào?</t>
  </si>
  <si>
    <t xml:space="preserve">M05</t>
  </si>
  <si>
    <t xml:space="preserve">Đăng ký quyền SHTT</t>
  </si>
  <si>
    <t xml:space="preserve">QĐ 213/QĐ-ĐHTĐ 2021, Điều 35</t>
  </si>
  <si>
    <t xml:space="preserve">Tác giả nộp đơn tại Phòng KHCN; Phòng KHCN kiểm tra hình thức, yêu cầu sửa đổi nếu cần, trình Hiệu trưởng ký và nộp đơn/lệ phí tại cơ quan nhà nước.</t>
  </si>
  <si>
    <t xml:space="preserve">Có hiệu lực từ 01/01/2022 theo Quyết định 213/2021.</t>
  </si>
  <si>
    <t xml:space="preserve">Danh mục nguồn có 11 đối tượng ĐHTĐ trực tiếp trong 2021-2025; 9 có số đăng ký/văn bằng/ký hiệu, 1 nhãn hiệu ở trạng thái tiếp nhận đơn, 1 sáng chế 2025 chưa có số trong danh sách.</t>
  </si>
  <si>
    <t xml:space="preserve">Có đầu ra đăng ký/bảo hộ thực tế, nhưng không có hồ sơ trung gian để đo thời gian xử lý hay tỷ lệ từ đề xuất → nộp đơn.</t>
  </si>
  <si>
    <t xml:space="preserve">Documentation/process measurement gap</t>
  </si>
  <si>
    <t xml:space="preserve">Quy trình Điều 35 thực tế được khởi động bằng biểu mẫu nào? Có lưu ngày nhận đơn nội bộ/ngày trình ký/ngày nộp không?</t>
  </si>
  <si>
    <t xml:space="preserve">02. QĐ 213_QĐ-ĐHTĐ- Quy chế HĐ KHCN năm 2021.pdf</t>
  </si>
  <si>
    <t xml:space="preserve">M06</t>
  </si>
  <si>
    <t xml:space="preserve">Sàng lọc loại quyền</t>
  </si>
  <si>
    <t xml:space="preserve">Thông lệ quản trị + nội bộ</t>
  </si>
  <si>
    <t xml:space="preserve">QC 2024 Điều 10-11; QĐ 213 Điều 35</t>
  </si>
  <si>
    <t xml:space="preserve">Trước công bố/đăng ký cần nhận diện đối tượng và lựa chọn cơ chế bảo hộ phù hợp; QC giao Phòng KHCN quản lý/nhận diện và QĐ 213 quy định quy trình đăng ký.</t>
  </si>
  <si>
    <t xml:space="preserve">QC quản trị TSTT có hiệu lực từ 21/11/2024 theo QĐ 217/QĐ-ĐHTĐ; QĐ 213/QĐ-ĐHTĐ năm 2021 có hiệu lực.</t>
  </si>
  <si>
    <t xml:space="preserve">Người dùng xác nhận không có hồ sơ sàng lọc/tra cứu khả năng bảo hộ.</t>
  </si>
  <si>
    <t xml:space="preserve">Không thể biết tiêu chí vì sao chọn KDCN, nhãn hiệu, sáng chế/GPHI hoặc không đăng ký.</t>
  </si>
  <si>
    <t xml:space="preserve">Decision-documentation gap</t>
  </si>
  <si>
    <t xml:space="preserve">Ai tư vấn loại quyền? Có thuê đại diện SHTT/tra cứu ngoài trường không? Quyết định dựa trên tiêu chí nào?</t>
  </si>
  <si>
    <t xml:space="preserve">M07</t>
  </si>
  <si>
    <t xml:space="preserve">Quyền đăng ký với nhiệm vụ dùng NSNN</t>
  </si>
  <si>
    <t xml:space="preserve">Pháp luật quốc gia</t>
  </si>
  <si>
    <t xml:space="preserve">Luật SHTT hiện hành (sửa đổi 2025), Điều 86; NĐ hướng dẫn về kết quả nhiệm vụ dùng NSNN</t>
  </si>
  <si>
    <t xml:space="preserve">Tổ chức được giao quyền quản lý/sử dụng hoặc quyền sở hữu kết quả nhiệm vụ KH,CN&amp;ĐMST dùng NSNN có quyền đăng ký sáng chế, KDCN, thiết kế bố trí là kết quả nhiệm vụ; với nhiệm vụ dùng NSNN có cơ chế quyền/ nghĩa vụ riêng.</t>
  </si>
  <si>
    <t xml:space="preserve">Áp dụng trực tiếp cho nhiệm vụ dùng NSNN; không tự động áp dụng cho mọi đề tài cấp cơ sở bằng nguồn Trường.</t>
  </si>
  <si>
    <t xml:space="preserve">Dataset có đề tài cấp cơ sở và một số đề tài quốc gia/NAFOSTED; chưa trộn hai nhóm trong cùng mẫu phân tích bảo hộ.</t>
  </si>
  <si>
    <t xml:space="preserve">Cần phân tầng nguồn kinh phí khi phân tích quyền đăng ký và nghĩa vụ.</t>
  </si>
  <si>
    <t xml:space="preserve">Scope/classification gap</t>
  </si>
  <si>
    <t xml:space="preserve">Các sáng chế/KDCN nào hình thành từ nhiệm vụ NSNN, nguồn Trường, doanh nghiệp hay nguồn hỗn hợp?</t>
  </si>
  <si>
    <t xml:space="preserve">https://vbpl.vn/TW/Pages/vbpq-toanvan.aspx?ItemID=187492 ; https://vbpl.vn/TW/Pages/vbpq-toanvan.aspx?ItemID=164372</t>
  </si>
  <si>
    <t xml:space="preserve">M08</t>
  </si>
  <si>
    <t xml:space="preserve">Thương mại hóa</t>
  </si>
  <si>
    <t xml:space="preserve">Luật KH,CN&amp;ĐMST 93/2025/QH15, Điều 27</t>
  </si>
  <si>
    <t xml:space="preserve">Chủ sở hữu tự quyết định thương mại hóa; tổ chức được giao quản lý/sử dụng kết quả có quyền tự quyết hình thức, phương án, giá và phân chia lợi nhuận; luật quy định cơ chế thưởng tác giả trong trường hợp thuộc phạm vi điều chỉnh.</t>
  </si>
  <si>
    <t xml:space="preserve">Luật có hiệu lực 01/10/2025; cần phân biệt thời kỳ trước/sau hiệu lực và phạm vi nguồn vốn.</t>
  </si>
  <si>
    <t xml:space="preserve">Không có hợp đồng chuyển giao/cấp phép/biên bản thương mại hóa trong bộ hồ sơ hiện có; một số hồ sơ nghiệm thu chỉ ghi dấu hiệu ứng dụng/chuyển giao.</t>
  </si>
  <si>
    <t xml:space="preserve">Không đủ bằng chứng để tính commercialization rate hay doanh thu SHTT.</t>
  </si>
  <si>
    <t xml:space="preserve">Evidence/commercialization gap</t>
  </si>
  <si>
    <t xml:space="preserve">Có ứng dụng nội bộ, bán thử, bàn giao mẫu, hợp tác doanh nghiệp hoặc thu nhập nào không được ghi dưới dạng hợp đồng chuyển giao?</t>
  </si>
  <si>
    <t xml:space="preserve">https://vbpl.vn/TW/Pages/ivbpq-toanvan.aspx?ItemID=179265</t>
  </si>
  <si>
    <t xml:space="preserve">M09</t>
  </si>
  <si>
    <t xml:space="preserve">Chuyển giao/khai thác</t>
  </si>
  <si>
    <t xml:space="preserve">QĐ 213/2021, Điều 36; QC 2024, Điều 11</t>
  </si>
  <si>
    <t xml:space="preserve">QĐ 213 quy định chuyển giao/thương mại hóa và phân chia lợi nhuận; QC giao Phòng KHCN xúc tiến thương mại hóa và phối hợp ký hợp đồng chuyển giao, li-xăng, góp vốn, liên doanh/liên kết bằng TSTT.</t>
  </si>
  <si>
    <t xml:space="preserve">QĐ 213/QĐ-ĐHTĐ năm 2021 có hiệu lực; QC quản trị TSTT có hiệu lực từ 21/11/2024 theo QĐ 217/QĐ-ĐHTĐ.</t>
  </si>
  <si>
    <t xml:space="preserve">Case tinh dầu vỏ bưởi ghi 'sản phẩm chuyển giao công nghệ cho Trường ... thương mại hóa' nhưng không có hợp đồng/biên bản thương mại hóa trong hồ sơ hiện có.</t>
  </si>
  <si>
    <t xml:space="preserve">Có dấu hiệu khai thác nhưng thiếu bằng chứng giao dịch và định nghĩa thống nhất về 'chuyển giao'.</t>
  </si>
  <si>
    <t xml:space="preserve">Documentation/definition gap</t>
  </si>
  <si>
    <t xml:space="preserve">Trong hồ sơ 2023, 'chuyển giao cho Trường để thương mại hóa' nghĩa là bàn giao nội bộ, chuyển quyền, chuyển giao công nghệ hay chỉ nghiệm thu sản phẩm?</t>
  </si>
  <si>
    <t xml:space="preserve">QĐ 213/QĐ-ĐHTĐ năm 2021; QĐ 217/QĐ-ĐHTĐ ngày 21/11/2024</t>
  </si>
  <si>
    <t xml:space="preserve">M10</t>
  </si>
  <si>
    <t xml:space="preserve">Quy chế nội bộ + pháp luật</t>
  </si>
  <si>
    <t xml:space="preserve">QĐ 213/2021 Điều 36; Luật 93/2025 Điều 27</t>
  </si>
  <si>
    <t xml:space="preserve">QĐ 213 có công thức phân chia cho một số trường hợp; pháp luật 2025 quy định cơ chế tự chủ và mức thưởng tối thiểu cho tác giả trong phạm vi luật.</t>
  </si>
  <si>
    <t xml:space="preserve">Cần xem lại tính tương thích của công thức nội bộ cũ với pháp luật mới từ 01/10/2025, đặc biệt theo nguồn vốn/kết quả.</t>
  </si>
  <si>
    <t xml:space="preserve">Chưa có chứng từ phân chia lợi ích trong dataset.</t>
  </si>
  <si>
    <t xml:space="preserve">Policy update + evidence gap</t>
  </si>
  <si>
    <t xml:space="preserve">Quy chế nội bộ đã được rà soát sau Luật 93/2025 chưa? Có trường hợp nào từng chi thù lao/lợi ích từ TSTT?</t>
  </si>
  <si>
    <t xml:space="preserve">QĐ 213/QĐ-ĐHTĐ 2021; https://vbpl.vn/TW/Pages/ivbpq-toanvan.aspx?ItemID=179265</t>
  </si>
  <si>
    <t xml:space="preserve">M11</t>
  </si>
  <si>
    <t xml:space="preserve">Theo dõi portfolio</t>
  </si>
  <si>
    <t xml:space="preserve">Phòng KHCN lập hồ sơ thống kê, theo dõi TSTT sở hữu/đồng sở hữu, lưu trữ tập trung và phối hợp khai thác.</t>
  </si>
  <si>
    <t xml:space="preserve">Có danh sách tổng hợp văn bằng/đơn; tuy nhiên trạng thái một số mục chưa đủ số đơn/văn bằng và portfolio chưa nối hoàn chỉnh với nguồn đề tài.</t>
  </si>
  <si>
    <t xml:space="preserve">Có inventory nhưng chưa đạt mức lifecycle database đầy đủ.</t>
  </si>
  <si>
    <t xml:space="preserve">Data architecture gap</t>
  </si>
  <si>
    <t xml:space="preserve">Có file theo dõi ngày nộp, ngày cấp, gia hạn, chi phí, tác giả, đề tài nguồn và tình trạng khai thác hay không?</t>
  </si>
  <si>
    <t xml:space="preserve">M12</t>
  </si>
  <si>
    <t xml:space="preserve">Số hóa dữ liệu KH,CN&amp;ĐMST</t>
  </si>
  <si>
    <t xml:space="preserve">Luật 93/2025 và văn bản hướng dẫn về thông tin/chuyển đổi số</t>
  </si>
  <si>
    <t xml:space="preserve">Khung pháp luật mới nhấn mạnh nền tảng số quản lý toàn diện và số hóa kết quả, dữ liệu KH,CN&amp;ĐMST.</t>
  </si>
  <si>
    <t xml:space="preserve">Khung pháp luật có hiệu lực từ 2025; mức áp dụng cụ thể tại cơ sở tư thục cần đặt trong bối cảnh nghĩa vụ/quản trị nội bộ.</t>
  </si>
  <si>
    <t xml:space="preserve">Dữ liệu hiện phân tán ở nhiều danh mục PDF/Word/ảnh; nhóm nghiên cứu phải tự nối Project–Output–Publication–Protection.</t>
  </si>
  <si>
    <t xml:space="preserve">Mức trưởng thành dữ liệu còn phân tán, khó đo vòng đời TSTT.</t>
  </si>
  <si>
    <t xml:space="preserve">Digital governance gap</t>
  </si>
  <si>
    <t xml:space="preserve">Trường hiện dùng phần mềm/CSDL nào cho KHCN và SHTT? Có mã định danh thống nhất cho đề tài–đầu ra–TSTT không?</t>
  </si>
  <si>
    <t xml:space="preserve">https://vbpl.vn/TW/Pages/vbpq-toanvan.aspx?ItemID=183315</t>
  </si>
  <si>
    <t xml:space="preserve">BỘ PHỎNG VẤN BÁN CẤU TRÚC – PROCESS TRACING (KHÔNG PHẢI KHẢO SÁT ĐỊNH LƯỢNG)</t>
  </si>
  <si>
    <t xml:space="preserve">Q_ID</t>
  </si>
  <si>
    <t xml:space="preserve">Nhóm người trả lời</t>
  </si>
  <si>
    <t xml:space="preserve">Câu hỏi chính</t>
  </si>
  <si>
    <t xml:space="preserve">Mục đích bằng chứng</t>
  </si>
  <si>
    <t xml:space="preserve">Case ưu tiên</t>
  </si>
  <si>
    <t xml:space="preserve">Câu hỏi gợi mở</t>
  </si>
  <si>
    <t xml:space="preserve">Không được dẫn dắt theo hướng</t>
  </si>
  <si>
    <t xml:space="preserve">Mã hóa sau phỏng vấn</t>
  </si>
  <si>
    <t xml:space="preserve">Q01</t>
  </si>
  <si>
    <t xml:space="preserve">Phòng KHCN/Quản lý</t>
  </si>
  <si>
    <t xml:space="preserve">Khi một đề tài tạo ra sản phẩm, công thức, quy trình hoặc thiết kế mới, bằng cách nào Phòng KHCN biết rằng có TSTT cần xem xét?</t>
  </si>
  <si>
    <t xml:space="preserve">Tái dựng khâu nhận diện/disclosure</t>
  </si>
  <si>
    <t xml:space="preserve">Tất cả</t>
  </si>
  <si>
    <t xml:space="preserve">Ai báo? bằng email, văn bản, họp hay khi nghiệm thu? Có mốc thời gian không?</t>
  </si>
  <si>
    <t xml:space="preserve">Không hỏi 'vì sao không có phiếu disclosure' ngay từ đầu</t>
  </si>
  <si>
    <t xml:space="preserve">Trigger; channel; actor; timing</t>
  </si>
  <si>
    <t xml:space="preserve">Q02</t>
  </si>
  <si>
    <t xml:space="preserve">Ai quyết định một kết quả nên đăng ký SHTT, giữ bí mật, chỉ công bố hay không tiếp tục bảo hộ?</t>
  </si>
  <si>
    <t xml:space="preserve">Tái dựng decision rule</t>
  </si>
  <si>
    <t xml:space="preserve">Quế hoa; cồn xoa bóp; viên ngậm; xà phòng</t>
  </si>
  <si>
    <t xml:space="preserve">Có tiêu chí về tính mới, thị trường, chi phí, khả năng áp dụng không?</t>
  </si>
  <si>
    <t xml:space="preserve">Không mặc định quyết định là sai hoặc thiếu</t>
  </si>
  <si>
    <t xml:space="preserve">Decision maker; criteria; alternatives</t>
  </si>
  <si>
    <t xml:space="preserve">Q03</t>
  </si>
  <si>
    <t xml:space="preserve">Phòng KHCN/Chủ nhiệm</t>
  </si>
  <si>
    <t xml:space="preserve">Trước khi bài báo hoặc kết quả được công bố, có bước nào kiểm tra nguy cơ mất khả năng bảo hộ không?</t>
  </si>
  <si>
    <t xml:space="preserve">Kiểm tra publication-before-protection control</t>
  </si>
  <si>
    <t xml:space="preserve">Quế hoa; cồn xoa bóp; viên ngậm</t>
  </si>
  <si>
    <t xml:space="preserve">Ai kiểm tra? khi nào? bằng tài liệu gì?</t>
  </si>
  <si>
    <t xml:space="preserve">Không gợi ý rằng đã có vi phạm tính mới</t>
  </si>
  <si>
    <t xml:space="preserve">Timing; confidentiality; review</t>
  </si>
  <si>
    <t xml:space="preserve">Q04</t>
  </si>
  <si>
    <t xml:space="preserve">Quy trình đăng ký theo Điều 35 của Quy chế KHCN 2021 được thực hiện trên thực tế như thế nào?</t>
  </si>
  <si>
    <t xml:space="preserve">So sánh formal process vs actual process</t>
  </si>
  <si>
    <t xml:space="preserve">Các nhãn hiệu/KDCN/sáng chế</t>
  </si>
  <si>
    <t xml:space="preserve">Có bước nhận nội bộ, trình ký, nộp phí, theo dõi trạng thái không?</t>
  </si>
  <si>
    <t xml:space="preserve">Không coi quy chế giấy là quy trình thực tế</t>
  </si>
  <si>
    <t xml:space="preserve">Actual steps; deviations; records</t>
  </si>
  <si>
    <t xml:space="preserve">Q05</t>
  </si>
  <si>
    <t xml:space="preserve">Chủ nhiệm/Tác giả</t>
  </si>
  <si>
    <t xml:space="preserve">Anh/chị biết kết quả của mình có khả năng đăng ký SHTT từ thời điểm nào? Ai là người gợi ý đầu tiên?</t>
  </si>
  <si>
    <t xml:space="preserve">Nguồn hình thành ý định bảo hộ</t>
  </si>
  <si>
    <t xml:space="preserve">5 case công nghệ</t>
  </si>
  <si>
    <t xml:space="preserve">Do cá nhân, Phòng KHCN, doanh nghiệp, đại diện SHTT hay hội đồng nghiệm thu?</t>
  </si>
  <si>
    <t xml:space="preserve">Không hỏi nhận thức chung chung</t>
  </si>
  <si>
    <t xml:space="preserve">Awareness trigger; initiator</t>
  </si>
  <si>
    <t xml:space="preserve">Q06</t>
  </si>
  <si>
    <t xml:space="preserve">Yếu tố nào khiến nhóm quyết định tiếp tục hoặc không tiếp tục đăng ký?</t>
  </si>
  <si>
    <t xml:space="preserve">Nguyên nhân dừng/tiếp tục</t>
  </si>
  <si>
    <t xml:space="preserve">Panel ô tô; xà phòng; cồn; viên ngậm</t>
  </si>
  <si>
    <t xml:space="preserve">Chi phí, thời gian, tính mới, lợi ích, thủ tục, doanh nghiệp, công bố?</t>
  </si>
  <si>
    <t xml:space="preserve">Không ép chọn danh sách nguyên nhân</t>
  </si>
  <si>
    <t xml:space="preserve">Barrier/enabler; priority</t>
  </si>
  <si>
    <t xml:space="preserve">Q07</t>
  </si>
  <si>
    <t xml:space="preserve">Chủ nhiệm/Tác giả + Quản lý</t>
  </si>
  <si>
    <t xml:space="preserve">Trong trường hợp có nhiều bên tham gia, quyền sở hữu và quyền nộp đơn được thỏa thuận ở thời điểm nào?</t>
  </si>
  <si>
    <t xml:space="preserve">Ownership governance</t>
  </si>
  <si>
    <t xml:space="preserve">Tinh dầu vỏ bưởi; tài sản ĐHTĐ–Thanh Huế</t>
  </si>
  <si>
    <t xml:space="preserve">Có hợp đồng từ đầu không? ai đứng tên? phân chia thế nào?</t>
  </si>
  <si>
    <t xml:space="preserve">Không giả định có tranh chấp</t>
  </si>
  <si>
    <t xml:space="preserve">Ownership timing; agreement; co-ownership</t>
  </si>
  <si>
    <t xml:space="preserve">Q08</t>
  </si>
  <si>
    <t xml:space="preserve">Quản lý + Đơn vị sử dụng</t>
  </si>
  <si>
    <t xml:space="preserve">Sau khi có văn bằng/đơn, ai chịu trách nhiệm theo dõi và tìm cách sử dụng hoặc khai thác tài sản?</t>
  </si>
  <si>
    <t xml:space="preserve">Post-protection governance</t>
  </si>
  <si>
    <t xml:space="preserve">KDCN; nhãn hiệu; sáng chế</t>
  </si>
  <si>
    <t xml:space="preserve">Có mục tiêu sử dụng, đối tác, ngân sách khai thác không?</t>
  </si>
  <si>
    <t xml:space="preserve">Không đồng nhất 'có văn bằng' với 'có giá trị'</t>
  </si>
  <si>
    <t xml:space="preserve">Owner after grant; exploitation plan</t>
  </si>
  <si>
    <t xml:space="preserve">Q09</t>
  </si>
  <si>
    <t xml:space="preserve">Quản lý/Doanh nghiệp/Chủ nhiệm</t>
  </si>
  <si>
    <t xml:space="preserve">Khái niệm 'chuyển giao' được hiểu và ghi nhận trong Trường như thế nào?</t>
  </si>
  <si>
    <t xml:space="preserve">Làm rõ định nghĩa thực hành</t>
  </si>
  <si>
    <t xml:space="preserve">Tinh dầu vỏ bưởi</t>
  </si>
  <si>
    <t xml:space="preserve">Bàn giao nội bộ khác hợp đồng CGCN/cấp phép như thế nào?</t>
  </si>
  <si>
    <t xml:space="preserve">Không gọi mọi bàn giao là thương mại hóa</t>
  </si>
  <si>
    <t xml:space="preserve">Transfer definition; evidence</t>
  </si>
  <si>
    <t xml:space="preserve">Q10</t>
  </si>
  <si>
    <t xml:space="preserve">Đơn vị sử dụng/Chủ nhiệm</t>
  </si>
  <si>
    <t xml:space="preserve">Sản phẩm nghiên cứu đã được dùng trong giảng dạy, nghiên cứu tiếp, vận hành nội bộ hoặc bởi bên ngoài như thế nào?</t>
  </si>
  <si>
    <t xml:space="preserve">Đo giá trị phi tài chính</t>
  </si>
  <si>
    <t xml:space="preserve">Panel; bộ mẫu; tiêu bản; xà phòng</t>
  </si>
  <si>
    <t xml:space="preserve">Bao nhiêu lớp/người dùng/lần sử dụng? thay thế chi phí gì?</t>
  </si>
  <si>
    <t xml:space="preserve">Không chỉ hỏi doanh thu</t>
  </si>
  <si>
    <t xml:space="preserve">Utilization; reach; replacement value</t>
  </si>
  <si>
    <t xml:space="preserve">Q11</t>
  </si>
  <si>
    <t xml:space="preserve">Quản lý/Tài chính</t>
  </si>
  <si>
    <t xml:space="preserve">Nếu TSTT tạo ra thu nhập hoặc được định giá, cơ chế phân chia lợi ích và ghi nhận tài chính được thực hiện thế nào?</t>
  </si>
  <si>
    <t xml:space="preserve">Kiểm tra incentive/value governance</t>
  </si>
  <si>
    <t xml:space="preserve">Case có khai thác nếu có</t>
  </si>
  <si>
    <t xml:space="preserve">Có từng phát sinh trường hợp thực tế chưa?</t>
  </si>
  <si>
    <t xml:space="preserve">Không giả định đã có doanh thu</t>
  </si>
  <si>
    <t xml:space="preserve">Revenue; benefit share; accounting</t>
  </si>
  <si>
    <t xml:space="preserve">Q12</t>
  </si>
  <si>
    <t xml:space="preserve">Quản lý</t>
  </si>
  <si>
    <t xml:space="preserve">Danh mục SHTT hiện được cập nhật bằng cách nào và ai chịu trách nhiệm cập nhật trạng thái đơn/văn bằng?</t>
  </si>
  <si>
    <t xml:space="preserve">Data governance</t>
  </si>
  <si>
    <t xml:space="preserve">Toàn portfolio</t>
  </si>
  <si>
    <t xml:space="preserve">Có theo dõi ngày nộp/cấp/gia hạn/chi phí/đề tài nguồn không?</t>
  </si>
  <si>
    <t xml:space="preserve">Không đánh giá hệ thống trước khi nghe mô tả</t>
  </si>
  <si>
    <t xml:space="preserve">Database; update cycle; fields</t>
  </si>
  <si>
    <t xml:space="preserve">Q13</t>
  </si>
  <si>
    <t xml:space="preserve">Lãnh đạo/Quản lý</t>
  </si>
  <si>
    <t xml:space="preserve">Trong chuỗi từ nghiên cứu đến giá trị, khâu nào hiện gây mất nhiều cơ hội nhất?</t>
  </si>
  <si>
    <t xml:space="preserve">Nhận diện bottleneck theo góc nhìn quản lý</t>
  </si>
  <si>
    <t xml:space="preserve">Toàn hệ thống</t>
  </si>
  <si>
    <t xml:space="preserve">Nhận diện, bảo hộ, kinh phí, doanh nghiệp, thương mại hóa, nhân lực?</t>
  </si>
  <si>
    <t xml:space="preserve">Không cung cấp sẵn kết luận của nghiên cứu</t>
  </si>
  <si>
    <t xml:space="preserve">Perceived bottleneck; rationale</t>
  </si>
  <si>
    <t xml:space="preserve">Q14</t>
  </si>
  <si>
    <t xml:space="preserve">Chuyên gia SHTT bên ngoài</t>
  </si>
  <si>
    <t xml:space="preserve">Với portfolio và quy trình hiện có, ba cải tiến nào nên ưu tiên trong 12–24 tháng?</t>
  </si>
  <si>
    <t xml:space="preserve">Thẩm định giải pháp</t>
  </si>
  <si>
    <t xml:space="preserve">Tính khả thi, nguồn lực, rủi ro pháp lý, thứ tự triển khai?</t>
  </si>
  <si>
    <t xml:space="preserve">Không yêu cầu đồng ý với giải pháp dự kiến</t>
  </si>
  <si>
    <t xml:space="preserve">Priority; feasibility; risk</t>
  </si>
  <si>
    <t xml:space="preserve">Q15</t>
  </si>
  <si>
    <t xml:space="preserve">Chuyên gia/Quản lý</t>
  </si>
  <si>
    <t xml:space="preserve">Những chỉ số nào nên dùng để đánh giá hiệu quả quản trị TSTT của một trường tư thục như Thành Đô?</t>
  </si>
  <si>
    <t xml:space="preserve">Thẩm định KPI</t>
  </si>
  <si>
    <t xml:space="preserve">Nên ưu tiên output, protection, use, revenue, time-to-IP hay strategic value?</t>
  </si>
  <si>
    <t xml:space="preserve">Không áp đặt bộ KPI đã xây</t>
  </si>
  <si>
    <t xml:space="preserve">KPI relevance; weights</t>
  </si>
  <si>
    <t xml:space="preserve">Case_ID</t>
  </si>
  <si>
    <t xml:space="preserve">Case</t>
  </si>
  <si>
    <t xml:space="preserve">Lý do chọn</t>
  </si>
  <si>
    <t xml:space="preserve">Mốc 1: Đề tài</t>
  </si>
  <si>
    <t xml:space="preserve">Mốc 2: Đầu ra kỹ thuật</t>
  </si>
  <si>
    <t xml:space="preserve">Mốc 3: Công bố</t>
  </si>
  <si>
    <t xml:space="preserve">Mốc 4: Quyết định IP</t>
  </si>
  <si>
    <t xml:space="preserve">Mốc 5: Đơn/Văn bằng</t>
  </si>
  <si>
    <t xml:space="preserve">Mốc 6: Ứng dụng</t>
  </si>
  <si>
    <t xml:space="preserve">Bằng chứng còn thiếu</t>
  </si>
  <si>
    <t xml:space="preserve">Người nên phỏng vấn</t>
  </si>
  <si>
    <t xml:space="preserve">Kết luận được phép hiện tại</t>
  </si>
  <si>
    <t xml:space="preserve">C01</t>
  </si>
  <si>
    <t xml:space="preserve">Có hợp tác DN + sản phẩm + KDCN liên kết mạnh + ghi dấu hiệu thương mại hóa</t>
  </si>
  <si>
    <t xml:space="preserve">Đề tài 08-2023/KHCN; nghiệm thu 13/11/2023</t>
  </si>
  <si>
    <t xml:space="preserve">Tinh dầu Citrus grandis 100ml</t>
  </si>
  <si>
    <t xml:space="preserve">Có bài báo liên quan hợp tác Nhà trường-DN ngành Dược</t>
  </si>
  <si>
    <t xml:space="preserve">Chưa có hồ sơ quyết định/sàng lọc</t>
  </si>
  <si>
    <t xml:space="preserve">KDCN 'Tinh dầu vỏ bưởi đào' 3-0039694-000, 2024; ĐHTĐ + CTY Thanh Huế</t>
  </si>
  <si>
    <t xml:space="preserve">Hồ sơ đề tài ghi 'chuyển giao cho Trường ... thương mại hóa'</t>
  </si>
  <si>
    <t xml:space="preserve">Hồ sơ KDCN gốc; ngày nộp; tác giả; thỏa thuận sở hữu; nghĩa của 'chuyển giao'; bằng chứng sử dụng/doanh thu</t>
  </si>
  <si>
    <t xml:space="preserve">Phan Thị Thanh Thảo; đại diện CTY Thanh Huế; Phòng KHCN</t>
  </si>
  <si>
    <t xml:space="preserve">Có chuỗi nghiên cứu→KDCN có khả năng cao; chưa xác nhận giao dịch thương mại.</t>
  </si>
  <si>
    <t xml:space="preserve">C02</t>
  </si>
  <si>
    <t xml:space="preserve">Quế hoa (Osmanthus fragrans)</t>
  </si>
  <si>
    <t xml:space="preserve">Đề tài ghi đầu ra sáng chế; danh mục SHTT có sáng chế trùng trực tiếp đối tượng</t>
  </si>
  <si>
    <t xml:space="preserve">Đề tài 09-2025/KHCN; giai đoạn 1 nghiệm thu 25/12/2025</t>
  </si>
  <si>
    <t xml:space="preserve">Chiết xuất/đánh giá hoạt tính lá Quế hoa</t>
  </si>
  <si>
    <t xml:space="preserve">Có công bố giai đoạn 1 theo hồ sơ, cần ghép chi tiết</t>
  </si>
  <si>
    <t xml:space="preserve">Chưa có hồ sơ sàng lọc/quyết định</t>
  </si>
  <si>
    <t xml:space="preserve">Sáng chế 'Các hợp chất furofuran lignan glucoside...' năm 2025; chưa có số trong danh sách</t>
  </si>
  <si>
    <t xml:space="preserve">Chưa có bằng chứng khai thác</t>
  </si>
  <si>
    <t xml:space="preserve">Số đơn/văn bằng; ngày nộp; tác giả sáng chế; nguồn kinh phí; timeline công bố-bảo hộ</t>
  </si>
  <si>
    <t xml:space="preserve">Nguyễn Ngọc Linh; Phòng KHCN</t>
  </si>
  <si>
    <t xml:space="preserve">Liên kết đề tài→sáng chế rất cao; chưa được phép gọi là văn bằng đã cấp.</t>
  </si>
  <si>
    <t xml:space="preserve">C03</t>
  </si>
  <si>
    <t xml:space="preserve">Xà phòng tảo biển</t>
  </si>
  <si>
    <t xml:space="preserve">Có prototype số lượng lớn + công thức/quy trình + bài báo nhưng chưa nối được bảo hộ</t>
  </si>
  <si>
    <t xml:space="preserve">Đề tài 06-2024/KHCN; nghiệm thu 15/11/2024</t>
  </si>
  <si>
    <t xml:space="preserve">200 bánh xà phòng + quy trình/công thức</t>
  </si>
  <si>
    <t xml:space="preserve">Bài 'Nghiên cứu chế tạo xà bông từ tảo spirulina'</t>
  </si>
  <si>
    <t xml:space="preserve">Chưa có bằng chứng sàng lọc</t>
  </si>
  <si>
    <t xml:space="preserve">Chưa nối được đơn/văn bằng từ danh mục hiện có</t>
  </si>
  <si>
    <t xml:space="preserve">Có sản phẩm vật chất; chưa có bằng chứng mức sử dụng</t>
  </si>
  <si>
    <t xml:space="preserve">Có tra cứu tính mới không; vì sao không đăng ký/GPHI/BMKD; sản phẩm có dùng/bán/thử nghiệm không</t>
  </si>
  <si>
    <t xml:space="preserve">Nguyễn Ngọc Linh; Phạm Thị Bích Đào; Phòng KHCN</t>
  </si>
  <si>
    <t xml:space="preserve">Case 'high potential but no observed protection link' để giải thích điểm nghẽn.</t>
  </si>
  <si>
    <t xml:space="preserve">C04</t>
  </si>
  <si>
    <t xml:space="preserve">Cồn xoa bóp</t>
  </si>
  <si>
    <t xml:space="preserve">Hồ sơ ghi công thức mới, dự kiến GPHI; chưa có liên kết bảo hộ</t>
  </si>
  <si>
    <t xml:space="preserve">Đề tài 06-2025/KHCN; nghiệm thu 25/12/2025</t>
  </si>
  <si>
    <t xml:space="preserve">Công thức + 50 chai sản phẩm</t>
  </si>
  <si>
    <t xml:space="preserve">Có bài NCKH&amp;PT theo hồ sơ</t>
  </si>
  <si>
    <t xml:space="preserve">Dự kiến đăng ký GPHI</t>
  </si>
  <si>
    <t xml:space="preserve">Chưa có số đơn/văn bằng trong danh sách hiện có</t>
  </si>
  <si>
    <t xml:space="preserve">Đã nộp đơn chưa; ai quyết định; timing bài báo; tra cứu novelty; lý do tiếp tục/dừng</t>
  </si>
  <si>
    <t xml:space="preserve">Nguyễn Đăng Việt; Phòng KHCN</t>
  </si>
  <si>
    <t xml:space="preserve">Chỉ được gọi là 'dự kiến đăng ký' cho tới khi có bằng chứng đơn.</t>
  </si>
  <si>
    <t xml:space="preserve">C05</t>
  </si>
  <si>
    <t xml:space="preserve">Viên ngậm Gừng – Húng chanh</t>
  </si>
  <si>
    <t xml:space="preserve">Quy trình mới, dự kiến GPHI + sản phẩm 50 thanh; chưa nối bảo hộ</t>
  </si>
  <si>
    <t xml:space="preserve">Đề tài 07-2025/KHCN; nghiệm thu 25/12/2025</t>
  </si>
  <si>
    <t xml:space="preserve">Quy trình + sản phẩm viên ngậm</t>
  </si>
  <si>
    <t xml:space="preserve">Có bài báo theo hồ sơ</t>
  </si>
  <si>
    <t xml:space="preserve">Đã nộp đơn chưa; ai sàng lọc; thời điểm công bố; bằng chứng sử dụng/đối tác</t>
  </si>
  <si>
    <t xml:space="preserve">Ngô Thị Thu; Phòng KHCN</t>
  </si>
  <si>
    <t xml:space="preserve">Case chuyển đổi tiềm năng để kiểm tra từ 'dự kiến' sang 'nộp đơn'.</t>
  </si>
  <si>
    <t xml:space="preserve">C06</t>
  </si>
  <si>
    <t xml:space="preserve">Panel ô tô</t>
  </si>
  <si>
    <t xml:space="preserve">Prototype rõ, phục vụ đào tạo, không thấy bảo hộ – phù hợp đo giá trị ứng dụng phi tài chính</t>
  </si>
  <si>
    <t xml:space="preserve">Đề tài 37-2022/KHCN; nghiệm thu 09/11/2022</t>
  </si>
  <si>
    <t xml:space="preserve">Mô hình kiểm tra/sửa chữa hệ thống khởi động ô tô</t>
  </si>
  <si>
    <t xml:space="preserve">Không phải case công bố trọng tâm</t>
  </si>
  <si>
    <t xml:space="preserve">Không có hồ sơ sàng lọc</t>
  </si>
  <si>
    <t xml:space="preserve">Chưa nối được bảo hộ</t>
  </si>
  <si>
    <t xml:space="preserve">Có khả năng sử dụng trong thực hành nhưng cần minh chứng</t>
  </si>
  <si>
    <t xml:space="preserve">Mô hình còn được dùng không; số học phần/lượt SV; chi phí mua ngoài thay thế; có tính mới kỹ thuật không</t>
  </si>
  <si>
    <t xml:space="preserve">Phạm Viết Xuân; Khoa Ô tô; Phòng Đào tạo/KHCN</t>
  </si>
  <si>
    <t xml:space="preserve">Case đo training value và nguyên nhân không bảo hộ.</t>
  </si>
  <si>
    <t xml:space="preserve">PHƯƠNG PHÁP NGHIÊN CỨU ĐỀ XUẤT – BẢN CHỐT KHÔNG KHẢO SÁT ĐỊNH LƯỢNG</t>
  </si>
  <si>
    <t xml:space="preserve">Thành phần</t>
  </si>
  <si>
    <t xml:space="preserve">Đơn vị phân tích</t>
  </si>
  <si>
    <t xml:space="preserve">Đầu ra</t>
  </si>
  <si>
    <t xml:space="preserve">1. Phân tích tài liệu và pháp lý</t>
  </si>
  <si>
    <t xml:space="preserve">Phân tích pháp luật hiện hành, Quy chế KHCN 2021, Quy chế quản trị TSTT ban hành theo QĐ 217/QĐ-ĐHTĐ ngày 21/11/2024, hồ sơ đề tài và danh mục SHTT.</t>
  </si>
  <si>
    <t xml:space="preserve">Văn bản pháp luật; quy chế; quyết định; hồ sơ 2021-2025</t>
  </si>
  <si>
    <t xml:space="preserve">Quy định/điều khoản</t>
  </si>
  <si>
    <t xml:space="preserve">Ma trận chuẩn quản trị</t>
  </si>
  <si>
    <t xml:space="preserve">Phân tầng chuẩn đối sánh: pháp luật quốc gia → quy chế nội bộ có hiệu lực → bằng chứng thực tiễn.</t>
  </si>
  <si>
    <t xml:space="preserve">2. IP portfolio audit</t>
  </si>
  <si>
    <t xml:space="preserve">Kiểm kê Project→Output→IP potential→Protection→Utilization.</t>
  </si>
  <si>
    <t xml:space="preserve">38 đề tài; 90 đầu ra; danh mục SHTT</t>
  </si>
  <si>
    <t xml:space="preserve">Đề tài/đầu ra/TSTT</t>
  </si>
  <si>
    <t xml:space="preserve">Cơ cấu, IP funnel, gap</t>
  </si>
  <si>
    <t xml:space="preserve">Không gọi mọi đầu ra là đối tượng bảo hộ.</t>
  </si>
  <si>
    <t xml:space="preserve">3. Compliance/process gap analysis</t>
  </si>
  <si>
    <t xml:space="preserve">Đối sánh 'quy định phải làm' với 'bằng chứng thực tế có thể truy vết'.</t>
  </si>
  <si>
    <t xml:space="preserve">Legal-practice matrix + hồ sơ xác minh</t>
  </si>
  <si>
    <t xml:space="preserve">Khâu quy trình</t>
  </si>
  <si>
    <t xml:space="preserve">Documentation gap vs activity gap</t>
  </si>
  <si>
    <t xml:space="preserve">Không suy từ thiếu hồ sơ thành thiếu hoạt động.</t>
  </si>
  <si>
    <t xml:space="preserve">4. Multiple case study / process tracing</t>
  </si>
  <si>
    <t xml:space="preserve">Tái dựng timeline và cơ chế ra quyết định ở 5-6 case điển hình.</t>
  </si>
  <si>
    <t xml:space="preserve">Quế hoa, tinh dầu bưởi, xà phòng, cồn, viên ngậm, panel ô tô</t>
  </si>
  <si>
    <t xml:space="preserve">Case/TSTT</t>
  </si>
  <si>
    <t xml:space="preserve">Cơ chế tạo lập-bảo hộ-khai thác</t>
  </si>
  <si>
    <t xml:space="preserve">Chọn case theo logic khác biệt, không nhằm đại diện thống kê.</t>
  </si>
  <si>
    <t xml:space="preserve">5. Phỏng vấn bán cấu trúc</t>
  </si>
  <si>
    <t xml:space="preserve">5-7 người để xác minh quy trình thực tế, bottleneck và nguyên nhân.</t>
  </si>
  <si>
    <t xml:space="preserve">Phòng KHCN, chủ nhiệm/tác giả, lãnh đạo/chuyên gia</t>
  </si>
  <si>
    <t xml:space="preserve">Người cung cấp thông tin/case</t>
  </si>
  <si>
    <t xml:space="preserve">Giải thích nguyên nhân và process map</t>
  </si>
  <si>
    <t xml:space="preserve">Không xử lý như khảo sát định lượng; không cần SPSS/SEM.</t>
  </si>
  <si>
    <t xml:space="preserve">6. Phương pháp chuyên gia</t>
  </si>
  <si>
    <t xml:space="preserve">Thẩm định bộ tiêu chí ưu tiên IP, giải pháp và KPI.</t>
  </si>
  <si>
    <t xml:space="preserve">3-5 chuyên gia phù hợp</t>
  </si>
  <si>
    <t xml:space="preserve">Giải pháp/tiêu chí</t>
  </si>
  <si>
    <t xml:space="preserve">Tính phù hợp, khả thi, rủi ro</t>
  </si>
  <si>
    <t xml:space="preserve">Có thể lồng với phỏng vấn chuyên gia; không nhất thiết AHP nếu đề tài muốn gọn.</t>
  </si>
  <si>
    <t xml:space="preserve">7. Thống kê mô tả</t>
  </si>
  <si>
    <t xml:space="preserve">Tính số lượng, cơ cấu, tỷ lệ theo năm, đơn vị, strategic cluster và trạng thái vòng đời.</t>
  </si>
  <si>
    <t xml:space="preserve">Master Dataset</t>
  </si>
  <si>
    <t xml:space="preserve">Dòng dữ liệu</t>
  </si>
  <si>
    <t xml:space="preserve">Bảng/biểu đồ thực trạng</t>
  </si>
  <si>
    <t xml:space="preserve">Chỉ tính conversion rate khi mẫu số và trạng thái được xác định đáng tin cậy.</t>
  </si>
  <si>
    <t xml:space="preserve">CHƯƠNG 2 – THỰC TRẠNG QUẢN LÝ QUYỀN SHTT TẠI TRƯỜNG ĐẠI HỌC THÀNH ĐÔ</t>
  </si>
  <si>
    <t xml:space="preserve">Tên mục đề xuất</t>
  </si>
  <si>
    <t xml:space="preserve">Câu hỏi phải trả lời</t>
  </si>
  <si>
    <t xml:space="preserve">Dữ liệu sử dụng</t>
  </si>
  <si>
    <t xml:space="preserve">Bảng/biểu đồ chính</t>
  </si>
  <si>
    <t xml:space="preserve">Phát hiện dự kiến</t>
  </si>
  <si>
    <t xml:space="preserve">Mức kết luận cho phép</t>
  </si>
  <si>
    <t xml:space="preserve">Ghi chú viết</t>
  </si>
  <si>
    <t xml:space="preserve">2.1</t>
  </si>
  <si>
    <t xml:space="preserve">Khái quát bối cảnh quản lý KHCN và SHTT của Trường</t>
  </si>
  <si>
    <t xml:space="preserve">Hệ thống văn bản, chủ thể và phạm vi quản lý TSTT của Trường được thiết kế như thế nào?</t>
  </si>
  <si>
    <t xml:space="preserve">QĐ 213/QĐ-ĐHTĐ năm 2021; QĐ 217/QĐ-ĐHTĐ ngày 21/11/2024; hồ sơ đề tài</t>
  </si>
  <si>
    <t xml:space="preserve">Bảng 2.1 – Hệ thống văn bản và chức năng quản trị SHTT</t>
  </si>
  <si>
    <t xml:space="preserve">Từ 21/11/2024 Trường có Quy chế chuyên biệt về quản trị TSTT bên cạnh Quy chế KHCN 2021.</t>
  </si>
  <si>
    <t xml:space="preserve">Mô tả thể chế; chưa đánh giá hiệu quả ở mục này.</t>
  </si>
  <si>
    <t xml:space="preserve">Viết ngắn, làm nền cho các mục sau.</t>
  </si>
  <si>
    <t xml:space="preserve">2.2</t>
  </si>
  <si>
    <t xml:space="preserve">Năng lực tạo ra kết quả KHCN và TSTT tiềm năng</t>
  </si>
  <si>
    <t xml:space="preserve">Giai đoạn 2021–2025 Trường tạo ra bao nhiêu đề tài, đầu ra và nhóm tài sản có tiềm năng quản trị IP?</t>
  </si>
  <si>
    <t xml:space="preserve">01_PROJECT_ALL; 02_OUTPUT_ALL; 03_IP_PRIORITY_ALL</t>
  </si>
  <si>
    <t xml:space="preserve">Bảng 2.2 – Đề tài/đầu ra theo năm; Hình 2.1 – Output→IP priority funnel</t>
  </si>
  <si>
    <t xml:space="preserve">38 đề tài được kiểm kê, 90 dòng đầu ra; 26 đầu ra cần quản trị IP sâu hơn, trong đó 15 mức ưu tiên cao.</t>
  </si>
  <si>
    <t xml:space="preserve">Chỉ gọi là 'đầu ra cần quản trị/sàng lọc IP', không gọi là 26 đối tượng đủ điều kiện bảo hộ.</t>
  </si>
  <si>
    <t xml:space="preserve">Phân biệt rõ output và legally protectable IP.</t>
  </si>
  <si>
    <t xml:space="preserve">2.3</t>
  </si>
  <si>
    <t xml:space="preserve">Cơ cấu TSTT và văn bằng/đơn SHTT của Trường</t>
  </si>
  <si>
    <t xml:space="preserve">Portfolio SHTT trực tiếp của ĐHTĐ có cơ cấu ra sao theo loại quyền và trạng thái?</t>
  </si>
  <si>
    <t xml:space="preserve">13B_PROTECTION_FULL; danh sách SHTT do Trường cung cấp</t>
  </si>
  <si>
    <t xml:space="preserve">Bảng 2.3 – Cơ cấu portfolio; Hình 2.2 – Cơ cấu quyền theo loại hình</t>
  </si>
  <si>
    <t xml:space="preserve">Có 12 đối tượng ĐHTĐ sở hữu/đồng sở hữu trong danh sách nguồn; 11 thuộc 2021–2025; 9 có số đăng ký/văn bằng/ký hiệu, 1 ở trạng thái tiếp nhận đơn, 1 sáng chế 2025 chưa có số trong danh sách.</t>
  </si>
  <si>
    <t xml:space="preserve">Không gộp tài sản UNIGO/cá nhân vào portfolio trực tiếp ĐHTĐ; không mặc nhiên coi mục không có số là đã cấp.</t>
  </si>
  <si>
    <t xml:space="preserve">Đây là phần thống kê quyền đã quan sát được.</t>
  </si>
  <si>
    <t xml:space="preserve">2.4</t>
  </si>
  <si>
    <t xml:space="preserve">Thực trạng nhận diện, xác lập và bảo vệ quyền SHTT</t>
  </si>
  <si>
    <t xml:space="preserve">Quy trình chính thức yêu cầu gì và hồ sơ thực tế cho phép truy vết đến đâu?</t>
  </si>
  <si>
    <t xml:space="preserve">17_LEGAL_PRACTICE_MATRIX; 11_DATA_REQUEST; 16_VERIFICATION_FINDINGS</t>
  </si>
  <si>
    <t xml:space="preserve">Bảng 2.4 – Normative requirement vs evidence; Hình 2.3 – Process traceability gap</t>
  </si>
  <si>
    <t xml:space="preserve">Có quy định về nhận diện/kê khai, công bố trước bảo hộ và quy trình đăng ký; nhưng chưa có bằng chứng tài liệu hóa disclosure và screening trong bộ hồ sơ hiện có.</t>
  </si>
  <si>
    <t xml:space="preserve">Kết luận về 'documentation gap'; chỉ nâng lên 'activity gap' nếu phỏng vấn xác nhận hoạt động thực tế không diễn ra.</t>
  </si>
  <si>
    <t xml:space="preserve">Đây là mục trung tâm của chương.</t>
  </si>
  <si>
    <t xml:space="preserve">2.5</t>
  </si>
  <si>
    <t xml:space="preserve">Thực trạng ứng dụng, chuyển giao và thương mại hóa</t>
  </si>
  <si>
    <t xml:space="preserve">Các kết quả/TSTT đã được sử dụng hay khai thác như thế nào và bằng chứng ở mức nào?</t>
  </si>
  <si>
    <t xml:space="preserve">02_OUTPUT_ALL; 05_UTIL_VALUE; hồ sơ nghiệm thu; 17_LEGAL_PRACTICE_MATRIX</t>
  </si>
  <si>
    <t xml:space="preserve">Bảng 2.5 – Dấu hiệu ứng dụng; Hình 2.4 – Protection→Use evidence ladder</t>
  </si>
  <si>
    <t xml:space="preserve">Hồ sơ có 25 dòng đầu ra ghi dấu hiệu ứng dụng và 18/38 đề tài có ít nhất một dấu hiệu ứng dụng; tuy nhiên chưa có hồ sơ hợp đồng chuyển giao/cấp phép/thương mại hóa trong bộ dữ liệu hiện có.</t>
  </si>
  <si>
    <t xml:space="preserve">Không gọi dấu hiệu ứng dụng là commercialization; không tính doanh thu nếu không có chứng từ.</t>
  </si>
  <si>
    <t xml:space="preserve">Tách application, internal use, transfer, commercialization.</t>
  </si>
  <si>
    <t xml:space="preserve">2.6</t>
  </si>
  <si>
    <t xml:space="preserve">Phân tích các trường hợp điển hình theo chuỗi hình thành–bảo hộ–khai thác</t>
  </si>
  <si>
    <t xml:space="preserve">Tại sao có tài sản đi từ nghiên cứu tới bảo hộ, trong khi tài sản khác dừng ở prototype/quy trình?</t>
  </si>
  <si>
    <t xml:space="preserve">19_CASE_TRACE; 18_INTERVIEW_GUIDE; 14_PROJECT_PROTECTION_LINK</t>
  </si>
  <si>
    <t xml:space="preserve">Bảng 2.6 – Timeline 6 case; Hình 2.5 – Case comparison matrix</t>
  </si>
  <si>
    <t xml:space="preserve">Tinh dầu vỏ bưởi và Quế hoa là hai case có liên kết đề tài↔bảo hộ mạnh; xà phòng/cồn/viên ngậm/panel là case so sánh để nhận diện bottleneck.</t>
  </si>
  <si>
    <t xml:space="preserve">Kết luận cơ chế chỉ sau khi có phỏng vấn xác minh.</t>
  </si>
  <si>
    <t xml:space="preserve">Dùng process tracing, không đại diện thống kê.</t>
  </si>
  <si>
    <t xml:space="preserve">2.7</t>
  </si>
  <si>
    <t xml:space="preserve">Đối sánh pháp luật/quy chế với thực tiễn quản trị</t>
  </si>
  <si>
    <t xml:space="preserve">Khoảng cách nào là thể chế, quy trình, dữ liệu hay thực thi?</t>
  </si>
  <si>
    <t xml:space="preserve">17_LEGAL_PRACTICE_MATRIX; QĐ 213; QĐ 217</t>
  </si>
  <si>
    <t xml:space="preserve">Bảng 2.7 – Gap matrix xếp hạng rủi ro</t>
  </si>
  <si>
    <t xml:space="preserve">Ba gap nổi bật: disclosure/identification, screening/decision documentation, transfer/commercialization evidence; thêm gap về lifecycle database.</t>
  </si>
  <si>
    <t xml:space="preserve">Phân biệt documentation gap và activity gap.</t>
  </si>
  <si>
    <t xml:space="preserve">Nên xếp rủi ro Rất cao/Cao/Trung bình.</t>
  </si>
  <si>
    <t xml:space="preserve">2.8</t>
  </si>
  <si>
    <t xml:space="preserve">Đánh giá chung về hiệu quả quản lý quyền SHTT</t>
  </si>
  <si>
    <t xml:space="preserve">Điểm mạnh, hạn chế và nguyên nhân cốt lõi là gì?</t>
  </si>
  <si>
    <t xml:space="preserve">Tổng hợp 2.1–2.7 + phỏng vấn/chuyên gia</t>
  </si>
  <si>
    <t xml:space="preserve">Bảng 2.8 – Strengths/weaknesses/causes; Hình 2.6 – Bottleneck map</t>
  </si>
  <si>
    <t xml:space="preserve">Điểm mạnh: đã có khung thể chế và portfolio quyền; hạn chế chính dự kiến nằm ở khả năng truy vết quy trình và bằng chứng khai thác giá trị.</t>
  </si>
  <si>
    <t xml:space="preserve">Nguyên nhân chỉ viết khi có dữ liệu phỏng vấn/chuyên gia; chưa suy đoán từ hồ sơ.</t>
  </si>
  <si>
    <t xml:space="preserve">Là cầu nối sang Chương 3 giải pháp.</t>
  </si>
  <si>
    <t xml:space="preserve">ID</t>
  </si>
  <si>
    <t xml:space="preserve">Loại</t>
  </si>
  <si>
    <t xml:space="preserve">Tên đề xuất</t>
  </si>
  <si>
    <t xml:space="preserve">Biến/công thức</t>
  </si>
  <si>
    <t xml:space="preserve">Thông điệp chính</t>
  </si>
  <si>
    <t xml:space="preserve">B2.1</t>
  </si>
  <si>
    <t xml:space="preserve">Bảng</t>
  </si>
  <si>
    <t xml:space="preserve">Hệ thống văn bản nội bộ điều chỉnh quản lý SHTT</t>
  </si>
  <si>
    <t xml:space="preserve">QĐ 213; QĐ 217</t>
  </si>
  <si>
    <t xml:space="preserve">Văn bản – phạm vi – chủ thể – nội dung – hiệu lực</t>
  </si>
  <si>
    <t xml:space="preserve">Khung thể chế đã chuyển từ quy định SHTT trong Quy chế KHCN sang Quy chế quản trị TSTT chuyên biệt từ 21/11/2024.</t>
  </si>
  <si>
    <t xml:space="preserve">Bắt buộc</t>
  </si>
  <si>
    <t xml:space="preserve">B2.2</t>
  </si>
  <si>
    <t xml:space="preserve">Số đề tài và đầu ra KHCN theo năm 2021–2025</t>
  </si>
  <si>
    <t xml:space="preserve">01_PROJECT_ALL; 02_OUTPUT_ALL</t>
  </si>
  <si>
    <t xml:space="preserve">COUNT theo năm</t>
  </si>
  <si>
    <t xml:space="preserve">Cho thấy quy mô nguồn tạo tri thức trước khi nói về bảo hộ.</t>
  </si>
  <si>
    <t xml:space="preserve">H2.1</t>
  </si>
  <si>
    <t xml:space="preserve">Biểu đồ</t>
  </si>
  <si>
    <t xml:space="preserve">Phễu kết quả KHCN → đầu ra ưu tiên IP</t>
  </si>
  <si>
    <t xml:space="preserve">02_OUTPUT_ALL</t>
  </si>
  <si>
    <t xml:space="preserve">90 output → 26 medium/high → 15 high</t>
  </si>
  <si>
    <t xml:space="preserve">Minh họa chênh lệch giữa tổng output và nhóm cần quản trị IP sâu.</t>
  </si>
  <si>
    <t xml:space="preserve">B2.3</t>
  </si>
  <si>
    <t xml:space="preserve">Danh mục và cơ cấu TSTT trực tiếp của ĐHTĐ</t>
  </si>
  <si>
    <t xml:space="preserve">Lọc Chủ sở hữu có ĐHTĐ</t>
  </si>
  <si>
    <t xml:space="preserve">Phân biệt rõ quyền của Trường với tài sản hệ sinh thái/cá nhân.</t>
  </si>
  <si>
    <t xml:space="preserve">H2.2</t>
  </si>
  <si>
    <t xml:space="preserve">Cơ cấu portfolio SHTT theo loại hình</t>
  </si>
  <si>
    <t xml:space="preserve">COUNT QTG/Nhãn hiệu/KDCN/Sáng chế</t>
  </si>
  <si>
    <t xml:space="preserve">Portfolio hiện quan sát được thiên về thương hiệu/KDCN bên cạnh tài sản công nghệ.</t>
  </si>
  <si>
    <t xml:space="preserve">Nên có</t>
  </si>
  <si>
    <t xml:space="preserve">B2.4</t>
  </si>
  <si>
    <t xml:space="preserve">Đối sánh yêu cầu quản trị với bằng chứng thực tế</t>
  </si>
  <si>
    <t xml:space="preserve">Chuẩn – evidence – gap – risk</t>
  </si>
  <si>
    <t xml:space="preserve">Bảng trung tâm chứng minh documentation/process gap.</t>
  </si>
  <si>
    <t xml:space="preserve">H2.3</t>
  </si>
  <si>
    <t xml:space="preserve">Sơ đồ</t>
  </si>
  <si>
    <t xml:space="preserve">Chuỗi quản trị và điểm đứt gãy khả năng truy vết</t>
  </si>
  <si>
    <t xml:space="preserve">Research output→identify→screen→file→protect→use→commercialize</t>
  </si>
  <si>
    <t xml:space="preserve">Làm rõ 'có đầu ra và quyền nhưng thiếu hồ sơ trung gian'.</t>
  </si>
  <si>
    <t xml:space="preserve">B2.5</t>
  </si>
  <si>
    <t xml:space="preserve">Dấu hiệu ứng dụng của kết quả nghiên cứu</t>
  </si>
  <si>
    <t xml:space="preserve">COUNT cột dấu hiệu ứng dụng; phân loại loại đầu ra</t>
  </si>
  <si>
    <t xml:space="preserve">Ứng dụng tồn tại ở mức dấu hiệu nhưng chưa tương đương chuyển giao/thương mại hóa.</t>
  </si>
  <si>
    <t xml:space="preserve">B2.6</t>
  </si>
  <si>
    <t xml:space="preserve">So sánh 6 case process tracing</t>
  </si>
  <si>
    <t xml:space="preserve">Timeline từng case</t>
  </si>
  <si>
    <t xml:space="preserve">Giải thích cơ chế khác biệt giữa case bảo hộ và chưa nối được bảo hộ.</t>
  </si>
  <si>
    <t xml:space="preserve">H2.4</t>
  </si>
  <si>
    <t xml:space="preserve">Ma trận mức ưu tiên IP × bằng chứng ứng dụng</t>
  </si>
  <si>
    <t xml:space="preserve">03_IP_PRIORITY_ALL; 02_OUTPUT_ALL</t>
  </si>
  <si>
    <t xml:space="preserve">Priority vs application evidence</t>
  </si>
  <si>
    <t xml:space="preserve">Chọn tài sản ưu tiên cho giải pháp quản trị sau này.</t>
  </si>
  <si>
    <t xml:space="preserve">B2.7</t>
  </si>
  <si>
    <t xml:space="preserve">Tổng hợp khoảng cách và mức rủi ro</t>
  </si>
  <si>
    <t xml:space="preserve">COUNT theo gap type/risk</t>
  </si>
  <si>
    <t xml:space="preserve">Ưu tiên giải pháp theo mức độ rủi ro quản trị.</t>
  </si>
  <si>
    <t xml:space="preserve">BẢN NHÁP NỘI DUNG CHƯƠNG 2 – 2.1 ĐẾN 2.4</t>
  </si>
  <si>
    <t xml:space="preserve">Đoạn</t>
  </si>
  <si>
    <t xml:space="preserve">Nội dung nháp</t>
  </si>
  <si>
    <t xml:space="preserve">Nguồn phải trích khi viết báo cáo</t>
  </si>
  <si>
    <t xml:space="preserve">1</t>
  </si>
  <si>
    <t xml:space="preserve">Giai đoạn nghiên cứu cho thấy quản lý quyền sở hữu trí tuệ tại Trường Đại học Thành Đô được đặt trong hai lớp thể chế nội bộ. Quy chế hoạt động khoa học và công nghệ năm 2021 đã dành Chương VI cho sở hữu trí tuệ và chuyển giao công nghệ, trong đó xác định quyền SHTT đối với kết quả đề tài thuộc Trường, quy định trách nhiệm của tác giả, quyền nộp đơn, bảo mật và cơ chế chuyển giao. Từ ngày 21/11/2024, Trường ban hành Quy chế quản trị Tài sản trí tuệ theo QĐ 217/QĐ-ĐHTĐ, mở rộng phạm vi quản trị từ khâu tạo lập, xác lập, bảo vệ đến khai thác thương mại TSTT.</t>
  </si>
  <si>
    <t xml:space="preserve">QĐ 213/QĐ-ĐHTĐ 2021; QĐ 217/QĐ-ĐHTĐ ngày 21/11/2024</t>
  </si>
  <si>
    <t xml:space="preserve">2</t>
  </si>
  <si>
    <t xml:space="preserve">So với Quy chế KHCN 2021, Quy chế quản trị TSTT năm 2024 có phạm vi tài sản rộng hơn, bao gồm không chỉ sáng chế, kiểu dáng và nhãn hiệu mà còn công bố nghiên cứu, dữ liệu, học liệu, phần mềm, thông tin kỹ thuật, bí quyết, hình ảnh và thương hiệu của Trường. Điều này tạo cơ sở để đánh giá TSTT của Trường theo logic portfolio thay vì chỉ thống kê văn bằng bảo hộ.</t>
  </si>
  <si>
    <t xml:space="preserve">QC quản trị TSTT – Điều 2-3</t>
  </si>
  <si>
    <t xml:space="preserve">Trên cơ sở kiểm kê hồ sơ đề tài cấp cơ sở giai đoạn 2021–2025, nghiên cứu chuẩn hóa được 38 đề tài và bóc tách thành 90 dòng đầu ra. Các đầu ra không chỉ gồm báo cáo và bài báo mà còn có mô hình, bộ mẫu, tiêu bản, quy trình, công thức, sản phẩm thử nghiệm và các giải pháp ứng dụng. Cách tiếp cận này cho phép tách rõ 'nhiệm vụ nghiên cứu' khỏi 'tài sản/kết quả do nhiệm vụ tạo ra'.</t>
  </si>
  <si>
    <t xml:space="preserve">Tổng hợp đề tài KHCN cấp cơ sở của GV 2021-2025; Master Dataset</t>
  </si>
  <si>
    <t xml:space="preserve">Từ 90 đầu ra, 26 đầu ra được xếp vào nhóm cần quản trị hoặc sàng lọc IP sâu hơn, trong đó 15 đầu ra ở mức ưu tiên cao. Nhóm ưu tiên cao chủ yếu là prototype, sản phẩm vật chất, công thức, quy trình và kết quả có dấu hiệu liên quan đến bảo hộ hoặc khai thác. Con số này không được hiểu là 26 đối tượng chắc chắn đáp ứng điều kiện bảo hộ, mà là danh mục ứng viên cần được đánh giá chuyên môn và pháp lý.</t>
  </si>
  <si>
    <t xml:space="preserve">02_OUTPUT_ALL; 03_IP_PRIORITY_ALL</t>
  </si>
  <si>
    <t xml:space="preserve">Danh sách SHTT do Trường cung cấp cho thấy 16 đối tượng trong toàn bộ nguồn, nhưng sau khi phân loại theo chủ sở hữu chỉ có 12 đối tượng mà ĐHTĐ là chủ sở hữu hoặc đồng sở hữu. Trong số này, 11 đối tượng thuộc giai đoạn 2021–2025. Nghiên cứu không gộp các tài sản do Công ty/Trường UNIGO hoặc cá nhân sở hữu vào portfolio trực tiếp của ĐHTĐ.</t>
  </si>
  <si>
    <t xml:space="preserve">Danh sách thống kê văn bằng SHTT do Trường cung cấp; 13B_PROTECTION_FULL</t>
  </si>
  <si>
    <t xml:space="preserve">Trong 11 đối tượng trực tiếp của ĐHTĐ giai đoạn 2021–2025, 9 đối tượng có số đăng ký, văn bằng hoặc ký mã hiệu trong danh sách nguồn; nhãn hiệu Double2n được ghi ở trạng thái 'Tiếp nhận đơn', còn sáng chế liên quan đến lá Quế hoa năm 2025 chưa thể hiện số đơn/văn bằng trong danh sách. Vì vậy, hai trường hợp sau không được nghiên cứu mặc nhiên xem là quyền đã được cấp.</t>
  </si>
  <si>
    <t xml:space="preserve">Đối sánh giữa quy chế và hồ sơ thực tế cho thấy khoảng cách đáng chú ý nhất không nằm ở việc Trường hoàn toàn thiếu quy định, mà ở khả năng truy vết quá trình thực thi. Quy chế quản trị TSTT năm 2024 giao Phòng KHCN xây dựng quy trình, biểu mẫu ghi nhận/khai báo, nhận diện TSTT mới, lập hồ sơ thống kê và theo dõi tập trung; tuy nhiên trong bộ hồ sơ hiện có chưa ghi nhận phiếu khai báo, biên bản nhận diện hoặc sổ/CSDL disclosure tương đương.</t>
  </si>
  <si>
    <t xml:space="preserve">QĐ 217/QĐ-ĐHTĐ; 16_VERIFICATION_FINDINGS</t>
  </si>
  <si>
    <t xml:space="preserve">Tương tự, nghiên cứu chưa ghi nhận hồ sơ sàng lọc hoặc tra cứu khả năng bảo hộ. Trong bối cảnh một số đề tài đồng thời có bài báo, công thức/quy trình mới và dự kiến đăng ký giải pháp hữu ích, việc thiếu dấu vết sàng lọc khiến nghiên cứu không thể xác định tiêu chí lựa chọn đối tượng, loại quyền và thời điểm quyết định bảo hộ. Do đó, phát hiện hiện tại nên được diễn giải là 'khoảng trống về tài liệu hóa quyết định và khả năng truy vết quy trình', chưa phải kết luận rằng hoạt động sàng lọc không từng diễn ra.</t>
  </si>
  <si>
    <t xml:space="preserve">QĐ 217/QĐ-ĐHTĐ; hồ sơ đề tài 2025; 16_VERIFICATION_FINDINGS</t>
  </si>
  <si>
    <t xml:space="preserve">3</t>
  </si>
  <si>
    <t xml:space="preserve">Quy chế KHCN 2021 đã quy định một quy trình đăng ký quyền SHTT từ khâu tác giả nộp đơn tại Phòng KHCN, kiểm tra hình thức, trình Hiệu trưởng ký đến nộp hồ sơ và lệ phí tại cơ quan nhà nước. Việc danh mục hiện có đã xuất hiện các đăng ký quyền tác giả, nhãn hiệu, kiểu dáng công nghiệp và sáng chế cho thấy hoạt động xác lập quyền đã tạo ra kết quả thực tế. Tuy nhiên, do thiếu dữ liệu trung gian về thời điểm tiếp nhận, sàng lọc, quyết định và nộp đơn, chưa thể tính các chỉ số như Time-to-IP hoặc tỷ lệ chuyển đổi từ TSTT tiềm năng sang đơn đăng ký.</t>
  </si>
  <si>
    <t xml:space="preserve">QĐ 213/QĐ-ĐHTĐ 2021; danh sách SHTT; Master Dataset</t>
  </si>
  <si>
    <t xml:space="preserve">Cơ quan nhận đơn</t>
  </si>
  <si>
    <t xml:space="preserve">Nguồn bằng chứng</t>
  </si>
  <si>
    <t xml:space="preserve">PR2025-06-A</t>
  </si>
  <si>
    <t xml:space="preserve">IP2025-06-A</t>
  </si>
  <si>
    <t xml:space="preserve">Giải pháp hữu ích (dự kiến)</t>
  </si>
  <si>
    <t xml:space="preserve">Trường/đồng sở hữu - chưa xác minh</t>
  </si>
  <si>
    <t xml:space="preserve">Tổng hợp đề tài KHCN cấp cơ sở của GV 2021-2025.pdf</t>
  </si>
  <si>
    <t xml:space="preserve">Chưa có bằng chứng trong bộ hồ sơ hiện trích xuất về việc đã nộp đơn.</t>
  </si>
  <si>
    <t xml:space="preserve">PR2025-07-A</t>
  </si>
  <si>
    <t xml:space="preserve">IP2025-07-A</t>
  </si>
  <si>
    <t xml:space="preserve">Mức sử dụng (0-7)</t>
  </si>
  <si>
    <t xml:space="preserve">Bằng chứng sử dụng</t>
  </si>
  <si>
    <t xml:space="preserve">Ngày bắt đầu</t>
  </si>
  <si>
    <t xml:space="preserve">Số người dùng/đối tượng hưởng lợi</t>
  </si>
  <si>
    <t xml:space="preserve">Giá trị khoa học (0-3)</t>
  </si>
  <si>
    <t xml:space="preserve">Giá trị đào tạo (0-3)</t>
  </si>
  <si>
    <t xml:space="preserve">Giá trị công nghệ (0-3)</t>
  </si>
  <si>
    <t xml:space="preserve">Giá trị kinh tế (0-3)</t>
  </si>
  <si>
    <t xml:space="preserve">Giá trị chiến lược (0-3)</t>
  </si>
  <si>
    <t xml:space="preserve">U2023-08-A</t>
  </si>
  <si>
    <t xml:space="preserve">IP2023-08-A</t>
  </si>
  <si>
    <t xml:space="preserve">Chuyển giao nội bộ cho Trường để thương mại hóa</t>
  </si>
  <si>
    <t xml:space="preserve">Trường Đại học Thành Đô</t>
  </si>
  <si>
    <t xml:space="preserve">Dòng sản phẩm nghiệm thu ghi 'Sản phẩm chuyển giao công nghệ cho trường ĐHTĐ thương mại hóa'</t>
  </si>
  <si>
    <t xml:space="preserve">Chưa định giá</t>
  </si>
  <si>
    <t xml:space="preserve">Chưa đủ bằng chứng để kết luận đã có hợp đồng chuyển giao ra bên ngoài hoặc phát sinh doanh thu.</t>
  </si>
  <si>
    <t xml:space="preserve">Nguồn hồ sơ</t>
  </si>
  <si>
    <t xml:space="preserve">Có dấu hiệu</t>
  </si>
  <si>
    <t xml:space="preserve">Sản phẩm ghi 'chuyển giao công nghệ cho trường ĐHTĐ thương mại hóa'; cần xác minh nghĩa và chứng từ.</t>
  </si>
  <si>
    <t xml:space="preserve">Kinh phí còn kèm tính giờ NCKH theo hồ sơ.</t>
  </si>
  <si>
    <t xml:space="preserve">Tác giả/chủ trì liên quan</t>
  </si>
  <si>
    <t xml:space="preserve">DOI/Link/Mã</t>
  </si>
  <si>
    <t xml:space="preserve">O2022-37-01</t>
  </si>
  <si>
    <t xml:space="preserve">Có nội bộ</t>
  </si>
  <si>
    <t xml:space="preserve">Tác phẩm học thuật</t>
  </si>
  <si>
    <t xml:space="preserve">Khoa học/đào tạo</t>
  </si>
  <si>
    <t xml:space="preserve">O2022-37-02</t>
  </si>
  <si>
    <t xml:space="preserve">Giải pháp kỹ thuật/thiết kế - cần sàng lọc</t>
  </si>
  <si>
    <t xml:space="preserve">Công nghệ/đào tạo</t>
  </si>
  <si>
    <t xml:space="preserve">Chưa đủ dữ liệu để kết luận sáng chế/KDCN.</t>
  </si>
  <si>
    <t xml:space="preserve">O2022-39-01</t>
  </si>
  <si>
    <t xml:space="preserve">Nhóm đề tài</t>
  </si>
  <si>
    <t xml:space="preserve">Khoa học</t>
  </si>
  <si>
    <t xml:space="preserve">O2022-39-02</t>
  </si>
  <si>
    <t xml:space="preserve">Giải pháp kỹ thuật/know-how - cần sàng lọc</t>
  </si>
  <si>
    <t xml:space="preserve">Công nghệ/y tế</t>
  </si>
  <si>
    <t xml:space="preserve">O2022-40-01</t>
  </si>
  <si>
    <t xml:space="preserve">O2022-40-02</t>
  </si>
  <si>
    <t xml:space="preserve">TSTT học thuật/collection - hình thức quyền cần xác minh</t>
  </si>
  <si>
    <t xml:space="preserve">Đào tạo</t>
  </si>
  <si>
    <t xml:space="preserve">O2023-08-01</t>
  </si>
  <si>
    <t xml:space="preserve">01 bài báo khoa học đăng tạp chí có chỉ số ISSN</t>
  </si>
  <si>
    <t xml:space="preserve">Khoa học/uy tín</t>
  </si>
  <si>
    <t xml:space="preserve">Cần nối với danh mục bài báo để xác định tên/DOI.</t>
  </si>
  <si>
    <t xml:space="preserve">O2023-08-02</t>
  </si>
  <si>
    <t xml:space="preserve">Công nghệ/thương mại</t>
  </si>
  <si>
    <t xml:space="preserve">Có ghi sản phẩm chuyển giao cho trường thương mại hóa.</t>
  </si>
  <si>
    <t xml:space="preserve">O2024-06-01</t>
  </si>
  <si>
    <t xml:space="preserve">01 bài báo khoa học đăng Tạp chí NCKH&amp;PT Trường Đại học Thành Đô</t>
  </si>
  <si>
    <t xml:space="preserve">O2024-06-02</t>
  </si>
  <si>
    <t xml:space="preserve">Sản phẩm hiện thân của TSTT</t>
  </si>
  <si>
    <t xml:space="preserve">Công nghệ/thị trường</t>
  </si>
  <si>
    <t xml:space="preserve">Không tách thành quyền riêng nếu không có thiết kế/nhãn hiệu độc lập.</t>
  </si>
  <si>
    <t xml:space="preserve">O2024-06-03</t>
  </si>
  <si>
    <t xml:space="preserve">Giải pháp kỹ thuật/know-how</t>
  </si>
  <si>
    <t xml:space="preserve">Đầu ra ưu tiên sàng lọc khả năng bảo hộ/bí mật kinh doanh.</t>
  </si>
  <si>
    <t xml:space="preserve">O2024-06-04</t>
  </si>
  <si>
    <t xml:space="preserve">O2025-06-01</t>
  </si>
  <si>
    <t xml:space="preserve">O2025-06-02</t>
  </si>
  <si>
    <t xml:space="preserve">Công thức bào chế cồn thuốc xoa bóp hỗ trợ giảm đau nhức xương khớp</t>
  </si>
  <si>
    <t xml:space="preserve">Công thức/quy trình</t>
  </si>
  <si>
    <t xml:space="preserve">Hồ sơ ghi 'công thức mới, dự kiến đăng ký bằng độc quyền giải pháp hữu ích'.</t>
  </si>
  <si>
    <t xml:space="preserve">O2025-06-03</t>
  </si>
  <si>
    <t xml:space="preserve">Cồn thuốc xoa bóp hỗ trợ giảm đau nhức xương khớp chai 50ml</t>
  </si>
  <si>
    <t xml:space="preserve">O2025-07-01</t>
  </si>
  <si>
    <t xml:space="preserve">O2025-07-02</t>
  </si>
  <si>
    <t xml:space="preserve">O2025-07-03</t>
  </si>
  <si>
    <t xml:space="preserve">Hồ sơ ghi 'quy trình mới, dự kiến đăng ký bằng độc quyền giải pháp hữu ích'.</t>
  </si>
  <si>
    <t xml:space="preserve">O2025-07-04</t>
  </si>
  <si>
    <t xml:space="preserve">Output_ID chính</t>
  </si>
  <si>
    <t xml:space="preserve">Mức tiềm năng bảo hộ (0-3)</t>
  </si>
  <si>
    <t xml:space="preserve">Mức tiềm năng ứng dụng (0-3)</t>
  </si>
  <si>
    <t xml:space="preserve">Ghi chú chuyên gia</t>
  </si>
  <si>
    <t xml:space="preserve">IP2022-37-A</t>
  </si>
  <si>
    <t xml:space="preserve">Mô hình panel kiểm tra và sửa chữa hệ thống khởi động điện trên ô tô</t>
  </si>
  <si>
    <t xml:space="preserve">Chưa xác minh: sáng chế/GPHI/KDCN</t>
  </si>
  <si>
    <t xml:space="preserve">Có theo quy chế/hợp đồng - cần hồ sơ cụ thể</t>
  </si>
  <si>
    <t xml:space="preserve">Có khả năng</t>
  </si>
  <si>
    <t xml:space="preserve">Sản phẩm nghiệm thu là mô hình</t>
  </si>
  <si>
    <t xml:space="preserve">Cần rà soát tính mới và phần hình dáng/kết cấu.</t>
  </si>
  <si>
    <t xml:space="preserve">IP2022-39-A</t>
  </si>
  <si>
    <t xml:space="preserve">Vật liệu/sản phẩm cầm máu trên cơ sở chitosan và cao nhọ nồi</t>
  </si>
  <si>
    <t xml:space="preserve">Chưa xác minh: sáng chế/GPHI/know-how</t>
  </si>
  <si>
    <t xml:space="preserve">Sản phẩm nghiệm thu dạng màng</t>
  </si>
  <si>
    <t xml:space="preserve">Ưu tiên tra cứu sáng chế và đánh giá novelty.</t>
  </si>
  <si>
    <t xml:space="preserve">IP2022-40-A</t>
  </si>
  <si>
    <t xml:space="preserve">Bộ mẫu cây thuốc phục vụ giảng dạy</t>
  </si>
  <si>
    <t xml:space="preserve">Học thuật/đào tạo</t>
  </si>
  <si>
    <t xml:space="preserve">Chưa xác minh: tác phẩm sưu tập/CSDL/quyền khác</t>
  </si>
  <si>
    <t xml:space="preserve">Sản phẩm nghiệm thu là bộ mẫu cây thuốc</t>
  </si>
  <si>
    <t xml:space="preserve">Giá trị đào tạo có thể cao dù quyền độc quyền hạn chế.</t>
  </si>
  <si>
    <t xml:space="preserve">Tinh dầu Citrus grandis (L.) Osbeck và tri thức/quy trình liên quan</t>
  </si>
  <si>
    <t xml:space="preserve">Chưa xác minh: know-how/sáng chế/GPHI</t>
  </si>
  <si>
    <t xml:space="preserve">Có dấu hiệu hợp tác DN</t>
  </si>
  <si>
    <t xml:space="preserve">Có dấu hiệu qua hồ sơ</t>
  </si>
  <si>
    <t xml:space="preserve">Có bằng chứng khai thác nội bộ</t>
  </si>
  <si>
    <t xml:space="preserve">Hồ sơ ghi chuyển giao sản phẩm cho trường để thương mại hóa</t>
  </si>
  <si>
    <t xml:space="preserve">Cần làm rõ sản phẩm nào được chuyển giao, chủ sở hữu, doanh thu/hợp đồng.</t>
  </si>
  <si>
    <t xml:space="preserve">IP2024-06-A</t>
  </si>
  <si>
    <t xml:space="preserve">Quy trình và công thức là sản phẩm nghiệm thu</t>
  </si>
  <si>
    <t xml:space="preserve">Ưu tiên sàng lọc trước công bố/tiếp thị.</t>
  </si>
  <si>
    <t xml:space="preserve">Cần kiểm tra bài báo/timing</t>
  </si>
  <si>
    <t xml:space="preserve">Hồ sơ ghi 'công thức mới, dự kiến đăng ký bằng độc quyền GPHI'</t>
  </si>
  <si>
    <t xml:space="preserve">Cần xác minh đã nộp đơn hay mới dự kiến.</t>
  </si>
  <si>
    <t xml:space="preserve">Hồ sơ ghi 'quy trình mới, dự kiến đăng ký bằng độc quyền GPHI'</t>
  </si>
  <si>
    <t xml:space="preserve">KPI / IP FUNNEL – BẢN MẪU (CHƯA PHẢI KẾT QUẢ TOÀN TRƯỜNG)</t>
  </si>
  <si>
    <t xml:space="preserve">Công thức/ý nghĩa</t>
  </si>
  <si>
    <t xml:space="preserve">Số đề tài đã nhập</t>
  </si>
  <si>
    <t xml:space="preserve">COUNTA Project_ID</t>
  </si>
  <si>
    <t xml:space="preserve">Số đầu ra đã bóc tách</t>
  </si>
  <si>
    <t xml:space="preserve">COUNTA Output_ID</t>
  </si>
  <si>
    <t xml:space="preserve">Số TSTT/cụm TSTT sơ bộ</t>
  </si>
  <si>
    <t xml:space="preserve">COUNTA IP_ID</t>
  </si>
  <si>
    <t xml:space="preserve">Đã nhận diện chính thức</t>
  </si>
  <si>
    <t xml:space="preserve">IP asset = Có</t>
  </si>
  <si>
    <t xml:space="preserve">Đã sàng lọc bảo hộ</t>
  </si>
  <si>
    <t xml:space="preserve">Screening = Có</t>
  </si>
  <si>
    <t xml:space="preserve">Có hồ sơ nộp/đã cấp</t>
  </si>
  <si>
    <t xml:space="preserve">Protection status: Đã nộp/Được cấp</t>
  </si>
  <si>
    <t xml:space="preserve">Có bằng chứng ứng dụng/khai thác</t>
  </si>
  <si>
    <t xml:space="preserve">Mức sử dụng &gt; 0</t>
  </si>
  <si>
    <t xml:space="preserve">Có thương mại hóa xác nhận</t>
  </si>
  <si>
    <t xml:space="preserve">Mức sử dụng = 7</t>
  </si>
  <si>
    <t xml:space="preserve">Mã mức sử dụng</t>
  </si>
  <si>
    <t xml:space="preserve">Diễn giải</t>
  </si>
  <si>
    <t xml:space="preserve">Điểm tiềm năng</t>
  </si>
  <si>
    <t xml:space="preserve">Chưa sử dụng</t>
  </si>
  <si>
    <t xml:space="preserve">Không/không phù hợp</t>
  </si>
  <si>
    <t xml:space="preserve">Sử dụng trong giảng dạy</t>
  </si>
  <si>
    <t xml:space="preserve">Dùng cho nghiên cứu tiếp</t>
  </si>
  <si>
    <t xml:space="preserve">Chuẩn bị/thử nghiệm với đối tác</t>
  </si>
  <si>
    <t xml:space="preserve">Đơn vị ngoài trường sử dụng</t>
  </si>
  <si>
    <t xml:space="preserve">Chuyển giao/cấp phép</t>
  </si>
  <si>
    <t xml:space="preserve">Thương mại hóa xác nhận</t>
  </si>
</sst>
</file>

<file path=xl/styles.xml><?xml version="1.0" encoding="utf-8"?>
<styleSheet xmlns="http://schemas.openxmlformats.org/spreadsheetml/2006/main">
  <numFmts count="4">
    <numFmt numFmtId="164" formatCode="General"/>
    <numFmt numFmtId="165" formatCode="dd/mm/yyyy"/>
    <numFmt numFmtId="166" formatCode="#,##0"/>
    <numFmt numFmtId="167" formatCode="0.0%"/>
  </numFmts>
  <fonts count="15">
    <font>
      <sz val="10"/>
      <name val="Arial"/>
      <family val="2"/>
    </font>
    <font>
      <sz val="10"/>
      <name val="Arial"/>
      <family val="0"/>
    </font>
    <font>
      <sz val="10"/>
      <name val="Arial"/>
      <family val="0"/>
    </font>
    <font>
      <sz val="10"/>
      <name val="Arial"/>
      <family val="0"/>
    </font>
    <font>
      <sz val="11"/>
      <name val="Calibri"/>
      <family val="0"/>
      <charset val="1"/>
    </font>
    <font>
      <b val="true"/>
      <sz val="14"/>
      <color rgb="FFFFFFFF"/>
      <name val="Calibri"/>
      <family val="0"/>
      <charset val="1"/>
    </font>
    <font>
      <b val="true"/>
      <sz val="11"/>
      <color rgb="FFFFFFFF"/>
      <name val="Calibri"/>
      <family val="0"/>
      <charset val="1"/>
    </font>
    <font>
      <b val="true"/>
      <sz val="10"/>
      <name val="Arial"/>
      <family val="0"/>
      <charset val="1"/>
    </font>
    <font>
      <sz val="10"/>
      <name val="Arial"/>
      <family val="0"/>
      <charset val="1"/>
    </font>
    <font>
      <b val="true"/>
      <sz val="13"/>
      <name val="Arial"/>
      <family val="0"/>
      <charset val="1"/>
    </font>
    <font>
      <i val="true"/>
      <sz val="9"/>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1"/>
      <color rgb="FF1F1F1F"/>
      <name val="Calibri"/>
      <family val="0"/>
      <charset val="1"/>
    </font>
  </fonts>
  <fills count="7">
    <fill>
      <patternFill patternType="none"/>
    </fill>
    <fill>
      <patternFill patternType="gray125"/>
    </fill>
    <fill>
      <patternFill patternType="solid">
        <fgColor rgb="FF0F766E"/>
        <bgColor rgb="FF156082"/>
      </patternFill>
    </fill>
    <fill>
      <patternFill patternType="solid">
        <fgColor rgb="FF1F4E78"/>
        <bgColor rgb="FF1F4E79"/>
      </patternFill>
    </fill>
    <fill>
      <patternFill patternType="solid">
        <fgColor rgb="FF1F4E79"/>
        <bgColor rgb="FF1F4E78"/>
      </patternFill>
    </fill>
    <fill>
      <patternFill patternType="solid">
        <fgColor rgb="FFE2EFDA"/>
        <bgColor rgb="FFDCFCE7"/>
      </patternFill>
    </fill>
    <fill>
      <patternFill patternType="solid">
        <fgColor rgb="FFD9EAF7"/>
        <bgColor rgb="FFE2EFDA"/>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false" applyBorder="tru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xf numFmtId="164" fontId="8" fillId="0" borderId="0" xfId="20" applyFont="true" applyBorder="true" applyAlignment="false" applyProtection="false">
      <alignment horizontal="general" vertical="bottom" textRotation="0" wrapText="false" indent="0" shrinkToFit="false"/>
      <protection locked="true" hidden="false"/>
    </xf>
    <xf numFmtId="164" fontId="9" fillId="0" borderId="0" xfId="20" applyFont="true" applyBorder="true" applyAlignment="false" applyProtection="false">
      <alignment horizontal="general" vertical="bottom" textRotation="0" wrapText="false" indent="0" shrinkToFit="false"/>
      <protection locked="true" hidden="false"/>
    </xf>
    <xf numFmtId="164" fontId="10" fillId="0" borderId="0" xfId="20" applyFont="true" applyBorder="true" applyAlignment="false" applyProtection="false">
      <alignment horizontal="general" vertical="bottom" textRotation="0" wrapText="false" indent="0" shrinkToFit="false"/>
      <protection locked="true" hidden="false"/>
    </xf>
    <xf numFmtId="164" fontId="11" fillId="4" borderId="1" xfId="20" applyFont="true" applyBorder="true" applyAlignment="true" applyProtection="false">
      <alignment horizontal="center" vertical="center" textRotation="0" wrapText="true" indent="0" shrinkToFit="false"/>
      <protection locked="true" hidden="false"/>
    </xf>
    <xf numFmtId="164" fontId="8" fillId="0" borderId="1" xfId="20" applyFont="true" applyBorder="true" applyAlignment="true" applyProtection="false">
      <alignment horizontal="general" vertical="top" textRotation="0" wrapText="true" indent="0" shrinkToFit="false"/>
      <protection locked="true" hidden="false"/>
    </xf>
    <xf numFmtId="165" fontId="4" fillId="0" borderId="0" xfId="20" applyFont="false" applyBorder="true" applyAlignment="false" applyProtection="false">
      <alignment horizontal="general" vertical="bottom" textRotation="0" wrapText="false" indent="0" shrinkToFit="false"/>
      <protection locked="true" hidden="false"/>
    </xf>
    <xf numFmtId="166" fontId="4" fillId="0" borderId="0" xfId="20" applyFont="fals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1" xfId="20" applyFont="true" applyBorder="true" applyAlignment="false" applyProtection="false">
      <alignment horizontal="general" vertical="bottom" textRotation="0" wrapText="false" indent="0" shrinkToFit="false"/>
      <protection locked="true" hidden="false"/>
    </xf>
    <xf numFmtId="164" fontId="7" fillId="0" borderId="1" xfId="20" applyFont="true" applyBorder="true" applyAlignment="true" applyProtection="false">
      <alignment horizontal="general" vertical="top" textRotation="0" wrapText="true" indent="0" shrinkToFit="false"/>
      <protection locked="true" hidden="false"/>
    </xf>
    <xf numFmtId="167" fontId="8" fillId="0" borderId="1" xfId="20" applyFont="true" applyBorder="true" applyAlignment="true" applyProtection="false">
      <alignment horizontal="general" vertical="top" textRotation="0" wrapText="true" indent="0" shrinkToFit="false"/>
      <protection locked="true" hidden="false"/>
    </xf>
    <xf numFmtId="167" fontId="4" fillId="0" borderId="0" xfId="20" applyFont="false" applyBorder="tru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true" indent="0" shrinkToFit="false"/>
      <protection locked="true" hidden="false"/>
    </xf>
    <xf numFmtId="164" fontId="14" fillId="6" borderId="0" xfId="2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EE2E2"/>
          <bgColor rgb="FF000000"/>
        </patternFill>
      </fill>
    </dxf>
    <dxf>
      <font>
        <b val="1"/>
      </font>
      <fill>
        <patternFill>
          <bgColor rgb="FFFEE2E2"/>
        </patternFill>
      </fill>
    </dxf>
    <dxf>
      <fill>
        <patternFill patternType="solid">
          <fgColor rgb="FFFEF3C7"/>
          <bgColor rgb="FF000000"/>
        </patternFill>
      </fill>
    </dxf>
    <dxf>
      <fill>
        <patternFill>
          <bgColor rgb="FFFEF3C7"/>
        </patternFill>
      </fill>
    </dxf>
    <dxf>
      <fill>
        <patternFill>
          <bgColor rgb="FFFEE2E2"/>
        </patternFill>
      </fill>
    </dxf>
    <dxf>
      <font>
        <b val="1"/>
      </font>
      <fill>
        <patternFill>
          <bgColor rgb="FFFEF3C7"/>
        </patternFill>
      </fill>
    </dxf>
    <dxf>
      <fill>
        <patternFill patternType="solid">
          <fgColor rgb="FFDCFCE7"/>
          <bgColor rgb="FF000000"/>
        </patternFill>
      </fill>
    </dxf>
    <dxf>
      <fill>
        <patternFill>
          <bgColor rgb="FFDCF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CCCCC"/>
      <rgbColor rgb="FF8B8B8B"/>
      <rgbColor rgb="FF9999FF"/>
      <rgbColor rgb="FF993366"/>
      <rgbColor rgb="FFFEF3C7"/>
      <rgbColor rgb="FFDCFCE7"/>
      <rgbColor rgb="FF660066"/>
      <rgbColor rgb="FFFF8080"/>
      <rgbColor rgb="FF0066CC"/>
      <rgbColor rgb="FFD9D9D9"/>
      <rgbColor rgb="FF000080"/>
      <rgbColor rgb="FFFF00FF"/>
      <rgbColor rgb="FFFFFF00"/>
      <rgbColor rgb="FF00FFFF"/>
      <rgbColor rgb="FF800080"/>
      <rgbColor rgb="FF800000"/>
      <rgbColor rgb="FF156082"/>
      <rgbColor rgb="FF0000FF"/>
      <rgbColor rgb="FF00CCFF"/>
      <rgbColor rgb="FFD9EAF7"/>
      <rgbColor rgb="FFE2EFDA"/>
      <rgbColor rgb="FFFFFF99"/>
      <rgbColor rgb="FF99CCFF"/>
      <rgbColor rgb="FFFF99CC"/>
      <rgbColor rgb="FFCC99FF"/>
      <rgbColor rgb="FFFEE2E2"/>
      <rgbColor rgb="FF3366FF"/>
      <rgbColor rgb="FF33CCCC"/>
      <rgbColor rgb="FF99CC00"/>
      <rgbColor rgb="FFFFCC00"/>
      <rgbColor rgb="FFFF9900"/>
      <rgbColor rgb="FFFF6600"/>
      <rgbColor rgb="FF666699"/>
      <rgbColor rgb="FFA6A6A6"/>
      <rgbColor rgb="FF1F4E78"/>
      <rgbColor rgb="FF339966"/>
      <rgbColor rgb="FF003300"/>
      <rgbColor rgb="FF333300"/>
      <rgbColor rgb="FF993300"/>
      <rgbColor rgb="FF993366"/>
      <rgbColor rgb="FF1F4E7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Số đề tài theo năm nhóm</a:t>
            </a:r>
          </a:p>
        </c:rich>
      </c:tx>
      <c:overlay val="0"/>
      <c:spPr>
        <a:noFill/>
        <a:ln w="0">
          <a:noFill/>
        </a:ln>
      </c:spPr>
    </c:title>
    <c:autoTitleDeleted val="0"/>
    <c:plotArea>
      <c:barChart>
        <c:barDir val="col"/>
        <c:grouping val="clustered"/>
        <c:varyColors val="0"/>
        <c:ser>
          <c:idx val="0"/>
          <c:order val="0"/>
          <c:tx>
            <c:strRef>
              <c:f>"Số đề tài"</c:f>
              <c:strCache>
                <c:ptCount val="1"/>
                <c:pt idx="0">
                  <c:v>Số đề tài</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08_KPI_ALL!$A$17:$A$21</c:f>
              <c:strCache>
                <c:ptCount val="5"/>
                <c:pt idx="0">
                  <c:v>2021</c:v>
                </c:pt>
                <c:pt idx="1">
                  <c:v>2022</c:v>
                </c:pt>
                <c:pt idx="2">
                  <c:v>2023</c:v>
                </c:pt>
                <c:pt idx="3">
                  <c:v>2024</c:v>
                </c:pt>
                <c:pt idx="4">
                  <c:v>2025</c:v>
                </c:pt>
              </c:strCache>
            </c:strRef>
          </c:cat>
          <c:val>
            <c:numRef>
              <c:f>08_KPI_ALL!$B$17:$B$21</c:f>
              <c:numCache>
                <c:formatCode>General</c:formatCode>
                <c:ptCount val="5"/>
                <c:pt idx="0">
                  <c:v>6</c:v>
                </c:pt>
                <c:pt idx="1">
                  <c:v>10</c:v>
                </c:pt>
                <c:pt idx="2">
                  <c:v>7</c:v>
                </c:pt>
                <c:pt idx="3">
                  <c:v>8</c:v>
                </c:pt>
                <c:pt idx="4">
                  <c:v>7</c:v>
                </c:pt>
              </c:numCache>
            </c:numRef>
          </c:val>
        </c:ser>
        <c:gapWidth val="150"/>
        <c:overlap val="0"/>
        <c:axId val="51785589"/>
        <c:axId val="5432266"/>
      </c:barChart>
      <c:catAx>
        <c:axId val="5178558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5432266"/>
        <c:crosses val="autoZero"/>
        <c:auto val="1"/>
        <c:lblAlgn val="ctr"/>
        <c:lblOffset val="100"/>
        <c:noMultiLvlLbl val="0"/>
      </c:catAx>
      <c:valAx>
        <c:axId val="543226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517855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Đề tài theo trụ cột chiến lược</a:t>
            </a:r>
          </a:p>
        </c:rich>
      </c:tx>
      <c:overlay val="0"/>
      <c:spPr>
        <a:noFill/>
        <a:ln w="0">
          <a:noFill/>
        </a:ln>
      </c:spPr>
    </c:title>
    <c:autoTitleDeleted val="0"/>
    <c:plotArea>
      <c:barChart>
        <c:barDir val="col"/>
        <c:grouping val="clustered"/>
        <c:varyColors val="0"/>
        <c:ser>
          <c:idx val="0"/>
          <c:order val="0"/>
          <c:tx>
            <c:strRef>
              <c:f>"Số đề tài"</c:f>
              <c:strCache>
                <c:ptCount val="1"/>
                <c:pt idx="0">
                  <c:v>Số đề tài</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08_KPI_ALL!$E$17:$E$21</c:f>
              <c:strCache>
                <c:ptCount val="5"/>
                <c:pt idx="0">
                  <c:v>Smart Mobility</c:v>
                </c:pt>
                <c:pt idx="1">
                  <c:v>Digital Services</c:v>
                </c:pt>
                <c:pt idx="2">
                  <c:v>Global Communication</c:v>
                </c:pt>
                <c:pt idx="3">
                  <c:v>Wellness &amp; Care</c:v>
                </c:pt>
                <c:pt idx="4">
                  <c:v>Khác/Chưa phân loại</c:v>
                </c:pt>
              </c:strCache>
            </c:strRef>
          </c:cat>
          <c:val>
            <c:numRef>
              <c:f>08_KPI_ALL!$F$17:$F$21</c:f>
              <c:numCache>
                <c:formatCode>General</c:formatCode>
                <c:ptCount val="5"/>
                <c:pt idx="0">
                  <c:v>1</c:v>
                </c:pt>
                <c:pt idx="1">
                  <c:v>4</c:v>
                </c:pt>
                <c:pt idx="2">
                  <c:v>10</c:v>
                </c:pt>
                <c:pt idx="3">
                  <c:v>10</c:v>
                </c:pt>
                <c:pt idx="4">
                  <c:v>13</c:v>
                </c:pt>
              </c:numCache>
            </c:numRef>
          </c:val>
        </c:ser>
        <c:gapWidth val="150"/>
        <c:overlap val="0"/>
        <c:axId val="13253261"/>
        <c:axId val="2632696"/>
      </c:barChart>
      <c:catAx>
        <c:axId val="1325326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632696"/>
        <c:crosses val="autoZero"/>
        <c:auto val="1"/>
        <c:lblAlgn val="ctr"/>
        <c:lblOffset val="100"/>
        <c:noMultiLvlLbl val="0"/>
      </c:catAx>
      <c:valAx>
        <c:axId val="263269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132532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IP Funnel – dữ liệu mẫu đã nhập</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ser>
        <c:ser>
          <c:idx val="1"/>
          <c:order val="1"/>
          <c:spPr>
            <a:solidFill>
              <a:srgbClr val="e97132"/>
            </a:solidFill>
            <a:ln w="0">
              <a:noFill/>
            </a:ln>
          </c:spPr>
          <c:invertIfNegative val="0"/>
        </c:ser>
        <c:gapWidth val="150"/>
        <c:overlap val="0"/>
        <c:axId val="25088912"/>
        <c:axId val="83229020"/>
      </c:barChart>
      <c:catAx>
        <c:axId val="2508891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3229020"/>
        <c:crosses val="autoZero"/>
        <c:auto val="1"/>
        <c:lblAlgn val="ctr"/>
        <c:lblOffset val="100"/>
        <c:noMultiLvlLbl val="0"/>
      </c:catAx>
      <c:valAx>
        <c:axId val="8322902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508891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160560</xdr:rowOff>
    </xdr:from>
    <xdr:to>
      <xdr:col>13</xdr:col>
      <xdr:colOff>611280</xdr:colOff>
      <xdr:row>14</xdr:row>
      <xdr:rowOff>160560</xdr:rowOff>
    </xdr:to>
    <xdr:graphicFrame>
      <xdr:nvGraphicFramePr>
        <xdr:cNvPr id="0" name="Chart 1"/>
        <xdr:cNvGraphicFramePr/>
      </xdr:nvGraphicFramePr>
      <xdr:xfrm>
        <a:off x="14308560" y="380880"/>
        <a:ext cx="8882640" cy="2476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14</xdr:row>
      <xdr:rowOff>160920</xdr:rowOff>
    </xdr:from>
    <xdr:to>
      <xdr:col>13</xdr:col>
      <xdr:colOff>611280</xdr:colOff>
      <xdr:row>28</xdr:row>
      <xdr:rowOff>160200</xdr:rowOff>
    </xdr:to>
    <xdr:graphicFrame>
      <xdr:nvGraphicFramePr>
        <xdr:cNvPr id="1" name="Chart 2"/>
        <xdr:cNvGraphicFramePr/>
      </xdr:nvGraphicFramePr>
      <xdr:xfrm>
        <a:off x="14308560" y="2857680"/>
        <a:ext cx="8882640" cy="2666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160560</xdr:rowOff>
    </xdr:from>
    <xdr:to>
      <xdr:col>13</xdr:col>
      <xdr:colOff>610920</xdr:colOff>
      <xdr:row>17</xdr:row>
      <xdr:rowOff>160200</xdr:rowOff>
    </xdr:to>
    <xdr:graphicFrame>
      <xdr:nvGraphicFramePr>
        <xdr:cNvPr id="2" name="Chart 1"/>
        <xdr:cNvGraphicFramePr/>
      </xdr:nvGraphicFramePr>
      <xdr:xfrm>
        <a:off x="10479240" y="380880"/>
        <a:ext cx="4891680" cy="3047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aseTraceTable" displayName="CaseTraceTable" ref="A1:M7" headerRowCount="1" totalsRowCount="0" totalsRowShown="0">
  <tableColumns count="13">
    <tableColumn id="1" name="Case_ID"/>
    <tableColumn id="2" name="Project_ID"/>
    <tableColumn id="3" name="Case"/>
    <tableColumn id="4" name="Lý do chọn"/>
    <tableColumn id="5" name="Mốc 1: Đề tài"/>
    <tableColumn id="6" name="Mốc 2: Đầu ra kỹ thuật"/>
    <tableColumn id="7" name="Mốc 3: Công bố"/>
    <tableColumn id="8" name="Mốc 4: Quyết định IP"/>
    <tableColumn id="9" name="Mốc 5: Đơn/Văn bằng"/>
    <tableColumn id="10" name="Mốc 6: Ứng dụng"/>
    <tableColumn id="11" name="Bằng chứng còn thiếu"/>
    <tableColumn id="12" name="Người nên phỏng vấn"/>
    <tableColumn id="13" name="Kết luận được phép hiện tại"/>
  </tableColumns>
</table>
</file>

<file path=xl/tables/table2.xml><?xml version="1.0" encoding="utf-8"?>
<table xmlns="http://schemas.openxmlformats.org/spreadsheetml/2006/main" id="2" name="Chapter2BlueprintTable" displayName="Chapter2BlueprintTable" ref="A3:H11" headerRowCount="1" totalsRowCount="0" totalsRowShown="0">
  <tableColumns count="8">
    <tableColumn id="1" name="Mục"/>
    <tableColumn id="2" name="Tên mục đề xuất"/>
    <tableColumn id="3" name="Câu hỏi phải trả lời"/>
    <tableColumn id="4" name="Dữ liệu sử dụng"/>
    <tableColumn id="5" name="Bảng/biểu đồ chính"/>
    <tableColumn id="6" name="Phát hiện dự kiến"/>
    <tableColumn id="7" name="Mức kết luận cho phép"/>
    <tableColumn id="8" name="Ghi chú viết"/>
  </tableColumns>
</table>
</file>

<file path=xl/tables/table3.xml><?xml version="1.0" encoding="utf-8"?>
<table xmlns="http://schemas.openxmlformats.org/spreadsheetml/2006/main" id="3" name="CodebookTable" displayName="CodebookTable" ref="A1:H79" headerRowCount="1" totalsRowCount="0" totalsRowShown="0">
  <tableColumns count="8">
    <tableColumn id="1" name="Dataset"/>
    <tableColumn id="2" name="Biến"/>
    <tableColumn id="3" name="Nhãn/ý nghĩa"/>
    <tableColumn id="4" name="Kiểu"/>
    <tableColumn id="5" name="Mã hóa/giá trị hợp lệ"/>
    <tableColumn id="6" name="Bắt buộc?"/>
    <tableColumn id="7" name="Nguồn dự kiến"/>
    <tableColumn id="8" name="Ghi chú coding"/>
  </tableColumns>
</table>
</file>

<file path=xl/tables/table4.xml><?xml version="1.0" encoding="utf-8"?>
<table xmlns="http://schemas.openxmlformats.org/spreadsheetml/2006/main" id="4" name="CrosslinkTable" displayName="CrosslinkTable" ref="A1:M31" headerRowCount="1" totalsRowCount="0" totalsRowShown="0">
  <tableColumns count="13">
    <tableColumn id="1" name="Crosslink_ID"/>
    <tableColumn id="2" name="Output_ID"/>
    <tableColumn id="3" name="Project_ID"/>
    <tableColumn id="4" name="Năm"/>
    <tableColumn id="5" name="Đầu ra ghi trong hồ sơ"/>
    <tableColumn id="6" name="CSDL đích"/>
    <tableColumn id="7" name="Match_Status"/>
    <tableColumn id="8" name="Tiêu đề ghép được"/>
    <tableColumn id="9" name="DOI/Link"/>
    <tableColumn id="10" name="Mức tin cậy ghép"/>
    <tableColumn id="11" name="Trạng thái bằng chứng gốc"/>
    <tableColumn id="12" name="Nguồn"/>
    <tableColumn id="13" name="Ghi chú"/>
  </tableColumns>
</table>
</file>

<file path=xl/tables/table5.xml><?xml version="1.0" encoding="utf-8"?>
<table xmlns="http://schemas.openxmlformats.org/spreadsheetml/2006/main" id="5" name="DataRequestTable" displayName="DataRequestTable" ref="A1:I16" headerRowCount="1" totalsRowCount="0" totalsRowShown="0">
  <tableColumns count="9">
    <tableColumn id="1" name="Request_ID"/>
    <tableColumn id="2" name="Dữ liệu/hồ sơ cần xin"/>
    <tableColumn id="3" name="Giai đoạn"/>
    <tableColumn id="4" name="Đơn vị dự kiến lưu giữ"/>
    <tableColumn id="5" name="Trường dữ liệu tối thiểu"/>
    <tableColumn id="6" name="Phục vụ chỉ số/phân tích"/>
    <tableColumn id="7" name="Ưu tiên"/>
    <tableColumn id="8" name="Trạng thái"/>
    <tableColumn id="9" name="Ghi chú"/>
  </tableColumns>
</table>
</file>

<file path=xl/tables/table6.xml><?xml version="1.0" encoding="utf-8"?>
<table xmlns="http://schemas.openxmlformats.org/spreadsheetml/2006/main" id="6" name="DraftChapter2Table" displayName="DraftChapter2Table" ref="A3:D12" headerRowCount="1" totalsRowCount="0" totalsRowShown="0">
  <tableColumns count="4">
    <tableColumn id="1" name="Mục"/>
    <tableColumn id="2" name="Đoạn"/>
    <tableColumn id="3" name="Nội dung nháp"/>
    <tableColumn id="4" name="Nguồn phải trích khi viết báo cáo"/>
  </tableColumns>
</table>
</file>

<file path=xl/tables/table7.xml><?xml version="1.0" encoding="utf-8"?>
<table xmlns="http://schemas.openxmlformats.org/spreadsheetml/2006/main" id="7" name="InterviewGuideTable" displayName="InterviewGuideTable" ref="A3:H18" headerRowCount="1" totalsRowCount="0" totalsRowShown="0">
  <tableColumns count="8">
    <tableColumn id="1" name="Q_ID"/>
    <tableColumn id="2" name="Nhóm người trả lời"/>
    <tableColumn id="3" name="Câu hỏi chính"/>
    <tableColumn id="4" name="Mục đích bằng chứng"/>
    <tableColumn id="5" name="Case ưu tiên"/>
    <tableColumn id="6" name="Câu hỏi gợi mở"/>
    <tableColumn id="7" name="Không được dẫn dắt theo hướng"/>
    <tableColumn id="8" name="Mã hóa sau phỏng vấn"/>
  </tableColumns>
</table>
</file>

<file path=xl/tables/table8.xml><?xml version="1.0" encoding="utf-8"?>
<table xmlns="http://schemas.openxmlformats.org/spreadsheetml/2006/main" id="8" name="IPAssetTable" displayName="IPAssetTable" ref="A1:T8" headerRowCount="1" totalsRowCount="0" totalsRowShown="0">
  <tableColumns count="20">
    <tableColumn id="1" name="IP_ID"/>
    <tableColumn id="2" name="Project_ID"/>
    <tableColumn id="3" name="Output_ID chính"/>
    <tableColumn id="4" name="Tên TSTT/cụm TSTT"/>
    <tableColumn id="5" name="Nhóm TSTT"/>
    <tableColumn id="6" name="Hình thức quyền dự kiến"/>
    <tableColumn id="7" name="Chủ thể sáng tạo rõ?"/>
    <tableColumn id="8" name="Chủ sở hữu rõ?"/>
    <tableColumn id="9" name="Trường sở hữu/đồng sở hữu?"/>
    <tableColumn id="10" name="Nguồn lực trường?"/>
    <tableColumn id="11" name="Có đối tác ngoài trường?"/>
    <tableColumn id="12" name="Đã được nhận diện chính thức?"/>
    <tableColumn id="13" name="Đã sàng lọc khả năng bảo hộ?"/>
    <tableColumn id="14" name="Mức tiềm năng bảo hộ (0-3)"/>
    <tableColumn id="15" name="Mức tiềm năng ứng dụng (0-3)"/>
    <tableColumn id="16" name="Rủi ro công bố trước bảo hộ"/>
    <tableColumn id="17" name="Tình trạng IP"/>
    <tableColumn id="18" name="Mức tin cậy"/>
    <tableColumn id="19" name="Bằng chứng"/>
    <tableColumn id="20" name="Ghi chú chuyên gia"/>
  </tableColumns>
</table>
</file>

<file path=xl/tables/table9.xml><?xml version="1.0" encoding="utf-8"?>
<table xmlns="http://schemas.openxmlformats.org/spreadsheetml/2006/main" id="9" name="IPPriorityAllTable" displayName="IPPriorityAllTable" ref="A1:O27" headerRowCount="1" totalsRowCount="0" totalsRowShown="0">
  <tableColumns count="15">
    <tableColumn id="1" name="Priority_IP_ID"/>
    <tableColumn id="2" name="Output_ID"/>
    <tableColumn id="3" name="Project_ID"/>
    <tableColumn id="4" name="Năm"/>
    <tableColumn id="5" name="TSTT/đầu ra ưu tiên"/>
    <tableColumn id="6" name="Loại đầu ra"/>
    <tableColumn id="7" name="Mức ưu tiên"/>
    <tableColumn id="8" name="Hình thức quyền/biện pháp sơ bộ"/>
    <tableColumn id="9" name="Dấu hiệu ứng dụng"/>
    <tableColumn id="10" name="Đã nhận diện chính thức?"/>
    <tableColumn id="11" name="Đã sàng lọc IP?"/>
    <tableColumn id="12" name="Chủ sở hữu đã xác minh?"/>
    <tableColumn id="13" name="Hành động đề xuất"/>
    <tableColumn id="14" name="Nguồn"/>
    <tableColumn id="15" name="Trạng thái bằng chứng"/>
  </tableColumns>
</table>
</file>

<file path=xl/tables/table10.xml><?xml version="1.0" encoding="utf-8"?>
<table xmlns="http://schemas.openxmlformats.org/spreadsheetml/2006/main" id="10" name="KnowledgeIPChainTable" displayName="KnowledgeIPChainTable" ref="A1:K39" headerRowCount="1" totalsRowCount="0" totalsRowShown="0">
  <tableColumns count="11">
    <tableColumn id="1" name="Project_ID"/>
    <tableColumn id="2" name="Năm"/>
    <tableColumn id="3" name="Tên đề tài"/>
    <tableColumn id="4" name="Strategic_Cluster"/>
    <tableColumn id="5" name="Số đầu ra"/>
    <tableColumn id="6" name="Đầu ra ưu tiên IP"/>
    <tableColumn id="7" name="Công bố đã ghép"/>
    <tableColumn id="8" name="Bảo hộ đã liên kết"/>
    <tableColumn id="9" name="Đầu ra có dấu hiệu ứng dụng"/>
    <tableColumn id="10" name="Giai đoạn chuỗi hiện quan sát được"/>
    <tableColumn id="11" name="Khoảng trống cần kiểm chứng"/>
  </tableColumns>
</table>
</file>

<file path=xl/tables/table11.xml><?xml version="1.0" encoding="utf-8"?>
<table xmlns="http://schemas.openxmlformats.org/spreadsheetml/2006/main" id="11" name="LegalGapTable" displayName="LegalGapTable" ref="A1:K13" headerRowCount="1" totalsRowCount="0" totalsRowShown="0">
  <tableColumns count="11">
    <tableColumn id="1" name="Gap_ID"/>
    <tableColumn id="2" name="Khâu quản trị"/>
    <tableColumn id="3" name="Yêu cầu/quy định nội bộ"/>
    <tableColumn id="4" name="Nguồn quy định"/>
    <tableColumn id="5" name="Bằng chứng thực tế cần thu"/>
    <tableColumn id="6" name="Bằng chứng hiện có"/>
    <tableColumn id="7" name="Mức tuân thủ (0-2)"/>
    <tableColumn id="8" name="Mức độ rủi ro"/>
    <tableColumn id="9" name="Khoảng cách sơ bộ"/>
    <tableColumn id="10" name="Dữ liệu cần xin thêm"/>
    <tableColumn id="11" name="Khuyến nghị kiểm tra"/>
  </tableColumns>
</table>
</file>

<file path=xl/tables/table12.xml><?xml version="1.0" encoding="utf-8"?>
<table xmlns="http://schemas.openxmlformats.org/spreadsheetml/2006/main" id="12" name="LegalPracticeMatrixTable" displayName="LegalPracticeMatrixTable" ref="A1:L13" headerRowCount="1" totalsRowCount="0" totalsRowShown="0">
  <tableColumns count="12">
    <tableColumn id="1" name="Matrix_ID"/>
    <tableColumn id="2" name="Khâu quản trị"/>
    <tableColumn id="3" name="Tầng chuẩn"/>
    <tableColumn id="4" name="Văn bản/Điều"/>
    <tableColumn id="5" name="Nội dung chuẩn cần đối chiếu"/>
    <tableColumn id="6" name="Tình trạng hiệu lực/áp dụng"/>
    <tableColumn id="7" name="Bằng chứng thực tế 2021-2025"/>
    <tableColumn id="8" name="Đánh giá sơ bộ"/>
    <tableColumn id="9" name="Loại khoảng cách"/>
    <tableColumn id="10" name="Mức rủi ro"/>
    <tableColumn id="11" name="Câu hỏi cần xác minh"/>
    <tableColumn id="12" name="Nguồn/URL"/>
  </tableColumns>
</table>
</file>

<file path=xl/tables/table13.xml><?xml version="1.0" encoding="utf-8"?>
<table xmlns="http://schemas.openxmlformats.org/spreadsheetml/2006/main" id="13" name="MethodsRevisionTable" displayName="MethodsRevisionTable" ref="A3:F10" headerRowCount="1" totalsRowCount="0" totalsRowShown="0">
  <tableColumns count="6">
    <tableColumn id="1" name="Thành phần"/>
    <tableColumn id="2" name="Nội dung"/>
    <tableColumn id="3" name="Dữ liệu"/>
    <tableColumn id="4" name="Đơn vị phân tích"/>
    <tableColumn id="5" name="Đầu ra"/>
    <tableColumn id="6" name="Ghi chú"/>
  </tableColumns>
</table>
</file>

<file path=xl/tables/table14.xml><?xml version="1.0" encoding="utf-8"?>
<table xmlns="http://schemas.openxmlformats.org/spreadsheetml/2006/main" id="14" name="OutputAllTable" displayName="OutputAllTable" ref="A1:O91" headerRowCount="1" totalsRowCount="0" totalsRowShown="0">
  <tableColumns count="15">
    <tableColumn id="1" name="Output_ID"/>
    <tableColumn id="2" name="Project_ID"/>
    <tableColumn id="3" name="Năm"/>
    <tableColumn id="4" name="Tên đầu ra theo hồ sơ"/>
    <tableColumn id="5" name="Loại đầu ra"/>
    <tableColumn id="6" name="Số lượng"/>
    <tableColumn id="7" name="Đơn vị tính"/>
    <tableColumn id="8" name="Trạng thái bằng chứng"/>
    <tableColumn id="9" name="Dấu hiệu TSTT?"/>
    <tableColumn id="10" name="Hình thức quyền/biện pháp sơ bộ"/>
    <tableColumn id="11" name="Ưu tiên quản trị IP"/>
    <tableColumn id="12" name="Có dấu hiệu ứng dụng?"/>
    <tableColumn id="13" name="Đối chiếu với CSDL công bố"/>
    <tableColumn id="14" name="Nguồn"/>
    <tableColumn id="15" name="Ghi chú coding"/>
  </tableColumns>
</table>
</file>

<file path=xl/tables/table15.xml><?xml version="1.0" encoding="utf-8"?>
<table xmlns="http://schemas.openxmlformats.org/spreadsheetml/2006/main" id="15" name="OutputTable" displayName="OutputTable" ref="A1:P20" headerRowCount="1" totalsRowCount="0" totalsRowShown="0">
  <tableColumns count="16">
    <tableColumn id="1" name="Output_ID"/>
    <tableColumn id="2" name="Project_ID"/>
    <tableColumn id="3" name="Năm"/>
    <tableColumn id="4" name="Tên đầu ra"/>
    <tableColumn id="5" name="Loại đầu ra"/>
    <tableColumn id="6" name="Số lượng"/>
    <tableColumn id="7" name="Đơn vị tính"/>
    <tableColumn id="8" name="Tác giả/chủ trì liên quan"/>
    <tableColumn id="9" name="Đã công bố?"/>
    <tableColumn id="10" name="DOI/Link/Mã"/>
    <tableColumn id="11" name="Dấu hiệu TSTT?"/>
    <tableColumn id="12" name="Nhóm TSTT sơ bộ"/>
    <tableColumn id="13" name="Khả năng tạo giá trị"/>
    <tableColumn id="14" name="Bằng chứng nguồn"/>
    <tableColumn id="15" name="Mức tin cậy"/>
    <tableColumn id="16" name="Ghi chú"/>
  </tableColumns>
</table>
</file>

<file path=xl/tables/table16.xml><?xml version="1.0" encoding="utf-8"?>
<table xmlns="http://schemas.openxmlformats.org/spreadsheetml/2006/main" id="16" name="ProjectAllTable" displayName="ProjectAllTable" ref="A1:R39" headerRowCount="1" totalsRowCount="0" totalsRowShown="0">
  <tableColumns count="18">
    <tableColumn id="1" name="Project_ID"/>
    <tableColumn id="2" name="Năm giao/nhóm"/>
    <tableColumn id="3" name="Mã đề tài"/>
    <tableColumn id="4" name="Tên đề tài"/>
    <tableColumn id="5" name="Cấp"/>
    <tableColumn id="6" name="Chủ nhiệm"/>
    <tableColumn id="7" name="Đơn vị chủ trì"/>
    <tableColumn id="8" name="Nhóm ngành chuẩn hóa"/>
    <tableColumn id="9" name="Strategic_Cluster"/>
    <tableColumn id="10" name="Ngày nghiệm thu"/>
    <tableColumn id="11" name="Xếp loại"/>
    <tableColumn id="12" name="Kinh phí_VND"/>
    <tableColumn id="13" name="Hình thức kinh phí"/>
    <tableColumn id="14" name="Số người tham gia"/>
    <tableColumn id="15" name="Đầu ra ứng dụng ghi trong hồ sơ?"/>
    <tableColumn id="16" name="Số đầu ra (formula)"/>
    <tableColumn id="17" name="Nguồn"/>
    <tableColumn id="18" name="Ghi chú xác minh"/>
  </tableColumns>
</table>
</file>

<file path=xl/tables/table17.xml><?xml version="1.0" encoding="utf-8"?>
<table xmlns="http://schemas.openxmlformats.org/spreadsheetml/2006/main" id="17" name="ProjectProtectionLinkTable" displayName="ProjectProtectionLinkTable" ref="A1:H3" headerRowCount="1" totalsRowCount="0" totalsRowShown="0">
  <tableColumns count="8">
    <tableColumn id="1" name="Link_ID"/>
    <tableColumn id="2" name="Project_ID"/>
    <tableColumn id="3" name="Output_ID"/>
    <tableColumn id="4" name="Protection_ID"/>
    <tableColumn id="5" name="Tên liên kết"/>
    <tableColumn id="6" name="Mức độ khớp"/>
    <tableColumn id="7" name="Bằng chứng liên kết"/>
    <tableColumn id="8" name="Điểm cần xác minh"/>
  </tableColumns>
</table>
</file>

<file path=xl/tables/table18.xml><?xml version="1.0" encoding="utf-8"?>
<table xmlns="http://schemas.openxmlformats.org/spreadsheetml/2006/main" id="18" name="ProjectTable" displayName="ProjectTable" ref="A1:R8" headerRowCount="1" totalsRowCount="0" totalsRowShown="0">
  <tableColumns count="18">
    <tableColumn id="1" name="Project_ID"/>
    <tableColumn id="2" name="Năm"/>
    <tableColumn id="3" name="Mã đề tài"/>
    <tableColumn id="4" name="Tên đề tài"/>
    <tableColumn id="5" name="Cấp đề tài"/>
    <tableColumn id="6" name="Chủ nhiệm"/>
    <tableColumn id="7" name="Đơn vị chủ trì"/>
    <tableColumn id="8" name="Nhóm ngành chuẩn hóa"/>
    <tableColumn id="9" name="Strategic_Cluster"/>
    <tableColumn id="10" name="Ngày nghiệm thu"/>
    <tableColumn id="11" name="Xếp loại"/>
    <tableColumn id="12" name="Kinh phí_VND"/>
    <tableColumn id="13" name="Số thành viên"/>
    <tableColumn id="14" name="Có DN tham gia?"/>
    <tableColumn id="15" name="Có SV tham gia?"/>
    <tableColumn id="16" name="Số đầu ra (formula)"/>
    <tableColumn id="17" name="Nguồn hồ sơ"/>
    <tableColumn id="18" name="Ghi chú xác minh"/>
  </tableColumns>
</table>
</file>

<file path=xl/tables/table19.xml><?xml version="1.0" encoding="utf-8"?>
<table xmlns="http://schemas.openxmlformats.org/spreadsheetml/2006/main" id="19" name="ProtectionFullSourceTable" displayName="ProtectionFullSourceTable" ref="A1:M17" headerRowCount="1" totalsRowCount="0" totalsRowShown="0">
  <tableColumns count="13">
    <tableColumn id="1" name="Source_ID"/>
    <tableColumn id="2" name="Loại hình chuẩn hóa"/>
    <tableColumn id="3" name="Tên và nội dung"/>
    <tableColumn id="4" name="Số/Ký mã hiệu theo nguồn"/>
    <tableColumn id="5" name="Năm"/>
    <tableColumn id="6" name="Nơi cấp"/>
    <tableColumn id="7" name="Vai trò theo nguồn"/>
    <tableColumn id="8" name="Chủ sở hữu"/>
    <tableColumn id="9" name="Trạng thái hồ sơ suy ra tối thiểu"/>
    <tableColumn id="10" name="Phạm vi đối với nghiên cứu ĐHTĐ"/>
    <tableColumn id="11" name="Project_ID liên quan sơ bộ"/>
    <tableColumn id="12" name="Mức độ liên kết"/>
    <tableColumn id="13" name="Ghi chú phương pháp"/>
  </tableColumns>
</table>
</file>

<file path=xl/tables/table20.xml><?xml version="1.0" encoding="utf-8"?>
<table xmlns="http://schemas.openxmlformats.org/spreadsheetml/2006/main" id="20" name="ProtectionInventoryTable" displayName="ProtectionInventoryTable" ref="A1:L13" headerRowCount="1" totalsRowCount="0" totalsRowShown="0">
  <tableColumns count="12">
    <tableColumn id="1" name="Protection_ID"/>
    <tableColumn id="2" name="Loại hình"/>
    <tableColumn id="3" name="Tên/đối tượng"/>
    <tableColumn id="4" name="Số/Ký mã hiệu"/>
    <tableColumn id="5" name="Năm"/>
    <tableColumn id="6" name="Cơ quan"/>
    <tableColumn id="7" name="Chủ sở hữu"/>
    <tableColumn id="8" name="Trạng thái suy ra từ nguồn"/>
    <tableColumn id="9" name="Project_ID liên quan sơ bộ"/>
    <tableColumn id="10" name="Mức độ liên kết"/>
    <tableColumn id="11" name="Nguồn"/>
    <tableColumn id="12" name="Ghi chú"/>
  </tableColumns>
</table>
</file>

<file path=xl/tables/table21.xml><?xml version="1.0" encoding="utf-8"?>
<table xmlns="http://schemas.openxmlformats.org/spreadsheetml/2006/main" id="21" name="ProtectionTable" displayName="ProtectionTable" ref="A1:Q3" headerRowCount="1" totalsRowCount="0" totalsRowShown="0">
  <tableColumns count="17">
    <tableColumn id="1" name="Protection_ID"/>
    <tableColumn id="2" name="IP_ID"/>
    <tableColumn id="3" name="Loại quyền/hồ sơ"/>
    <tableColumn id="4" name="Ngày phát sinh kết quả"/>
    <tableColumn id="5" name="Ngày khai báo IP"/>
    <tableColumn id="6" name="Ngày sàng lọc"/>
    <tableColumn id="7" name="Ngày nộp đơn"/>
    <tableColumn id="8" name="Số đơn"/>
    <tableColumn id="9" name="Cơ quan nhận đơn"/>
    <tableColumn id="10" name="Chủ đơn"/>
    <tableColumn id="11" name="Tình trạng"/>
    <tableColumn id="12" name="Ngày cấp"/>
    <tableColumn id="13" name="Số văn bằng"/>
    <tableColumn id="14" name="Chi phí bảo hộ_VND"/>
    <tableColumn id="15" name="Time_to_IP_days"/>
    <tableColumn id="16" name="Nguồn bằng chứng"/>
    <tableColumn id="17" name="Ghi chú"/>
  </tableColumns>
</table>
</file>

<file path=xl/tables/table22.xml><?xml version="1.0" encoding="utf-8"?>
<table xmlns="http://schemas.openxmlformats.org/spreadsheetml/2006/main" id="22" name="PublicationLinksTable" displayName="PublicationLinksTable" ref="A1:N14" headerRowCount="1" totalsRowCount="0" totalsRowShown="0">
  <tableColumns count="14">
    <tableColumn id="1" name="Link_ID"/>
    <tableColumn id="2" name="Output_ID"/>
    <tableColumn id="3" name="Project_ID"/>
    <tableColumn id="4" name="Quan hệ"/>
    <tableColumn id="5" name="Tiêu đề công bố xác định được"/>
    <tableColumn id="6" name="Loại công bố"/>
    <tableColumn id="7" name="Tạp chí/Hội thảo"/>
    <tableColumn id="8" name="Tác giả"/>
    <tableColumn id="9" name="Năm"/>
    <tableColumn id="10" name="Số/Vol/ISBN"/>
    <tableColumn id="11" name="DOI/Link"/>
    <tableColumn id="12" name="Mức độ khớp"/>
    <tableColumn id="13" name="Cơ sở khớp"/>
    <tableColumn id="14" name="Nguồn dữ liệu"/>
  </tableColumns>
</table>
</file>

<file path=xl/tables/table23.xml><?xml version="1.0" encoding="utf-8"?>
<table xmlns="http://schemas.openxmlformats.org/spreadsheetml/2006/main" id="23" name="TableFigurePlanTable" displayName="TableFigurePlanTable" ref="A1:G12" headerRowCount="1" totalsRowCount="0" totalsRowShown="0">
  <tableColumns count="7">
    <tableColumn id="1" name="ID"/>
    <tableColumn id="2" name="Loại"/>
    <tableColumn id="3" name="Tên đề xuất"/>
    <tableColumn id="4" name="Nguồn dữ liệu"/>
    <tableColumn id="5" name="Biến/công thức"/>
    <tableColumn id="6" name="Thông điệp chính"/>
    <tableColumn id="7" name="Mức ưu tiên"/>
  </tableColumns>
</table>
</file>

<file path=xl/tables/table24.xml><?xml version="1.0" encoding="utf-8"?>
<table xmlns="http://schemas.openxmlformats.org/spreadsheetml/2006/main" id="24" name="UtilValueTable" displayName="UtilValueTable" ref="A1:T2" headerRowCount="1" totalsRowCount="0" totalsRowShown="0">
  <tableColumns count="20">
    <tableColumn id="1" name="Util_ID"/>
    <tableColumn id="2" name="IP_ID"/>
    <tableColumn id="3" name="Project_ID"/>
    <tableColumn id="4" name="Hình thức sử dụng"/>
    <tableColumn id="5" name="Mức sử dụng (0-7)"/>
    <tableColumn id="6" name="Đơn vị sử dụng"/>
    <tableColumn id="7" name="Đối tác"/>
    <tableColumn id="8" name="Bằng chứng sử dụng"/>
    <tableColumn id="9" name="Ngày bắt đầu"/>
    <tableColumn id="10" name="Doanh thu_VND"/>
    <tableColumn id="11" name="Tiết kiệm chi phí_VND"/>
    <tableColumn id="12" name="Số người dùng/đối tượng hưởng lợi"/>
    <tableColumn id="13" name="Giá trị khoa học (0-3)"/>
    <tableColumn id="14" name="Giá trị đào tạo (0-3)"/>
    <tableColumn id="15" name="Giá trị công nghệ (0-3)"/>
    <tableColumn id="16" name="Giá trị kinh tế (0-3)"/>
    <tableColumn id="17" name="Giá trị chiến lược (0-3)"/>
    <tableColumn id="18" name="Tình trạng định giá"/>
    <tableColumn id="19" name="Nguồn"/>
    <tableColumn id="20" name="Ghi chú"/>
  </tableColumns>
</table>
</file>

<file path=xl/tables/table25.xml><?xml version="1.0" encoding="utf-8"?>
<table xmlns="http://schemas.openxmlformats.org/spreadsheetml/2006/main" id="25" name="VerificationFindingsTable" displayName="VerificationFindingsTable" ref="A1:H7" headerRowCount="1" totalsRowCount="0" totalsRowShown="0">
  <tableColumns count="8">
    <tableColumn id="1" name="Finding_ID"/>
    <tableColumn id="2" name="Nội dung xác nhận"/>
    <tableColumn id="3" name="Bằng chứng hiện có"/>
    <tableColumn id="4" name="Cách diễn giải được phép"/>
    <tableColumn id="5" name="Không được suy diễn"/>
    <tableColumn id="6" name="Hệ quả đối với chỉ số"/>
    <tableColumn id="7" name="Phương pháp thay thế/bổ sung"/>
    <tableColumn id="8" name="Mức quan trọng"/>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6.xml"/>
</Relationships>
</file>

<file path=xl/worksheets/_rels/sheet4.xml.rels><?xml version="1.0" encoding="UTF-8"?>
<Relationships xmlns="http://schemas.openxmlformats.org/package/2006/relationships"><Relationship Id="rId1" Type="http://schemas.openxmlformats.org/officeDocument/2006/relationships/table" Target="../tables/table14.xml"/>
</Relationships>
</file>

<file path=xl/worksheets/_rels/sheet5.xml.rels><?xml version="1.0" encoding="UTF-8"?>
<Relationships xmlns="http://schemas.openxmlformats.org/package/2006/relationships"><Relationship Id="rId1" Type="http://schemas.openxmlformats.org/officeDocument/2006/relationships/table" Target="../tables/table9.xml"/>
</Relationships>
</file>

<file path=xl/worksheets/_rels/sheet6.xml.rels><?xml version="1.0" encoding="UTF-8"?>
<Relationships xmlns="http://schemas.openxmlformats.org/package/2006/relationships"><Relationship Id="rId1" Type="http://schemas.openxmlformats.org/officeDocument/2006/relationships/table" Target="../tables/table19.xml"/>
</Relationships>
</file>

<file path=xl/worksheets/_rels/sheet10.xml.rels><?xml version="1.0" encoding="UTF-8"?>
<Relationships xmlns="http://schemas.openxmlformats.org/package/2006/relationships"><Relationship Id="rId1" Type="http://schemas.openxmlformats.org/officeDocument/2006/relationships/table" Target="../tables/table11.xml"/>
</Relationships>
</file>

<file path=xl/worksheets/_rels/sheet11.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table" Target="../tables/table4.xml"/>
</Relationships>
</file>

<file path=xl/worksheets/_rels/sheet14.xml.rels><?xml version="1.0" encoding="UTF-8"?>
<Relationships xmlns="http://schemas.openxmlformats.org/package/2006/relationships"><Relationship Id="rId1" Type="http://schemas.openxmlformats.org/officeDocument/2006/relationships/table" Target="../tables/table5.xml"/>
</Relationships>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_rels/sheet16.xml.rels><?xml version="1.0" encoding="UTF-8"?>
<Relationships xmlns="http://schemas.openxmlformats.org/package/2006/relationships"><Relationship Id="rId1" Type="http://schemas.openxmlformats.org/officeDocument/2006/relationships/table" Target="../tables/table22.xml"/>
</Relationships>
</file>

<file path=xl/worksheets/_rels/sheet17.xml.rels><?xml version="1.0" encoding="UTF-8"?>
<Relationships xmlns="http://schemas.openxmlformats.org/package/2006/relationships"><Relationship Id="rId1" Type="http://schemas.openxmlformats.org/officeDocument/2006/relationships/table" Target="../tables/table20.xml"/>
</Relationships>
</file>

<file path=xl/worksheets/_rels/sheet18.xml.rels><?xml version="1.0" encoding="UTF-8"?>
<Relationships xmlns="http://schemas.openxmlformats.org/package/2006/relationships"><Relationship Id="rId1" Type="http://schemas.openxmlformats.org/officeDocument/2006/relationships/table" Target="../tables/table17.xml"/>
</Relationships>
</file>

<file path=xl/worksheets/_rels/sheet19.xml.rels><?xml version="1.0" encoding="UTF-8"?>
<Relationships xmlns="http://schemas.openxmlformats.org/package/2006/relationships"><Relationship Id="rId1" Type="http://schemas.openxmlformats.org/officeDocument/2006/relationships/table" Target="../tables/table10.xml"/>
</Relationships>
</file>

<file path=xl/worksheets/_rels/sheet20.xml.rels><?xml version="1.0" encoding="UTF-8"?>
<Relationships xmlns="http://schemas.openxmlformats.org/package/2006/relationships"><Relationship Id="rId1" Type="http://schemas.openxmlformats.org/officeDocument/2006/relationships/table" Target="../tables/table25.xml"/>
</Relationships>
</file>

<file path=xl/worksheets/_rels/sheet21.xml.rels><?xml version="1.0" encoding="UTF-8"?>
<Relationships xmlns="http://schemas.openxmlformats.org/package/2006/relationships"><Relationship Id="rId1" Type="http://schemas.openxmlformats.org/officeDocument/2006/relationships/table" Target="../tables/table12.xml"/>
</Relationships>
</file>

<file path=xl/worksheets/_rels/sheet22.xml.rels><?xml version="1.0" encoding="UTF-8"?>
<Relationships xmlns="http://schemas.openxmlformats.org/package/2006/relationships"><Relationship Id="rId1" Type="http://schemas.openxmlformats.org/officeDocument/2006/relationships/table" Target="../tables/table7.xml"/>
</Relationships>
</file>

<file path=xl/worksheets/_rels/sheet23.xml.rels><?xml version="1.0" encoding="UTF-8"?>
<Relationships xmlns="http://schemas.openxmlformats.org/package/2006/relationships"><Relationship Id="rId1" Type="http://schemas.openxmlformats.org/officeDocument/2006/relationships/table" Target="../tables/table1.xml"/>
</Relationships>
</file>

<file path=xl/worksheets/_rels/sheet24.xml.rels><?xml version="1.0" encoding="UTF-8"?>
<Relationships xmlns="http://schemas.openxmlformats.org/package/2006/relationships"><Relationship Id="rId1" Type="http://schemas.openxmlformats.org/officeDocument/2006/relationships/table" Target="../tables/table13.xml"/>
</Relationships>
</file>

<file path=xl/worksheets/_rels/sheet25.xml.rels><?xml version="1.0" encoding="UTF-8"?>
<Relationships xmlns="http://schemas.openxmlformats.org/package/2006/relationships"><Relationship Id="rId1" Type="http://schemas.openxmlformats.org/officeDocument/2006/relationships/table" Target="../tables/table2.xml"/>
</Relationships>
</file>

<file path=xl/worksheets/_rels/sheet26.xml.rels><?xml version="1.0" encoding="UTF-8"?>
<Relationships xmlns="http://schemas.openxmlformats.org/package/2006/relationships"><Relationship Id="rId1" Type="http://schemas.openxmlformats.org/officeDocument/2006/relationships/table" Target="../tables/table23.xml"/>
</Relationships>
</file>

<file path=xl/worksheets/_rels/sheet27.xml.rels><?xml version="1.0" encoding="UTF-8"?>
<Relationships xmlns="http://schemas.openxmlformats.org/package/2006/relationships"><Relationship Id="rId1" Type="http://schemas.openxmlformats.org/officeDocument/2006/relationships/table" Target="../tables/table6.xml"/>
</Relationships>
</file>

<file path=xl/worksheets/_rels/sheet28.xml.rels><?xml version="1.0" encoding="UTF-8"?>
<Relationships xmlns="http://schemas.openxmlformats.org/package/2006/relationships"><Relationship Id="rId1" Type="http://schemas.openxmlformats.org/officeDocument/2006/relationships/table" Target="../tables/table21.xml"/>
</Relationships>
</file>

<file path=xl/worksheets/_rels/sheet29.xml.rels><?xml version="1.0" encoding="UTF-8"?>
<Relationships xmlns="http://schemas.openxmlformats.org/package/2006/relationships"><Relationship Id="rId1" Type="http://schemas.openxmlformats.org/officeDocument/2006/relationships/table" Target="../tables/table24.xml"/>
</Relationships>
</file>

<file path=xl/worksheets/_rels/sheet30.xml.rels><?xml version="1.0" encoding="UTF-8"?>
<Relationships xmlns="http://schemas.openxmlformats.org/package/2006/relationships"><Relationship Id="rId1" Type="http://schemas.openxmlformats.org/officeDocument/2006/relationships/table" Target="../tables/table18.xml"/>
</Relationships>
</file>

<file path=xl/worksheets/_rels/sheet31.xml.rels><?xml version="1.0" encoding="UTF-8"?>
<Relationships xmlns="http://schemas.openxmlformats.org/package/2006/relationships"><Relationship Id="rId1" Type="http://schemas.openxmlformats.org/officeDocument/2006/relationships/table" Target="../tables/table15.xml"/>
</Relationships>
</file>

<file path=xl/worksheets/_rels/sheet32.xml.rels><?xml version="1.0" encoding="UTF-8"?>
<Relationships xmlns="http://schemas.openxmlformats.org/package/2006/relationships"><Relationship Id="rId1" Type="http://schemas.openxmlformats.org/officeDocument/2006/relationships/table" Target="../tables/table8.xml"/>
</Relationships>
</file>

<file path=xl/worksheets/_rels/sheet3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5"/>
  </cols>
  <sheetData>
    <row r="1" customFormat="false" ht="17.35" hidden="false" customHeight="false" outlineLevel="0" collapsed="false">
      <c r="A1" s="2" t="s">
        <v>0</v>
      </c>
      <c r="B1" s="2"/>
      <c r="C1" s="2"/>
      <c r="D1" s="2"/>
      <c r="E1" s="2"/>
      <c r="F1" s="2"/>
      <c r="G1" s="2"/>
      <c r="H1" s="2"/>
    </row>
    <row r="3" customFormat="false" ht="15" hidden="false" customHeight="false" outlineLevel="0" collapsed="false">
      <c r="A3" s="3" t="s">
        <v>1</v>
      </c>
      <c r="B3" s="3" t="s">
        <v>2</v>
      </c>
    </row>
    <row r="4" customFormat="false" ht="28.35" hidden="false" customHeight="false" outlineLevel="0" collapsed="false">
      <c r="A4" s="4" t="s">
        <v>3</v>
      </c>
      <c r="B4" s="4" t="s">
        <v>4</v>
      </c>
    </row>
    <row r="5" customFormat="false" ht="41.75" hidden="false" customHeight="false" outlineLevel="0" collapsed="false">
      <c r="A5" s="4" t="s">
        <v>5</v>
      </c>
      <c r="B5" s="4" t="s">
        <v>6</v>
      </c>
    </row>
    <row r="6" customFormat="false" ht="28.35" hidden="false" customHeight="false" outlineLevel="0" collapsed="false">
      <c r="A6" s="4" t="s">
        <v>7</v>
      </c>
      <c r="B6" s="4" t="s">
        <v>8</v>
      </c>
    </row>
    <row r="7" customFormat="false" ht="28.35" hidden="false" customHeight="false" outlineLevel="0" collapsed="false">
      <c r="A7" s="4" t="s">
        <v>9</v>
      </c>
      <c r="B7" s="4" t="s">
        <v>10</v>
      </c>
    </row>
    <row r="8" customFormat="false" ht="28.35" hidden="false" customHeight="false" outlineLevel="0" collapsed="false">
      <c r="A8" s="4" t="s">
        <v>11</v>
      </c>
      <c r="B8" s="4" t="s">
        <v>12</v>
      </c>
    </row>
    <row r="9" customFormat="false" ht="28.35" hidden="false" customHeight="false" outlineLevel="0" collapsed="false">
      <c r="A9" s="4" t="s">
        <v>13</v>
      </c>
      <c r="B9" s="4" t="s">
        <v>14</v>
      </c>
    </row>
    <row r="10" customFormat="false" ht="28.35" hidden="false" customHeight="false" outlineLevel="0" collapsed="false">
      <c r="A10" s="4" t="s">
        <v>15</v>
      </c>
      <c r="B10" s="4" t="s">
        <v>16</v>
      </c>
    </row>
    <row r="11" customFormat="false" ht="28.35" hidden="false" customHeight="false" outlineLevel="0" collapsed="false">
      <c r="A11" s="4" t="s">
        <v>17</v>
      </c>
      <c r="B11" s="4" t="s">
        <v>18</v>
      </c>
    </row>
    <row r="12" customFormat="false" ht="15" hidden="false" customHeight="false" outlineLevel="0" collapsed="false">
      <c r="A12" s="4" t="s">
        <v>19</v>
      </c>
      <c r="B12" s="4" t="s">
        <v>20</v>
      </c>
    </row>
    <row r="14" customFormat="false" ht="15" hidden="false" customHeight="false" outlineLevel="0" collapsed="false">
      <c r="A14" s="5" t="s">
        <v>21</v>
      </c>
      <c r="B14" s="6" t="s">
        <v>22</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62"/>
    <col collapsed="false" customWidth="true" hidden="false" outlineLevel="0" max="4" min="4" style="1" width="34"/>
  </cols>
  <sheetData>
    <row r="1" customFormat="false" ht="16.15" hidden="false" customHeight="false" outlineLevel="0" collapsed="false">
      <c r="A1" s="7" t="s">
        <v>23</v>
      </c>
    </row>
    <row r="2" customFormat="false" ht="15" hidden="false" customHeight="false" outlineLevel="0" collapsed="false">
      <c r="A2" s="8" t="s">
        <v>24</v>
      </c>
    </row>
    <row r="4" customFormat="false" ht="15" hidden="false" customHeight="false" outlineLevel="0" collapsed="false">
      <c r="A4" s="9" t="s">
        <v>25</v>
      </c>
      <c r="B4" s="9" t="s">
        <v>26</v>
      </c>
      <c r="C4" s="9" t="s">
        <v>27</v>
      </c>
      <c r="D4" s="9" t="s">
        <v>28</v>
      </c>
    </row>
    <row r="5" customFormat="false" ht="57.75" hidden="false" customHeight="true" outlineLevel="0" collapsed="false">
      <c r="A5" s="10" t="n">
        <v>1</v>
      </c>
      <c r="B5" s="10" t="s">
        <v>29</v>
      </c>
      <c r="C5" s="10" t="s">
        <v>30</v>
      </c>
      <c r="D5" s="10" t="s">
        <v>31</v>
      </c>
    </row>
    <row r="6" customFormat="false" ht="57.75" hidden="false" customHeight="true" outlineLevel="0" collapsed="false">
      <c r="A6" s="10" t="n">
        <v>2</v>
      </c>
      <c r="B6" s="10" t="s">
        <v>32</v>
      </c>
      <c r="C6" s="10" t="s">
        <v>33</v>
      </c>
      <c r="D6" s="10" t="s">
        <v>34</v>
      </c>
    </row>
    <row r="7" customFormat="false" ht="57.75" hidden="false" customHeight="true" outlineLevel="0" collapsed="false">
      <c r="A7" s="10" t="n">
        <v>3</v>
      </c>
      <c r="B7" s="10" t="s">
        <v>35</v>
      </c>
      <c r="C7" s="10" t="s">
        <v>36</v>
      </c>
      <c r="D7" s="10" t="s">
        <v>37</v>
      </c>
    </row>
    <row r="8" customFormat="false" ht="57.75" hidden="false" customHeight="true" outlineLevel="0" collapsed="false">
      <c r="A8" s="10" t="n">
        <v>4</v>
      </c>
      <c r="B8" s="10" t="s">
        <v>38</v>
      </c>
      <c r="C8" s="10" t="s">
        <v>39</v>
      </c>
      <c r="D8" s="10" t="s">
        <v>40</v>
      </c>
    </row>
    <row r="9" customFormat="false" ht="57.75" hidden="false" customHeight="true" outlineLevel="0" collapsed="false">
      <c r="A9" s="10" t="n">
        <v>5</v>
      </c>
      <c r="B9" s="10" t="s">
        <v>41</v>
      </c>
      <c r="C9" s="10" t="s">
        <v>42</v>
      </c>
      <c r="D9" s="10" t="s">
        <v>43</v>
      </c>
    </row>
    <row r="10" customFormat="false" ht="57.75" hidden="false" customHeight="true" outlineLevel="0" collapsed="false">
      <c r="A10" s="10" t="n">
        <v>6</v>
      </c>
      <c r="B10" s="10" t="s">
        <v>44</v>
      </c>
      <c r="C10" s="10" t="s">
        <v>45</v>
      </c>
      <c r="D10" s="10" t="s">
        <v>46</v>
      </c>
    </row>
    <row r="11" customFormat="false" ht="57.75" hidden="false" customHeight="true" outlineLevel="0" collapsed="false">
      <c r="A11" s="10" t="n">
        <v>7</v>
      </c>
      <c r="B11" s="10" t="s">
        <v>47</v>
      </c>
      <c r="C11" s="10" t="s">
        <v>48</v>
      </c>
      <c r="D11" s="10" t="s">
        <v>49</v>
      </c>
    </row>
    <row r="12" customFormat="false" ht="57.75" hidden="false" customHeight="true" outlineLevel="0" collapsed="false">
      <c r="A12" s="10" t="n">
        <v>8</v>
      </c>
      <c r="B12" s="10" t="s">
        <v>50</v>
      </c>
      <c r="C12" s="10" t="s">
        <v>51</v>
      </c>
      <c r="D12" s="10" t="s">
        <v>52</v>
      </c>
    </row>
    <row r="13" customFormat="false" ht="57.75" hidden="false" customHeight="true" outlineLevel="0" collapsed="false">
      <c r="A13" s="10" t="n">
        <v>9</v>
      </c>
      <c r="B13" s="10" t="s">
        <v>53</v>
      </c>
      <c r="C13" s="10" t="s">
        <v>54</v>
      </c>
      <c r="D13" s="10"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18"/>
    <col collapsed="false" customWidth="true" hidden="false" outlineLevel="0" max="4" min="4" style="1" width="58"/>
    <col collapsed="false" customWidth="true" hidden="false" outlineLevel="0" max="5" min="5" style="1" width="10"/>
    <col collapsed="false" customWidth="true" hidden="false" outlineLevel="0" max="6" min="6" style="1" width="22"/>
    <col collapsed="false" customWidth="true" hidden="false" outlineLevel="0" max="7" min="7" style="1" width="20"/>
    <col collapsed="false" customWidth="true" hidden="false" outlineLevel="0" max="8" min="8" style="1" width="24"/>
    <col collapsed="false" customWidth="true" hidden="false" outlineLevel="0" max="9" min="9" style="1" width="22"/>
    <col collapsed="false" customWidth="true" hidden="false" outlineLevel="0" max="10" min="10" style="1" width="13"/>
    <col collapsed="false" customWidth="true" hidden="false" outlineLevel="0" max="11" min="11" style="1" width="12"/>
    <col collapsed="false" customWidth="true" hidden="false" outlineLevel="0" max="12" min="12" style="1" width="16"/>
    <col collapsed="false" customWidth="true" hidden="false" outlineLevel="0" max="13" min="13" style="1" width="24"/>
    <col collapsed="false" customWidth="true" hidden="false" outlineLevel="0" max="14" min="14" style="1" width="12"/>
    <col collapsed="false" customWidth="true" hidden="false" outlineLevel="0" max="15" min="15" style="1" width="20"/>
    <col collapsed="false" customWidth="true" hidden="false" outlineLevel="0" max="16" min="16" style="1" width="14"/>
    <col collapsed="false" customWidth="true" hidden="false" outlineLevel="0" max="17" min="17" style="1" width="44"/>
    <col collapsed="false" customWidth="true" hidden="false" outlineLevel="0" max="18" min="18" style="1" width="50"/>
  </cols>
  <sheetData>
    <row r="1" customFormat="false" ht="41.75" hidden="false" customHeight="false" outlineLevel="0" collapsed="false">
      <c r="A1" s="3" t="s">
        <v>56</v>
      </c>
      <c r="B1" s="3" t="s">
        <v>57</v>
      </c>
      <c r="C1" s="3" t="s">
        <v>58</v>
      </c>
      <c r="D1" s="3" t="s">
        <v>59</v>
      </c>
      <c r="E1" s="3" t="s">
        <v>60</v>
      </c>
      <c r="F1" s="3" t="s">
        <v>61</v>
      </c>
      <c r="G1" s="3" t="s">
        <v>62</v>
      </c>
      <c r="H1" s="3" t="s">
        <v>63</v>
      </c>
      <c r="I1" s="3" t="s">
        <v>64</v>
      </c>
      <c r="J1" s="3" t="s">
        <v>65</v>
      </c>
      <c r="K1" s="3" t="s">
        <v>66</v>
      </c>
      <c r="L1" s="3" t="s">
        <v>67</v>
      </c>
      <c r="M1" s="3" t="s">
        <v>68</v>
      </c>
      <c r="N1" s="3" t="s">
        <v>69</v>
      </c>
      <c r="O1" s="3" t="s">
        <v>70</v>
      </c>
      <c r="P1" s="3" t="s">
        <v>71</v>
      </c>
      <c r="Q1" s="3" t="s">
        <v>72</v>
      </c>
      <c r="R1" s="3" t="s">
        <v>73</v>
      </c>
    </row>
    <row r="2" customFormat="false" ht="15" hidden="false" customHeight="false" outlineLevel="0" collapsed="false">
      <c r="A2" s="1" t="s">
        <v>74</v>
      </c>
      <c r="B2" s="1" t="n">
        <v>2021</v>
      </c>
      <c r="C2" s="1" t="s">
        <v>75</v>
      </c>
      <c r="D2" s="1" t="s">
        <v>76</v>
      </c>
      <c r="E2" s="1" t="s">
        <v>77</v>
      </c>
      <c r="F2" s="1" t="s">
        <v>78</v>
      </c>
      <c r="G2" s="1" t="s">
        <v>79</v>
      </c>
      <c r="H2" s="1" t="s">
        <v>80</v>
      </c>
      <c r="I2" s="1" t="s">
        <v>81</v>
      </c>
      <c r="J2" s="11" t="n">
        <v>44816</v>
      </c>
      <c r="K2" s="1" t="s">
        <v>82</v>
      </c>
      <c r="L2" s="12"/>
      <c r="M2" s="1" t="s">
        <v>83</v>
      </c>
      <c r="N2" s="1" t="n">
        <v>1</v>
      </c>
      <c r="O2" s="1" t="s">
        <v>84</v>
      </c>
      <c r="P2" s="1" t="n">
        <f aca="false">COUNTIF(02_OUTPUT_ALL!$B:$B,A2)</f>
        <v>1</v>
      </c>
      <c r="Q2" s="1" t="s">
        <v>85</v>
      </c>
      <c r="R2" s="1" t="s">
        <v>86</v>
      </c>
    </row>
    <row r="3" customFormat="false" ht="15" hidden="false" customHeight="false" outlineLevel="0" collapsed="false">
      <c r="A3" s="1" t="s">
        <v>87</v>
      </c>
      <c r="B3" s="1" t="n">
        <v>2021</v>
      </c>
      <c r="C3" s="1" t="s">
        <v>88</v>
      </c>
      <c r="D3" s="1" t="s">
        <v>89</v>
      </c>
      <c r="E3" s="1" t="s">
        <v>77</v>
      </c>
      <c r="F3" s="1" t="s">
        <v>90</v>
      </c>
      <c r="G3" s="1" t="s">
        <v>79</v>
      </c>
      <c r="H3" s="1" t="s">
        <v>80</v>
      </c>
      <c r="I3" s="1" t="s">
        <v>81</v>
      </c>
      <c r="J3" s="11" t="n">
        <v>44816</v>
      </c>
      <c r="K3" s="1" t="s">
        <v>82</v>
      </c>
      <c r="L3" s="12"/>
      <c r="M3" s="1" t="s">
        <v>83</v>
      </c>
      <c r="N3" s="1" t="n">
        <v>1</v>
      </c>
      <c r="O3" s="1" t="s">
        <v>84</v>
      </c>
      <c r="P3" s="1" t="n">
        <f aca="false">COUNTIF(02_OUTPUT_ALL!$B:$B,A3)</f>
        <v>1</v>
      </c>
      <c r="Q3" s="1" t="s">
        <v>85</v>
      </c>
    </row>
    <row r="4" customFormat="false" ht="15" hidden="false" customHeight="false" outlineLevel="0" collapsed="false">
      <c r="A4" s="1" t="s">
        <v>91</v>
      </c>
      <c r="B4" s="1" t="n">
        <v>2021</v>
      </c>
      <c r="C4" s="1" t="s">
        <v>92</v>
      </c>
      <c r="D4" s="1" t="s">
        <v>93</v>
      </c>
      <c r="E4" s="1" t="s">
        <v>77</v>
      </c>
      <c r="F4" s="1" t="s">
        <v>94</v>
      </c>
      <c r="G4" s="1" t="s">
        <v>79</v>
      </c>
      <c r="H4" s="1" t="s">
        <v>80</v>
      </c>
      <c r="I4" s="1" t="s">
        <v>81</v>
      </c>
      <c r="J4" s="11" t="n">
        <v>44816</v>
      </c>
      <c r="K4" s="1" t="s">
        <v>95</v>
      </c>
      <c r="L4" s="12"/>
      <c r="M4" s="1" t="s">
        <v>83</v>
      </c>
      <c r="N4" s="1" t="n">
        <v>1</v>
      </c>
      <c r="O4" s="1" t="s">
        <v>84</v>
      </c>
      <c r="P4" s="1" t="n">
        <f aca="false">COUNTIF(02_OUTPUT_ALL!$B:$B,A4)</f>
        <v>1</v>
      </c>
      <c r="Q4" s="1" t="s">
        <v>85</v>
      </c>
    </row>
    <row r="5" customFormat="false" ht="15" hidden="false" customHeight="false" outlineLevel="0" collapsed="false">
      <c r="A5" s="1" t="s">
        <v>96</v>
      </c>
      <c r="B5" s="1" t="n">
        <v>2021</v>
      </c>
      <c r="C5" s="1" t="s">
        <v>97</v>
      </c>
      <c r="D5" s="1" t="s">
        <v>98</v>
      </c>
      <c r="E5" s="1" t="s">
        <v>77</v>
      </c>
      <c r="F5" s="1" t="s">
        <v>99</v>
      </c>
      <c r="G5" s="1" t="s">
        <v>79</v>
      </c>
      <c r="H5" s="1" t="s">
        <v>100</v>
      </c>
      <c r="I5" s="1" t="s">
        <v>101</v>
      </c>
      <c r="J5" s="11" t="n">
        <v>44370</v>
      </c>
      <c r="K5" s="1" t="s">
        <v>82</v>
      </c>
      <c r="L5" s="12"/>
      <c r="M5" s="1" t="s">
        <v>83</v>
      </c>
      <c r="N5" s="1" t="n">
        <v>6</v>
      </c>
      <c r="O5" s="1" t="s">
        <v>84</v>
      </c>
      <c r="P5" s="1" t="n">
        <f aca="false">COUNTIF(02_OUTPUT_ALL!$B:$B,A5)</f>
        <v>3</v>
      </c>
      <c r="Q5" s="1" t="s">
        <v>85</v>
      </c>
    </row>
    <row r="6" customFormat="false" ht="15" hidden="false" customHeight="false" outlineLevel="0" collapsed="false">
      <c r="A6" s="1" t="s">
        <v>102</v>
      </c>
      <c r="B6" s="1" t="n">
        <v>2021</v>
      </c>
      <c r="C6" s="1" t="s">
        <v>103</v>
      </c>
      <c r="D6" s="1" t="s">
        <v>104</v>
      </c>
      <c r="E6" s="1" t="s">
        <v>77</v>
      </c>
      <c r="F6" s="1" t="s">
        <v>99</v>
      </c>
      <c r="G6" s="1" t="s">
        <v>79</v>
      </c>
      <c r="H6" s="1" t="s">
        <v>105</v>
      </c>
      <c r="I6" s="1" t="s">
        <v>101</v>
      </c>
      <c r="J6" s="11" t="n">
        <v>44370</v>
      </c>
      <c r="K6" s="1" t="s">
        <v>82</v>
      </c>
      <c r="L6" s="12"/>
      <c r="M6" s="1" t="s">
        <v>83</v>
      </c>
      <c r="N6" s="1" t="n">
        <v>8</v>
      </c>
      <c r="O6" s="1" t="s">
        <v>84</v>
      </c>
      <c r="P6" s="1" t="n">
        <f aca="false">COUNTIF(02_OUTPUT_ALL!$B:$B,A6)</f>
        <v>3</v>
      </c>
      <c r="Q6" s="1" t="s">
        <v>106</v>
      </c>
    </row>
    <row r="7" customFormat="false" ht="15" hidden="false" customHeight="false" outlineLevel="0" collapsed="false">
      <c r="A7" s="1" t="s">
        <v>107</v>
      </c>
      <c r="B7" s="1" t="n">
        <v>2021</v>
      </c>
      <c r="C7" s="1" t="s">
        <v>108</v>
      </c>
      <c r="D7" s="1" t="s">
        <v>109</v>
      </c>
      <c r="E7" s="1" t="s">
        <v>77</v>
      </c>
      <c r="F7" s="1" t="s">
        <v>110</v>
      </c>
      <c r="G7" s="1" t="s">
        <v>111</v>
      </c>
      <c r="H7" s="1" t="s">
        <v>112</v>
      </c>
      <c r="I7" s="1" t="s">
        <v>113</v>
      </c>
      <c r="J7" s="11" t="n">
        <v>44536</v>
      </c>
      <c r="K7" s="1" t="s">
        <v>82</v>
      </c>
      <c r="L7" s="12"/>
      <c r="M7" s="1" t="s">
        <v>83</v>
      </c>
      <c r="N7" s="1" t="n">
        <v>2</v>
      </c>
      <c r="O7" s="1" t="s">
        <v>84</v>
      </c>
      <c r="P7" s="1" t="n">
        <f aca="false">COUNTIF(02_OUTPUT_ALL!$B:$B,A7)</f>
        <v>2</v>
      </c>
      <c r="Q7" s="1" t="s">
        <v>106</v>
      </c>
    </row>
    <row r="8" customFormat="false" ht="15" hidden="false" customHeight="false" outlineLevel="0" collapsed="false">
      <c r="A8" s="1" t="s">
        <v>114</v>
      </c>
      <c r="B8" s="1" t="n">
        <v>2022</v>
      </c>
      <c r="C8" s="1" t="s">
        <v>115</v>
      </c>
      <c r="D8" s="1" t="s">
        <v>116</v>
      </c>
      <c r="E8" s="1" t="s">
        <v>77</v>
      </c>
      <c r="F8" s="1" t="s">
        <v>117</v>
      </c>
      <c r="G8" s="1" t="s">
        <v>118</v>
      </c>
      <c r="H8" s="1" t="s">
        <v>119</v>
      </c>
      <c r="I8" s="1" t="s">
        <v>101</v>
      </c>
      <c r="J8" s="11" t="n">
        <v>44613</v>
      </c>
      <c r="K8" s="1" t="s">
        <v>95</v>
      </c>
      <c r="L8" s="12"/>
      <c r="M8" s="1" t="s">
        <v>83</v>
      </c>
      <c r="N8" s="1" t="n">
        <v>5</v>
      </c>
      <c r="O8" s="1" t="s">
        <v>120</v>
      </c>
      <c r="P8" s="1" t="n">
        <f aca="false">COUNTIF(02_OUTPUT_ALL!$B:$B,A8)</f>
        <v>1</v>
      </c>
      <c r="Q8" s="1" t="s">
        <v>106</v>
      </c>
      <c r="R8" s="1" t="s">
        <v>121</v>
      </c>
    </row>
    <row r="9" customFormat="false" ht="15" hidden="false" customHeight="false" outlineLevel="0" collapsed="false">
      <c r="A9" s="1" t="s">
        <v>122</v>
      </c>
      <c r="B9" s="1" t="n">
        <v>2022</v>
      </c>
      <c r="C9" s="1" t="s">
        <v>123</v>
      </c>
      <c r="D9" s="1" t="s">
        <v>124</v>
      </c>
      <c r="E9" s="1" t="s">
        <v>77</v>
      </c>
      <c r="F9" s="1" t="s">
        <v>125</v>
      </c>
      <c r="G9" s="1" t="s">
        <v>126</v>
      </c>
      <c r="H9" s="1" t="s">
        <v>127</v>
      </c>
      <c r="I9" s="1" t="s">
        <v>101</v>
      </c>
      <c r="J9" s="11" t="n">
        <v>44627</v>
      </c>
      <c r="K9" s="1" t="s">
        <v>82</v>
      </c>
      <c r="L9" s="12"/>
      <c r="M9" s="1" t="s">
        <v>83</v>
      </c>
      <c r="N9" s="1" t="n">
        <v>1</v>
      </c>
      <c r="O9" s="1" t="s">
        <v>120</v>
      </c>
      <c r="P9" s="1" t="n">
        <f aca="false">COUNTIF(02_OUTPUT_ALL!$B:$B,A9)</f>
        <v>1</v>
      </c>
      <c r="Q9" s="1" t="s">
        <v>106</v>
      </c>
      <c r="R9" s="1" t="s">
        <v>128</v>
      </c>
    </row>
    <row r="10" customFormat="false" ht="15" hidden="false" customHeight="false" outlineLevel="0" collapsed="false">
      <c r="A10" s="1" t="s">
        <v>129</v>
      </c>
      <c r="B10" s="1" t="n">
        <v>2022</v>
      </c>
      <c r="C10" s="1" t="s">
        <v>130</v>
      </c>
      <c r="D10" s="1" t="s">
        <v>131</v>
      </c>
      <c r="E10" s="1" t="s">
        <v>77</v>
      </c>
      <c r="F10" s="1" t="s">
        <v>94</v>
      </c>
      <c r="G10" s="1" t="s">
        <v>79</v>
      </c>
      <c r="H10" s="1" t="s">
        <v>132</v>
      </c>
      <c r="I10" s="1" t="s">
        <v>81</v>
      </c>
      <c r="J10" s="11" t="n">
        <v>44872</v>
      </c>
      <c r="K10" s="1" t="s">
        <v>95</v>
      </c>
      <c r="L10" s="12"/>
      <c r="M10" s="1" t="s">
        <v>83</v>
      </c>
      <c r="N10" s="1" t="n">
        <v>1</v>
      </c>
      <c r="O10" s="1" t="s">
        <v>84</v>
      </c>
      <c r="P10" s="1" t="n">
        <f aca="false">COUNTIF(02_OUTPUT_ALL!$B:$B,A10)</f>
        <v>1</v>
      </c>
      <c r="Q10" s="1" t="s">
        <v>106</v>
      </c>
    </row>
    <row r="11" customFormat="false" ht="15" hidden="false" customHeight="false" outlineLevel="0" collapsed="false">
      <c r="A11" s="1" t="s">
        <v>133</v>
      </c>
      <c r="B11" s="1" t="n">
        <v>2022</v>
      </c>
      <c r="C11" s="1" t="s">
        <v>134</v>
      </c>
      <c r="D11" s="1" t="s">
        <v>135</v>
      </c>
      <c r="E11" s="1" t="s">
        <v>77</v>
      </c>
      <c r="F11" s="1" t="s">
        <v>99</v>
      </c>
      <c r="G11" s="1" t="s">
        <v>79</v>
      </c>
      <c r="H11" s="1" t="s">
        <v>80</v>
      </c>
      <c r="I11" s="1" t="s">
        <v>81</v>
      </c>
      <c r="J11" s="11" t="n">
        <v>44872</v>
      </c>
      <c r="K11" s="1" t="s">
        <v>95</v>
      </c>
      <c r="L11" s="12"/>
      <c r="M11" s="1" t="s">
        <v>83</v>
      </c>
      <c r="N11" s="1" t="n">
        <v>2</v>
      </c>
      <c r="O11" s="1" t="s">
        <v>84</v>
      </c>
      <c r="P11" s="1" t="n">
        <f aca="false">COUNTIF(02_OUTPUT_ALL!$B:$B,A11)</f>
        <v>1</v>
      </c>
      <c r="Q11" s="1" t="s">
        <v>136</v>
      </c>
    </row>
    <row r="12" customFormat="false" ht="15" hidden="false" customHeight="false" outlineLevel="0" collapsed="false">
      <c r="A12" s="1" t="s">
        <v>137</v>
      </c>
      <c r="B12" s="1" t="n">
        <v>2022</v>
      </c>
      <c r="C12" s="1" t="s">
        <v>138</v>
      </c>
      <c r="D12" s="1" t="s">
        <v>139</v>
      </c>
      <c r="E12" s="1" t="s">
        <v>77</v>
      </c>
      <c r="F12" s="1" t="s">
        <v>90</v>
      </c>
      <c r="G12" s="1" t="s">
        <v>79</v>
      </c>
      <c r="H12" s="1" t="s">
        <v>140</v>
      </c>
      <c r="I12" s="1" t="s">
        <v>101</v>
      </c>
      <c r="J12" s="11" t="n">
        <v>44872</v>
      </c>
      <c r="K12" s="1" t="s">
        <v>95</v>
      </c>
      <c r="L12" s="12"/>
      <c r="M12" s="1" t="s">
        <v>83</v>
      </c>
      <c r="N12" s="1" t="n">
        <v>1</v>
      </c>
      <c r="O12" s="1" t="s">
        <v>84</v>
      </c>
      <c r="P12" s="1" t="n">
        <f aca="false">COUNTIF(02_OUTPUT_ALL!$B:$B,A12)</f>
        <v>1</v>
      </c>
      <c r="Q12" s="1" t="s">
        <v>136</v>
      </c>
    </row>
    <row r="13" customFormat="false" ht="15" hidden="false" customHeight="false" outlineLevel="0" collapsed="false">
      <c r="A13" s="1" t="s">
        <v>141</v>
      </c>
      <c r="B13" s="1" t="n">
        <v>2022</v>
      </c>
      <c r="C13" s="1" t="s">
        <v>142</v>
      </c>
      <c r="D13" s="1" t="s">
        <v>143</v>
      </c>
      <c r="E13" s="1" t="s">
        <v>77</v>
      </c>
      <c r="F13" s="1" t="s">
        <v>144</v>
      </c>
      <c r="G13" s="1" t="s">
        <v>79</v>
      </c>
      <c r="H13" s="1" t="s">
        <v>100</v>
      </c>
      <c r="I13" s="1" t="s">
        <v>81</v>
      </c>
      <c r="J13" s="11" t="n">
        <v>44873</v>
      </c>
      <c r="K13" s="1" t="s">
        <v>95</v>
      </c>
      <c r="L13" s="12"/>
      <c r="M13" s="1" t="s">
        <v>83</v>
      </c>
      <c r="N13" s="1" t="n">
        <v>1</v>
      </c>
      <c r="O13" s="1" t="s">
        <v>84</v>
      </c>
      <c r="P13" s="1" t="n">
        <f aca="false">COUNTIF(02_OUTPUT_ALL!$B:$B,A13)</f>
        <v>1</v>
      </c>
      <c r="Q13" s="1" t="s">
        <v>136</v>
      </c>
    </row>
    <row r="14" customFormat="false" ht="15" hidden="false" customHeight="false" outlineLevel="0" collapsed="false">
      <c r="A14" s="1" t="s">
        <v>145</v>
      </c>
      <c r="B14" s="1" t="n">
        <v>2022</v>
      </c>
      <c r="C14" s="1" t="s">
        <v>146</v>
      </c>
      <c r="D14" s="1" t="s">
        <v>147</v>
      </c>
      <c r="E14" s="1" t="s">
        <v>77</v>
      </c>
      <c r="F14" s="1" t="s">
        <v>148</v>
      </c>
      <c r="G14" s="1" t="s">
        <v>149</v>
      </c>
      <c r="H14" s="1" t="s">
        <v>150</v>
      </c>
      <c r="I14" s="1" t="s">
        <v>151</v>
      </c>
      <c r="J14" s="11" t="n">
        <v>44874</v>
      </c>
      <c r="K14" s="1" t="s">
        <v>82</v>
      </c>
      <c r="L14" s="12" t="n">
        <v>5000000</v>
      </c>
      <c r="M14" s="1" t="s">
        <v>152</v>
      </c>
      <c r="N14" s="1" t="n">
        <v>1</v>
      </c>
      <c r="O14" s="1" t="s">
        <v>120</v>
      </c>
      <c r="P14" s="1" t="n">
        <f aca="false">COUNTIF(02_OUTPUT_ALL!$B:$B,A14)</f>
        <v>2</v>
      </c>
      <c r="Q14" s="1" t="s">
        <v>136</v>
      </c>
    </row>
    <row r="15" customFormat="false" ht="15" hidden="false" customHeight="false" outlineLevel="0" collapsed="false">
      <c r="A15" s="1" t="s">
        <v>153</v>
      </c>
      <c r="B15" s="1" t="n">
        <v>2022</v>
      </c>
      <c r="C15" s="1" t="s">
        <v>154</v>
      </c>
      <c r="D15" s="1" t="s">
        <v>155</v>
      </c>
      <c r="E15" s="1" t="s">
        <v>77</v>
      </c>
      <c r="F15" s="1" t="s">
        <v>156</v>
      </c>
      <c r="G15" s="1" t="s">
        <v>157</v>
      </c>
      <c r="H15" s="1" t="s">
        <v>158</v>
      </c>
      <c r="I15" s="1" t="s">
        <v>159</v>
      </c>
      <c r="J15" s="11" t="n">
        <v>44875</v>
      </c>
      <c r="K15" s="1" t="s">
        <v>82</v>
      </c>
      <c r="L15" s="12" t="n">
        <v>29000000</v>
      </c>
      <c r="M15" s="1" t="s">
        <v>152</v>
      </c>
      <c r="N15" s="1" t="n">
        <v>5</v>
      </c>
      <c r="O15" s="1" t="s">
        <v>120</v>
      </c>
      <c r="P15" s="1" t="n">
        <f aca="false">COUNTIF(02_OUTPUT_ALL!$B:$B,A15)</f>
        <v>2</v>
      </c>
      <c r="Q15" s="1" t="s">
        <v>136</v>
      </c>
    </row>
    <row r="16" customFormat="false" ht="15" hidden="false" customHeight="false" outlineLevel="0" collapsed="false">
      <c r="A16" s="1" t="s">
        <v>160</v>
      </c>
      <c r="B16" s="1" t="n">
        <v>2022</v>
      </c>
      <c r="C16" s="1" t="s">
        <v>161</v>
      </c>
      <c r="D16" s="1" t="s">
        <v>162</v>
      </c>
      <c r="E16" s="1" t="s">
        <v>77</v>
      </c>
      <c r="F16" s="1" t="s">
        <v>163</v>
      </c>
      <c r="G16" s="1" t="s">
        <v>157</v>
      </c>
      <c r="H16" s="1" t="s">
        <v>164</v>
      </c>
      <c r="I16" s="1" t="s">
        <v>159</v>
      </c>
      <c r="J16" s="11" t="n">
        <v>44875</v>
      </c>
      <c r="K16" s="1" t="s">
        <v>82</v>
      </c>
      <c r="L16" s="12" t="n">
        <v>50000000</v>
      </c>
      <c r="M16" s="1" t="s">
        <v>152</v>
      </c>
      <c r="N16" s="1" t="n">
        <v>7</v>
      </c>
      <c r="O16" s="1" t="s">
        <v>120</v>
      </c>
      <c r="P16" s="1" t="n">
        <f aca="false">COUNTIF(02_OUTPUT_ALL!$B:$B,A16)</f>
        <v>2</v>
      </c>
      <c r="Q16" s="1" t="s">
        <v>136</v>
      </c>
    </row>
    <row r="17" customFormat="false" ht="15" hidden="false" customHeight="false" outlineLevel="0" collapsed="false">
      <c r="A17" s="1" t="s">
        <v>165</v>
      </c>
      <c r="B17" s="1" t="n">
        <v>2022</v>
      </c>
      <c r="C17" s="1" t="s">
        <v>166</v>
      </c>
      <c r="D17" s="1" t="s">
        <v>167</v>
      </c>
      <c r="E17" s="1" t="s">
        <v>77</v>
      </c>
      <c r="F17" s="1" t="s">
        <v>168</v>
      </c>
      <c r="G17" s="1" t="s">
        <v>169</v>
      </c>
      <c r="H17" s="1" t="s">
        <v>170</v>
      </c>
      <c r="I17" s="1" t="s">
        <v>113</v>
      </c>
      <c r="J17" s="11" t="n">
        <v>44876</v>
      </c>
      <c r="K17" s="1" t="s">
        <v>82</v>
      </c>
      <c r="L17" s="12"/>
      <c r="M17" s="1" t="s">
        <v>83</v>
      </c>
      <c r="N17" s="1" t="n">
        <v>2</v>
      </c>
      <c r="O17" s="1" t="s">
        <v>84</v>
      </c>
      <c r="P17" s="1" t="n">
        <f aca="false">COUNTIF(02_OUTPUT_ALL!$B:$B,A17)</f>
        <v>2</v>
      </c>
      <c r="Q17" s="1" t="s">
        <v>171</v>
      </c>
    </row>
    <row r="18" customFormat="false" ht="15" hidden="false" customHeight="false" outlineLevel="0" collapsed="false">
      <c r="A18" s="1" t="s">
        <v>172</v>
      </c>
      <c r="B18" s="1" t="n">
        <v>2023</v>
      </c>
      <c r="C18" s="1" t="s">
        <v>173</v>
      </c>
      <c r="D18" s="1" t="s">
        <v>174</v>
      </c>
      <c r="E18" s="1" t="s">
        <v>77</v>
      </c>
      <c r="F18" s="1" t="s">
        <v>175</v>
      </c>
      <c r="G18" s="1" t="s">
        <v>176</v>
      </c>
      <c r="H18" s="1" t="s">
        <v>177</v>
      </c>
      <c r="I18" s="1" t="s">
        <v>101</v>
      </c>
      <c r="J18" s="11" t="n">
        <v>45246</v>
      </c>
      <c r="K18" s="1" t="s">
        <v>178</v>
      </c>
      <c r="L18" s="12" t="n">
        <v>3000000</v>
      </c>
      <c r="M18" s="1" t="s">
        <v>152</v>
      </c>
      <c r="N18" s="1" t="n">
        <v>2</v>
      </c>
      <c r="O18" s="1" t="s">
        <v>120</v>
      </c>
      <c r="P18" s="1" t="n">
        <f aca="false">COUNTIF(02_OUTPUT_ALL!$B:$B,A18)</f>
        <v>3</v>
      </c>
      <c r="Q18" s="1" t="s">
        <v>171</v>
      </c>
      <c r="R18" s="1" t="s">
        <v>179</v>
      </c>
    </row>
    <row r="19" customFormat="false" ht="15" hidden="false" customHeight="false" outlineLevel="0" collapsed="false">
      <c r="A19" s="1" t="s">
        <v>180</v>
      </c>
      <c r="B19" s="1" t="n">
        <v>2023</v>
      </c>
      <c r="C19" s="1" t="s">
        <v>181</v>
      </c>
      <c r="D19" s="1" t="s">
        <v>182</v>
      </c>
      <c r="E19" s="1" t="s">
        <v>77</v>
      </c>
      <c r="F19" s="1" t="s">
        <v>183</v>
      </c>
      <c r="G19" s="1" t="s">
        <v>79</v>
      </c>
      <c r="H19" s="1" t="s">
        <v>184</v>
      </c>
      <c r="I19" s="1" t="s">
        <v>81</v>
      </c>
      <c r="J19" s="11" t="n">
        <v>45253</v>
      </c>
      <c r="K19" s="1" t="s">
        <v>95</v>
      </c>
      <c r="L19" s="12" t="n">
        <v>5000000</v>
      </c>
      <c r="M19" s="1" t="s">
        <v>152</v>
      </c>
      <c r="N19" s="1" t="n">
        <v>2</v>
      </c>
      <c r="O19" s="1" t="s">
        <v>120</v>
      </c>
      <c r="P19" s="1" t="n">
        <f aca="false">COUNTIF(02_OUTPUT_ALL!$B:$B,A19)</f>
        <v>3</v>
      </c>
      <c r="Q19" s="1" t="s">
        <v>171</v>
      </c>
      <c r="R19" s="1" t="s">
        <v>179</v>
      </c>
    </row>
    <row r="20" customFormat="false" ht="15" hidden="false" customHeight="false" outlineLevel="0" collapsed="false">
      <c r="A20" s="1" t="s">
        <v>185</v>
      </c>
      <c r="B20" s="1" t="n">
        <v>2023</v>
      </c>
      <c r="C20" s="1" t="s">
        <v>186</v>
      </c>
      <c r="D20" s="1" t="s">
        <v>187</v>
      </c>
      <c r="E20" s="1" t="s">
        <v>77</v>
      </c>
      <c r="F20" s="1" t="s">
        <v>99</v>
      </c>
      <c r="G20" s="1" t="s">
        <v>79</v>
      </c>
      <c r="H20" s="1" t="s">
        <v>80</v>
      </c>
      <c r="I20" s="1" t="s">
        <v>81</v>
      </c>
      <c r="J20" s="11" t="n">
        <v>45257</v>
      </c>
      <c r="K20" s="1" t="s">
        <v>95</v>
      </c>
      <c r="L20" s="12" t="n">
        <v>3000000</v>
      </c>
      <c r="M20" s="1" t="s">
        <v>152</v>
      </c>
      <c r="N20" s="1" t="n">
        <v>3</v>
      </c>
      <c r="O20" s="1" t="s">
        <v>120</v>
      </c>
      <c r="P20" s="1" t="n">
        <f aca="false">COUNTIF(02_OUTPUT_ALL!$B:$B,A20)</f>
        <v>3</v>
      </c>
      <c r="Q20" s="1" t="s">
        <v>188</v>
      </c>
      <c r="R20" s="1" t="s">
        <v>189</v>
      </c>
    </row>
    <row r="21" customFormat="false" ht="15" hidden="false" customHeight="false" outlineLevel="0" collapsed="false">
      <c r="A21" s="1" t="s">
        <v>190</v>
      </c>
      <c r="B21" s="1" t="n">
        <v>2023</v>
      </c>
      <c r="C21" s="1" t="s">
        <v>191</v>
      </c>
      <c r="D21" s="1" t="s">
        <v>192</v>
      </c>
      <c r="E21" s="1" t="s">
        <v>77</v>
      </c>
      <c r="F21" s="1" t="s">
        <v>90</v>
      </c>
      <c r="G21" s="1" t="s">
        <v>79</v>
      </c>
      <c r="H21" s="1" t="s">
        <v>100</v>
      </c>
      <c r="I21" s="1" t="s">
        <v>81</v>
      </c>
      <c r="J21" s="11" t="n">
        <v>45257</v>
      </c>
      <c r="K21" s="1" t="s">
        <v>82</v>
      </c>
      <c r="L21" s="12" t="n">
        <v>3000000</v>
      </c>
      <c r="M21" s="1" t="s">
        <v>152</v>
      </c>
      <c r="N21" s="1" t="n">
        <v>3</v>
      </c>
      <c r="O21" s="1" t="s">
        <v>120</v>
      </c>
      <c r="P21" s="1" t="n">
        <f aca="false">COUNTIF(02_OUTPUT_ALL!$B:$B,A21)</f>
        <v>3</v>
      </c>
      <c r="Q21" s="1" t="s">
        <v>188</v>
      </c>
      <c r="R21" s="1" t="s">
        <v>189</v>
      </c>
    </row>
    <row r="22" customFormat="false" ht="15" hidden="false" customHeight="false" outlineLevel="0" collapsed="false">
      <c r="A22" s="1" t="s">
        <v>193</v>
      </c>
      <c r="B22" s="1" t="n">
        <v>2023</v>
      </c>
      <c r="C22" s="1" t="s">
        <v>194</v>
      </c>
      <c r="D22" s="1" t="s">
        <v>195</v>
      </c>
      <c r="E22" s="1" t="s">
        <v>77</v>
      </c>
      <c r="F22" s="1" t="s">
        <v>196</v>
      </c>
      <c r="G22" s="1" t="s">
        <v>197</v>
      </c>
      <c r="H22" s="1" t="s">
        <v>198</v>
      </c>
      <c r="I22" s="1" t="s">
        <v>101</v>
      </c>
      <c r="J22" s="11" t="n">
        <v>45246</v>
      </c>
      <c r="K22" s="1" t="s">
        <v>95</v>
      </c>
      <c r="L22" s="12" t="n">
        <v>5000000</v>
      </c>
      <c r="M22" s="1" t="s">
        <v>152</v>
      </c>
      <c r="N22" s="1" t="n">
        <v>4</v>
      </c>
      <c r="O22" s="1" t="s">
        <v>120</v>
      </c>
      <c r="P22" s="1" t="n">
        <f aca="false">COUNTIF(02_OUTPUT_ALL!$B:$B,A22)</f>
        <v>3</v>
      </c>
      <c r="Q22" s="1" t="s">
        <v>199</v>
      </c>
      <c r="R22" s="1" t="s">
        <v>200</v>
      </c>
    </row>
    <row r="23" customFormat="false" ht="15" hidden="false" customHeight="false" outlineLevel="0" collapsed="false">
      <c r="A23" s="1" t="s">
        <v>201</v>
      </c>
      <c r="B23" s="1" t="n">
        <v>2023</v>
      </c>
      <c r="C23" s="1" t="s">
        <v>202</v>
      </c>
      <c r="D23" s="1" t="s">
        <v>203</v>
      </c>
      <c r="E23" s="1" t="s">
        <v>77</v>
      </c>
      <c r="F23" s="1" t="s">
        <v>204</v>
      </c>
      <c r="G23" s="1" t="s">
        <v>205</v>
      </c>
      <c r="H23" s="1" t="s">
        <v>206</v>
      </c>
      <c r="I23" s="1" t="s">
        <v>101</v>
      </c>
      <c r="J23" s="11" t="n">
        <v>45254</v>
      </c>
      <c r="K23" s="1" t="s">
        <v>82</v>
      </c>
      <c r="L23" s="12" t="n">
        <v>1000000</v>
      </c>
      <c r="M23" s="1" t="s">
        <v>152</v>
      </c>
      <c r="N23" s="1" t="n">
        <v>2</v>
      </c>
      <c r="O23" s="1" t="s">
        <v>120</v>
      </c>
      <c r="P23" s="1" t="n">
        <f aca="false">COUNTIF(02_OUTPUT_ALL!$B:$B,A23)</f>
        <v>3</v>
      </c>
      <c r="Q23" s="1" t="s">
        <v>199</v>
      </c>
      <c r="R23" s="1" t="s">
        <v>189</v>
      </c>
    </row>
    <row r="24" customFormat="false" ht="15" hidden="false" customHeight="false" outlineLevel="0" collapsed="false">
      <c r="A24" s="1" t="s">
        <v>207</v>
      </c>
      <c r="B24" s="1" t="n">
        <v>2023</v>
      </c>
      <c r="C24" s="1" t="s">
        <v>208</v>
      </c>
      <c r="D24" s="1" t="s">
        <v>209</v>
      </c>
      <c r="E24" s="1" t="s">
        <v>77</v>
      </c>
      <c r="F24" s="1" t="s">
        <v>99</v>
      </c>
      <c r="G24" s="1" t="s">
        <v>210</v>
      </c>
      <c r="H24" s="1" t="s">
        <v>211</v>
      </c>
      <c r="I24" s="1" t="s">
        <v>159</v>
      </c>
      <c r="J24" s="11" t="n">
        <v>45243</v>
      </c>
      <c r="K24" s="1" t="s">
        <v>95</v>
      </c>
      <c r="L24" s="12" t="n">
        <v>50000000</v>
      </c>
      <c r="M24" s="1" t="s">
        <v>152</v>
      </c>
      <c r="N24" s="1" t="n">
        <v>8</v>
      </c>
      <c r="O24" s="1" t="s">
        <v>120</v>
      </c>
      <c r="P24" s="1" t="n">
        <f aca="false">COUNTIF(02_OUTPUT_ALL!$B:$B,A24)</f>
        <v>3</v>
      </c>
      <c r="Q24" s="1" t="s">
        <v>212</v>
      </c>
      <c r="R24" s="1" t="s">
        <v>213</v>
      </c>
    </row>
    <row r="25" customFormat="false" ht="15" hidden="false" customHeight="false" outlineLevel="0" collapsed="false">
      <c r="A25" s="1" t="s">
        <v>214</v>
      </c>
      <c r="B25" s="1" t="n">
        <v>2024</v>
      </c>
      <c r="C25" s="1" t="s">
        <v>215</v>
      </c>
      <c r="D25" s="1" t="s">
        <v>216</v>
      </c>
      <c r="E25" s="1" t="s">
        <v>77</v>
      </c>
      <c r="F25" s="1" t="s">
        <v>156</v>
      </c>
      <c r="G25" s="1" t="s">
        <v>157</v>
      </c>
      <c r="H25" s="1" t="s">
        <v>217</v>
      </c>
      <c r="I25" s="1" t="s">
        <v>159</v>
      </c>
      <c r="J25" s="11" t="n">
        <v>45611</v>
      </c>
      <c r="K25" s="1" t="s">
        <v>95</v>
      </c>
      <c r="L25" s="12" t="n">
        <v>58000000</v>
      </c>
      <c r="M25" s="1" t="s">
        <v>152</v>
      </c>
      <c r="N25" s="1" t="n">
        <v>4</v>
      </c>
      <c r="O25" s="1" t="s">
        <v>120</v>
      </c>
      <c r="P25" s="1" t="n">
        <f aca="false">COUNTIF(02_OUTPUT_ALL!$B:$B,A25)</f>
        <v>4</v>
      </c>
      <c r="Q25" s="1" t="s">
        <v>212</v>
      </c>
    </row>
    <row r="26" customFormat="false" ht="15" hidden="false" customHeight="false" outlineLevel="0" collapsed="false">
      <c r="A26" s="1" t="s">
        <v>218</v>
      </c>
      <c r="B26" s="1" t="n">
        <v>2024</v>
      </c>
      <c r="C26" s="1" t="s">
        <v>219</v>
      </c>
      <c r="D26" s="1" t="s">
        <v>220</v>
      </c>
      <c r="E26" s="1" t="s">
        <v>77</v>
      </c>
      <c r="F26" s="1" t="s">
        <v>221</v>
      </c>
      <c r="G26" s="1" t="s">
        <v>157</v>
      </c>
      <c r="H26" s="1" t="s">
        <v>222</v>
      </c>
      <c r="I26" s="1" t="s">
        <v>159</v>
      </c>
      <c r="J26" s="11" t="n">
        <v>45611</v>
      </c>
      <c r="K26" s="1" t="s">
        <v>95</v>
      </c>
      <c r="L26" s="12" t="n">
        <v>43000000</v>
      </c>
      <c r="M26" s="1" t="s">
        <v>152</v>
      </c>
      <c r="N26" s="1" t="n">
        <v>2</v>
      </c>
      <c r="O26" s="1" t="s">
        <v>120</v>
      </c>
      <c r="P26" s="1" t="n">
        <f aca="false">COUNTIF(02_OUTPUT_ALL!$B:$B,A26)</f>
        <v>4</v>
      </c>
      <c r="Q26" s="1" t="s">
        <v>212</v>
      </c>
    </row>
    <row r="27" customFormat="false" ht="15" hidden="false" customHeight="false" outlineLevel="0" collapsed="false">
      <c r="A27" s="1" t="s">
        <v>223</v>
      </c>
      <c r="B27" s="1" t="n">
        <v>2024</v>
      </c>
      <c r="C27" s="1" t="s">
        <v>224</v>
      </c>
      <c r="D27" s="1" t="s">
        <v>225</v>
      </c>
      <c r="E27" s="1" t="s">
        <v>77</v>
      </c>
      <c r="F27" s="1" t="s">
        <v>226</v>
      </c>
      <c r="G27" s="1" t="s">
        <v>157</v>
      </c>
      <c r="H27" s="1" t="s">
        <v>227</v>
      </c>
      <c r="I27" s="1" t="s">
        <v>159</v>
      </c>
      <c r="J27" s="11" t="n">
        <v>45611</v>
      </c>
      <c r="K27" s="1" t="s">
        <v>95</v>
      </c>
      <c r="L27" s="12" t="n">
        <v>13250000</v>
      </c>
      <c r="M27" s="1" t="s">
        <v>152</v>
      </c>
      <c r="N27" s="1" t="n">
        <v>2</v>
      </c>
      <c r="O27" s="1" t="s">
        <v>120</v>
      </c>
      <c r="P27" s="1" t="n">
        <f aca="false">COUNTIF(02_OUTPUT_ALL!$B:$B,A27)</f>
        <v>5</v>
      </c>
      <c r="Q27" s="1" t="s">
        <v>228</v>
      </c>
    </row>
    <row r="28" customFormat="false" ht="15" hidden="false" customHeight="false" outlineLevel="0" collapsed="false">
      <c r="A28" s="1" t="s">
        <v>229</v>
      </c>
      <c r="B28" s="1" t="n">
        <v>2024</v>
      </c>
      <c r="C28" s="1" t="s">
        <v>230</v>
      </c>
      <c r="D28" s="1" t="s">
        <v>231</v>
      </c>
      <c r="E28" s="1" t="s">
        <v>77</v>
      </c>
      <c r="F28" s="1" t="s">
        <v>232</v>
      </c>
      <c r="G28" s="1" t="s">
        <v>157</v>
      </c>
      <c r="H28" s="1" t="s">
        <v>233</v>
      </c>
      <c r="I28" s="1" t="s">
        <v>159</v>
      </c>
      <c r="J28" s="11" t="n">
        <v>45611</v>
      </c>
      <c r="K28" s="1" t="s">
        <v>82</v>
      </c>
      <c r="L28" s="12" t="n">
        <v>8500000</v>
      </c>
      <c r="M28" s="1" t="s">
        <v>152</v>
      </c>
      <c r="N28" s="1" t="n">
        <v>3</v>
      </c>
      <c r="O28" s="1" t="s">
        <v>120</v>
      </c>
      <c r="P28" s="1" t="n">
        <f aca="false">COUNTIF(02_OUTPUT_ALL!$B:$B,A28)</f>
        <v>4</v>
      </c>
      <c r="Q28" s="1" t="s">
        <v>228</v>
      </c>
    </row>
    <row r="29" customFormat="false" ht="15" hidden="false" customHeight="false" outlineLevel="0" collapsed="false">
      <c r="A29" s="1" t="s">
        <v>234</v>
      </c>
      <c r="B29" s="1" t="n">
        <v>2024</v>
      </c>
      <c r="C29" s="1" t="s">
        <v>235</v>
      </c>
      <c r="D29" s="1" t="s">
        <v>236</v>
      </c>
      <c r="E29" s="1" t="s">
        <v>77</v>
      </c>
      <c r="F29" s="1" t="s">
        <v>175</v>
      </c>
      <c r="G29" s="1" t="s">
        <v>176</v>
      </c>
      <c r="H29" s="1" t="s">
        <v>237</v>
      </c>
      <c r="I29" s="1" t="s">
        <v>101</v>
      </c>
      <c r="J29" s="11" t="n">
        <v>45597</v>
      </c>
      <c r="K29" s="1" t="s">
        <v>82</v>
      </c>
      <c r="L29" s="12" t="n">
        <v>3000000</v>
      </c>
      <c r="M29" s="1" t="s">
        <v>152</v>
      </c>
      <c r="N29" s="1" t="n">
        <v>3</v>
      </c>
      <c r="O29" s="1" t="s">
        <v>84</v>
      </c>
      <c r="P29" s="1" t="n">
        <f aca="false">COUNTIF(02_OUTPUT_ALL!$B:$B,A29)</f>
        <v>2</v>
      </c>
      <c r="Q29" s="1" t="s">
        <v>228</v>
      </c>
    </row>
    <row r="30" customFormat="false" ht="15" hidden="false" customHeight="false" outlineLevel="0" collapsed="false">
      <c r="A30" s="1" t="s">
        <v>238</v>
      </c>
      <c r="B30" s="1" t="n">
        <v>2024</v>
      </c>
      <c r="C30" s="1" t="s">
        <v>239</v>
      </c>
      <c r="D30" s="1" t="s">
        <v>240</v>
      </c>
      <c r="E30" s="1" t="s">
        <v>77</v>
      </c>
      <c r="F30" s="1" t="s">
        <v>241</v>
      </c>
      <c r="G30" s="1" t="s">
        <v>242</v>
      </c>
      <c r="H30" s="1" t="s">
        <v>243</v>
      </c>
      <c r="I30" s="1" t="s">
        <v>101</v>
      </c>
      <c r="J30" s="11" t="n">
        <v>45594</v>
      </c>
      <c r="K30" s="1" t="s">
        <v>82</v>
      </c>
      <c r="L30" s="12"/>
      <c r="M30" s="1" t="s">
        <v>244</v>
      </c>
      <c r="N30" s="1" t="n">
        <v>5</v>
      </c>
      <c r="O30" s="1" t="s">
        <v>84</v>
      </c>
      <c r="P30" s="1" t="n">
        <f aca="false">COUNTIF(02_OUTPUT_ALL!$B:$B,A30)</f>
        <v>3</v>
      </c>
      <c r="Q30" s="1" t="s">
        <v>245</v>
      </c>
    </row>
    <row r="31" customFormat="false" ht="15" hidden="false" customHeight="false" outlineLevel="0" collapsed="false">
      <c r="A31" s="1" t="s">
        <v>246</v>
      </c>
      <c r="B31" s="1" t="n">
        <v>2024</v>
      </c>
      <c r="C31" s="1" t="s">
        <v>247</v>
      </c>
      <c r="D31" s="1" t="s">
        <v>248</v>
      </c>
      <c r="E31" s="1" t="s">
        <v>77</v>
      </c>
      <c r="F31" s="1" t="s">
        <v>175</v>
      </c>
      <c r="G31" s="1" t="s">
        <v>176</v>
      </c>
      <c r="H31" s="1" t="s">
        <v>249</v>
      </c>
      <c r="I31" s="1" t="s">
        <v>101</v>
      </c>
      <c r="J31" s="11" t="n">
        <v>45597</v>
      </c>
      <c r="K31" s="1" t="s">
        <v>82</v>
      </c>
      <c r="L31" s="12"/>
      <c r="M31" s="1" t="s">
        <v>244</v>
      </c>
      <c r="N31" s="1" t="n">
        <v>3</v>
      </c>
      <c r="O31" s="1" t="s">
        <v>84</v>
      </c>
      <c r="P31" s="1" t="n">
        <f aca="false">COUNTIF(02_OUTPUT_ALL!$B:$B,A31)</f>
        <v>2</v>
      </c>
      <c r="Q31" s="1" t="s">
        <v>245</v>
      </c>
    </row>
    <row r="32" customFormat="false" ht="15" hidden="false" customHeight="false" outlineLevel="0" collapsed="false">
      <c r="A32" s="1" t="s">
        <v>250</v>
      </c>
      <c r="B32" s="1" t="n">
        <v>2024</v>
      </c>
      <c r="C32" s="1" t="s">
        <v>251</v>
      </c>
      <c r="D32" s="1" t="s">
        <v>252</v>
      </c>
      <c r="E32" s="1" t="s">
        <v>77</v>
      </c>
      <c r="F32" s="1" t="s">
        <v>241</v>
      </c>
      <c r="G32" s="1" t="s">
        <v>242</v>
      </c>
      <c r="H32" s="1" t="s">
        <v>243</v>
      </c>
      <c r="I32" s="1" t="s">
        <v>101</v>
      </c>
      <c r="J32" s="11" t="n">
        <v>45785</v>
      </c>
      <c r="K32" s="1" t="s">
        <v>82</v>
      </c>
      <c r="L32" s="12" t="n">
        <v>19500000</v>
      </c>
      <c r="M32" s="1" t="s">
        <v>253</v>
      </c>
      <c r="N32" s="1" t="n">
        <v>5</v>
      </c>
      <c r="O32" s="1" t="s">
        <v>84</v>
      </c>
      <c r="P32" s="1" t="n">
        <f aca="false">COUNTIF(02_OUTPUT_ALL!$B:$B,A32)</f>
        <v>3</v>
      </c>
      <c r="Q32" s="1" t="s">
        <v>254</v>
      </c>
      <c r="R32" s="1" t="s">
        <v>255</v>
      </c>
    </row>
    <row r="33" customFormat="false" ht="15" hidden="false" customHeight="false" outlineLevel="0" collapsed="false">
      <c r="A33" s="1" t="s">
        <v>256</v>
      </c>
      <c r="B33" s="1" t="n">
        <v>2025</v>
      </c>
      <c r="C33" s="1" t="s">
        <v>257</v>
      </c>
      <c r="D33" s="1" t="s">
        <v>258</v>
      </c>
      <c r="E33" s="1" t="s">
        <v>77</v>
      </c>
      <c r="F33" s="1" t="s">
        <v>99</v>
      </c>
      <c r="G33" s="1" t="s">
        <v>259</v>
      </c>
      <c r="H33" s="1" t="s">
        <v>80</v>
      </c>
      <c r="I33" s="1" t="s">
        <v>81</v>
      </c>
      <c r="J33" s="11" t="n">
        <v>46006</v>
      </c>
      <c r="K33" s="1" t="s">
        <v>95</v>
      </c>
      <c r="L33" s="12" t="n">
        <v>5000000</v>
      </c>
      <c r="M33" s="1" t="s">
        <v>152</v>
      </c>
      <c r="N33" s="1" t="n">
        <v>3</v>
      </c>
      <c r="O33" s="1" t="s">
        <v>84</v>
      </c>
      <c r="P33" s="1" t="n">
        <f aca="false">COUNTIF(02_OUTPUT_ALL!$B:$B,A33)</f>
        <v>2</v>
      </c>
      <c r="Q33" s="1" t="s">
        <v>260</v>
      </c>
      <c r="R33" s="1" t="s">
        <v>261</v>
      </c>
    </row>
    <row r="34" customFormat="false" ht="15" hidden="false" customHeight="false" outlineLevel="0" collapsed="false">
      <c r="A34" s="1" t="s">
        <v>262</v>
      </c>
      <c r="B34" s="1" t="n">
        <v>2025</v>
      </c>
      <c r="C34" s="1" t="s">
        <v>263</v>
      </c>
      <c r="D34" s="1" t="s">
        <v>264</v>
      </c>
      <c r="E34" s="1" t="s">
        <v>77</v>
      </c>
      <c r="F34" s="1" t="s">
        <v>110</v>
      </c>
      <c r="G34" s="1" t="s">
        <v>259</v>
      </c>
      <c r="H34" s="1" t="s">
        <v>265</v>
      </c>
      <c r="I34" s="1" t="s">
        <v>113</v>
      </c>
      <c r="J34" s="11" t="n">
        <v>46008</v>
      </c>
      <c r="K34" s="1" t="s">
        <v>95</v>
      </c>
      <c r="L34" s="12"/>
      <c r="M34" s="1" t="s">
        <v>266</v>
      </c>
      <c r="N34" s="1" t="n">
        <v>1</v>
      </c>
      <c r="O34" s="1" t="s">
        <v>84</v>
      </c>
      <c r="P34" s="1" t="n">
        <f aca="false">COUNTIF(02_OUTPUT_ALL!$B:$B,A34)</f>
        <v>2</v>
      </c>
      <c r="Q34" s="1" t="s">
        <v>260</v>
      </c>
    </row>
    <row r="35" customFormat="false" ht="15" hidden="false" customHeight="false" outlineLevel="0" collapsed="false">
      <c r="A35" s="1" t="s">
        <v>267</v>
      </c>
      <c r="B35" s="1" t="n">
        <v>2025</v>
      </c>
      <c r="C35" s="1" t="s">
        <v>268</v>
      </c>
      <c r="D35" s="1" t="s">
        <v>269</v>
      </c>
      <c r="E35" s="1" t="s">
        <v>77</v>
      </c>
      <c r="F35" s="1" t="s">
        <v>270</v>
      </c>
      <c r="G35" s="1" t="s">
        <v>259</v>
      </c>
      <c r="H35" s="1" t="s">
        <v>271</v>
      </c>
      <c r="I35" s="1" t="s">
        <v>113</v>
      </c>
      <c r="J35" s="11" t="n">
        <v>46009</v>
      </c>
      <c r="K35" s="1" t="s">
        <v>95</v>
      </c>
      <c r="L35" s="12"/>
      <c r="M35" s="1" t="s">
        <v>266</v>
      </c>
      <c r="N35" s="1" t="n">
        <v>2</v>
      </c>
      <c r="O35" s="1" t="s">
        <v>84</v>
      </c>
      <c r="P35" s="1" t="n">
        <f aca="false">COUNTIF(02_OUTPUT_ALL!$B:$B,A35)</f>
        <v>2</v>
      </c>
      <c r="Q35" s="1" t="s">
        <v>260</v>
      </c>
    </row>
    <row r="36" customFormat="false" ht="15" hidden="false" customHeight="false" outlineLevel="0" collapsed="false">
      <c r="A36" s="1" t="s">
        <v>272</v>
      </c>
      <c r="B36" s="1" t="n">
        <v>2025</v>
      </c>
      <c r="C36" s="1" t="s">
        <v>273</v>
      </c>
      <c r="D36" s="1" t="s">
        <v>274</v>
      </c>
      <c r="E36" s="1" t="s">
        <v>77</v>
      </c>
      <c r="F36" s="1" t="s">
        <v>204</v>
      </c>
      <c r="G36" s="1" t="s">
        <v>259</v>
      </c>
      <c r="H36" s="1" t="s">
        <v>275</v>
      </c>
      <c r="I36" s="1" t="s">
        <v>101</v>
      </c>
      <c r="J36" s="11" t="n">
        <v>46010</v>
      </c>
      <c r="K36" s="1" t="s">
        <v>95</v>
      </c>
      <c r="L36" s="12"/>
      <c r="M36" s="1" t="s">
        <v>266</v>
      </c>
      <c r="N36" s="1" t="n">
        <v>3</v>
      </c>
      <c r="O36" s="1" t="s">
        <v>84</v>
      </c>
      <c r="P36" s="1" t="n">
        <f aca="false">COUNTIF(02_OUTPUT_ALL!$B:$B,A36)</f>
        <v>1</v>
      </c>
      <c r="Q36" s="1" t="s">
        <v>260</v>
      </c>
      <c r="R36" s="1" t="s">
        <v>276</v>
      </c>
    </row>
    <row r="37" customFormat="false" ht="15" hidden="false" customHeight="false" outlineLevel="0" collapsed="false">
      <c r="A37" s="1" t="s">
        <v>277</v>
      </c>
      <c r="B37" s="1" t="n">
        <v>2025</v>
      </c>
      <c r="C37" s="1" t="s">
        <v>278</v>
      </c>
      <c r="D37" s="1" t="s">
        <v>279</v>
      </c>
      <c r="E37" s="1" t="s">
        <v>77</v>
      </c>
      <c r="F37" s="1" t="s">
        <v>232</v>
      </c>
      <c r="G37" s="1" t="s">
        <v>280</v>
      </c>
      <c r="H37" s="1" t="s">
        <v>233</v>
      </c>
      <c r="I37" s="1" t="s">
        <v>159</v>
      </c>
      <c r="J37" s="11" t="n">
        <v>46016</v>
      </c>
      <c r="K37" s="1" t="s">
        <v>95</v>
      </c>
      <c r="L37" s="12" t="n">
        <v>30000000</v>
      </c>
      <c r="M37" s="1" t="s">
        <v>281</v>
      </c>
      <c r="N37" s="1" t="n">
        <v>4</v>
      </c>
      <c r="O37" s="1" t="s">
        <v>120</v>
      </c>
      <c r="P37" s="1" t="n">
        <f aca="false">COUNTIF(02_OUTPUT_ALL!$B:$B,A37)</f>
        <v>3</v>
      </c>
      <c r="Q37" s="1" t="s">
        <v>260</v>
      </c>
      <c r="R37" s="1" t="s">
        <v>282</v>
      </c>
    </row>
    <row r="38" customFormat="false" ht="15" hidden="false" customHeight="false" outlineLevel="0" collapsed="false">
      <c r="A38" s="1" t="s">
        <v>283</v>
      </c>
      <c r="B38" s="1" t="n">
        <v>2025</v>
      </c>
      <c r="C38" s="1" t="s">
        <v>284</v>
      </c>
      <c r="D38" s="1" t="s">
        <v>285</v>
      </c>
      <c r="E38" s="1" t="s">
        <v>77</v>
      </c>
      <c r="F38" s="1" t="s">
        <v>286</v>
      </c>
      <c r="G38" s="1" t="s">
        <v>280</v>
      </c>
      <c r="H38" s="1" t="s">
        <v>233</v>
      </c>
      <c r="I38" s="1" t="s">
        <v>159</v>
      </c>
      <c r="J38" s="11" t="n">
        <v>46016</v>
      </c>
      <c r="K38" s="1" t="s">
        <v>95</v>
      </c>
      <c r="L38" s="12" t="n">
        <v>30000000</v>
      </c>
      <c r="M38" s="1" t="s">
        <v>281</v>
      </c>
      <c r="N38" s="1" t="n">
        <v>4</v>
      </c>
      <c r="O38" s="1" t="s">
        <v>120</v>
      </c>
      <c r="P38" s="1" t="n">
        <f aca="false">COUNTIF(02_OUTPUT_ALL!$B:$B,A38)</f>
        <v>4</v>
      </c>
      <c r="Q38" s="1" t="s">
        <v>260</v>
      </c>
      <c r="R38" s="1" t="s">
        <v>287</v>
      </c>
    </row>
    <row r="39" customFormat="false" ht="15" hidden="false" customHeight="false" outlineLevel="0" collapsed="false">
      <c r="A39" s="1" t="s">
        <v>288</v>
      </c>
      <c r="B39" s="1" t="n">
        <v>2025</v>
      </c>
      <c r="C39" s="1" t="s">
        <v>289</v>
      </c>
      <c r="D39" s="1" t="s">
        <v>290</v>
      </c>
      <c r="E39" s="1" t="s">
        <v>77</v>
      </c>
      <c r="F39" s="1" t="s">
        <v>156</v>
      </c>
      <c r="G39" s="1" t="s">
        <v>280</v>
      </c>
      <c r="H39" s="1" t="s">
        <v>291</v>
      </c>
      <c r="I39" s="1" t="s">
        <v>159</v>
      </c>
      <c r="J39" s="11" t="n">
        <v>46016</v>
      </c>
      <c r="K39" s="1" t="s">
        <v>292</v>
      </c>
      <c r="L39" s="12" t="n">
        <v>80000000</v>
      </c>
      <c r="M39" s="1" t="s">
        <v>293</v>
      </c>
      <c r="N39" s="1" t="n">
        <v>5</v>
      </c>
      <c r="O39" s="1" t="s">
        <v>294</v>
      </c>
      <c r="P39" s="1" t="n">
        <f aca="false">COUNTIF(02_OUTPUT_ALL!$B:$B,A39)</f>
        <v>3</v>
      </c>
      <c r="Q39" s="1" t="s">
        <v>260</v>
      </c>
      <c r="R39" s="1" t="s">
        <v>295</v>
      </c>
    </row>
    <row r="40" customFormat="false" ht="15" hidden="false" customHeight="false" outlineLevel="0" collapsed="false">
      <c r="J40" s="11"/>
      <c r="L40" s="12"/>
    </row>
    <row r="41" customFormat="false" ht="15" hidden="false" customHeight="false" outlineLevel="0" collapsed="false">
      <c r="J41" s="11"/>
      <c r="L41" s="12"/>
    </row>
    <row r="42" customFormat="false" ht="15" hidden="false" customHeight="false" outlineLevel="0" collapsed="false">
      <c r="J42" s="11"/>
      <c r="L42" s="12"/>
    </row>
    <row r="43" customFormat="false" ht="15" hidden="false" customHeight="false" outlineLevel="0" collapsed="false">
      <c r="J43" s="11"/>
      <c r="L43" s="12"/>
    </row>
    <row r="44" customFormat="false" ht="15" hidden="false" customHeight="false" outlineLevel="0" collapsed="false">
      <c r="J44" s="11"/>
      <c r="L44" s="12"/>
    </row>
    <row r="45" customFormat="false" ht="15" hidden="false" customHeight="false" outlineLevel="0" collapsed="false">
      <c r="J45" s="11"/>
      <c r="L45" s="12"/>
    </row>
    <row r="46" customFormat="false" ht="15" hidden="false" customHeight="false" outlineLevel="0" collapsed="false">
      <c r="J46" s="11"/>
      <c r="L46" s="12"/>
    </row>
    <row r="47" customFormat="false" ht="15" hidden="false" customHeight="false" outlineLevel="0" collapsed="false">
      <c r="J47" s="11"/>
      <c r="L47" s="12"/>
    </row>
    <row r="48" customFormat="false" ht="15" hidden="false" customHeight="false" outlineLevel="0" collapsed="false">
      <c r="J48" s="11"/>
      <c r="L48" s="12"/>
    </row>
    <row r="49" customFormat="false" ht="15" hidden="false" customHeight="false" outlineLevel="0" collapsed="false">
      <c r="J49" s="11"/>
      <c r="L49" s="12"/>
    </row>
    <row r="50" customFormat="false" ht="15" hidden="false" customHeight="false" outlineLevel="0" collapsed="false">
      <c r="J50" s="11"/>
      <c r="L50" s="12"/>
    </row>
    <row r="51" customFormat="false" ht="15" hidden="false" customHeight="false" outlineLevel="0" collapsed="false">
      <c r="J51" s="11"/>
      <c r="L51" s="12"/>
    </row>
    <row r="52" customFormat="false" ht="15" hidden="false" customHeight="false" outlineLevel="0" collapsed="false">
      <c r="J52" s="11"/>
      <c r="L52" s="12"/>
    </row>
    <row r="53" customFormat="false" ht="15" hidden="false" customHeight="false" outlineLevel="0" collapsed="false">
      <c r="J53" s="11"/>
      <c r="L53" s="12"/>
    </row>
    <row r="54" customFormat="false" ht="15" hidden="false" customHeight="false" outlineLevel="0" collapsed="false">
      <c r="J54" s="11"/>
      <c r="L54" s="12"/>
    </row>
    <row r="55" customFormat="false" ht="15" hidden="false" customHeight="false" outlineLevel="0" collapsed="false">
      <c r="J55" s="11"/>
      <c r="L55" s="12"/>
    </row>
    <row r="56" customFormat="false" ht="15" hidden="false" customHeight="false" outlineLevel="0" collapsed="false">
      <c r="J56" s="11"/>
      <c r="L56" s="12"/>
    </row>
    <row r="57" customFormat="false" ht="15" hidden="false" customHeight="false" outlineLevel="0" collapsed="false">
      <c r="J57" s="11"/>
      <c r="L57" s="12"/>
    </row>
    <row r="58" customFormat="false" ht="15" hidden="false" customHeight="false" outlineLevel="0" collapsed="false">
      <c r="J58" s="11"/>
      <c r="L58" s="12"/>
    </row>
    <row r="59" customFormat="false" ht="15" hidden="false" customHeight="false" outlineLevel="0" collapsed="false">
      <c r="J59" s="11"/>
      <c r="L59" s="12"/>
    </row>
    <row r="60" customFormat="false" ht="15" hidden="false" customHeight="false" outlineLevel="0" collapsed="false">
      <c r="J60" s="11"/>
      <c r="L60" s="12"/>
    </row>
    <row r="61" customFormat="false" ht="15" hidden="false" customHeight="false" outlineLevel="0" collapsed="false">
      <c r="J61" s="11"/>
      <c r="L61" s="12"/>
    </row>
    <row r="62" customFormat="false" ht="15" hidden="false" customHeight="false" outlineLevel="0" collapsed="false">
      <c r="J62" s="11"/>
      <c r="L62" s="12"/>
    </row>
    <row r="63" customFormat="false" ht="15" hidden="false" customHeight="false" outlineLevel="0" collapsed="false">
      <c r="J63" s="11"/>
      <c r="L63" s="12"/>
    </row>
    <row r="64" customFormat="false" ht="15" hidden="false" customHeight="false" outlineLevel="0" collapsed="false">
      <c r="J64" s="11"/>
      <c r="L64" s="12"/>
    </row>
    <row r="65" customFormat="false" ht="15" hidden="false" customHeight="false" outlineLevel="0" collapsed="false">
      <c r="J65" s="11"/>
      <c r="L65" s="12"/>
    </row>
    <row r="66" customFormat="false" ht="15" hidden="false" customHeight="false" outlineLevel="0" collapsed="false">
      <c r="J66" s="11"/>
      <c r="L66" s="12"/>
    </row>
    <row r="67" customFormat="false" ht="15" hidden="false" customHeight="false" outlineLevel="0" collapsed="false">
      <c r="J67" s="11"/>
      <c r="L67" s="12"/>
    </row>
    <row r="68" customFormat="false" ht="15" hidden="false" customHeight="false" outlineLevel="0" collapsed="false">
      <c r="J68" s="11"/>
      <c r="L68" s="12"/>
    </row>
    <row r="69" customFormat="false" ht="15" hidden="false" customHeight="false" outlineLevel="0" collapsed="false">
      <c r="J69" s="11"/>
      <c r="L69" s="12"/>
    </row>
    <row r="70" customFormat="false" ht="15" hidden="false" customHeight="false" outlineLevel="0" collapsed="false">
      <c r="J70" s="11"/>
      <c r="L70" s="12"/>
    </row>
    <row r="71" customFormat="false" ht="15" hidden="false" customHeight="false" outlineLevel="0" collapsed="false">
      <c r="J71" s="11"/>
      <c r="L71" s="12"/>
    </row>
    <row r="72" customFormat="false" ht="15" hidden="false" customHeight="false" outlineLevel="0" collapsed="false">
      <c r="J72" s="11"/>
      <c r="L72" s="12"/>
    </row>
    <row r="73" customFormat="false" ht="15" hidden="false" customHeight="false" outlineLevel="0" collapsed="false">
      <c r="J73" s="11"/>
      <c r="L73" s="12"/>
    </row>
    <row r="74" customFormat="false" ht="15" hidden="false" customHeight="false" outlineLevel="0" collapsed="false">
      <c r="J74" s="11"/>
      <c r="L74" s="12"/>
    </row>
    <row r="75" customFormat="false" ht="15" hidden="false" customHeight="false" outlineLevel="0" collapsed="false">
      <c r="J75" s="11"/>
      <c r="L75" s="12"/>
    </row>
    <row r="76" customFormat="false" ht="15" hidden="false" customHeight="false" outlineLevel="0" collapsed="false">
      <c r="J76" s="11"/>
      <c r="L76" s="12"/>
    </row>
    <row r="77" customFormat="false" ht="15" hidden="false" customHeight="false" outlineLevel="0" collapsed="false">
      <c r="J77" s="11"/>
      <c r="L77" s="12"/>
    </row>
    <row r="78" customFormat="false" ht="15" hidden="false" customHeight="false" outlineLevel="0" collapsed="false">
      <c r="J78" s="11"/>
      <c r="L78" s="12"/>
    </row>
    <row r="79" customFormat="false" ht="15" hidden="false" customHeight="false" outlineLevel="0" collapsed="false">
      <c r="J79" s="11"/>
      <c r="L79" s="12"/>
    </row>
    <row r="80" customFormat="false" ht="15" hidden="false" customHeight="false" outlineLevel="0" collapsed="false">
      <c r="J80" s="11"/>
      <c r="L80" s="12"/>
    </row>
    <row r="81" customFormat="false" ht="15" hidden="false" customHeight="false" outlineLevel="0" collapsed="false">
      <c r="J81" s="11"/>
      <c r="L81" s="12"/>
    </row>
    <row r="82" customFormat="false" ht="15" hidden="false" customHeight="false" outlineLevel="0" collapsed="false">
      <c r="J82" s="11"/>
      <c r="L82" s="12"/>
    </row>
    <row r="83" customFormat="false" ht="15" hidden="false" customHeight="false" outlineLevel="0" collapsed="false">
      <c r="J83" s="11"/>
      <c r="L83" s="12"/>
    </row>
    <row r="84" customFormat="false" ht="15" hidden="false" customHeight="false" outlineLevel="0" collapsed="false">
      <c r="J84" s="11"/>
      <c r="L84" s="12"/>
    </row>
    <row r="85" customFormat="false" ht="15" hidden="false" customHeight="false" outlineLevel="0" collapsed="false">
      <c r="J85" s="11"/>
      <c r="L85" s="12"/>
    </row>
    <row r="86" customFormat="false" ht="15" hidden="false" customHeight="false" outlineLevel="0" collapsed="false">
      <c r="J86" s="11"/>
      <c r="L86" s="12"/>
    </row>
    <row r="87" customFormat="false" ht="15" hidden="false" customHeight="false" outlineLevel="0" collapsed="false">
      <c r="J87" s="11"/>
      <c r="L87" s="12"/>
    </row>
    <row r="88" customFormat="false" ht="15" hidden="false" customHeight="false" outlineLevel="0" collapsed="false">
      <c r="J88" s="11"/>
      <c r="L88" s="12"/>
    </row>
    <row r="89" customFormat="false" ht="15" hidden="false" customHeight="false" outlineLevel="0" collapsed="false">
      <c r="J89" s="11"/>
      <c r="L89" s="12"/>
    </row>
    <row r="90" customFormat="false" ht="15" hidden="false" customHeight="false" outlineLevel="0" collapsed="false">
      <c r="J90" s="11"/>
      <c r="L90" s="12"/>
    </row>
    <row r="91" customFormat="false" ht="15" hidden="false" customHeight="false" outlineLevel="0" collapsed="false">
      <c r="J91" s="11"/>
      <c r="L91" s="12"/>
    </row>
    <row r="92" customFormat="false" ht="15" hidden="false" customHeight="false" outlineLevel="0" collapsed="false">
      <c r="J92" s="11"/>
      <c r="L92" s="12"/>
    </row>
    <row r="93" customFormat="false" ht="15" hidden="false" customHeight="false" outlineLevel="0" collapsed="false">
      <c r="J93" s="11"/>
      <c r="L93" s="12"/>
    </row>
    <row r="94" customFormat="false" ht="15" hidden="false" customHeight="false" outlineLevel="0" collapsed="false">
      <c r="J94" s="11"/>
      <c r="L94" s="12"/>
    </row>
    <row r="95" customFormat="false" ht="15" hidden="false" customHeight="false" outlineLevel="0" collapsed="false">
      <c r="J95" s="11"/>
      <c r="L95" s="12"/>
    </row>
    <row r="96" customFormat="false" ht="15" hidden="false" customHeight="false" outlineLevel="0" collapsed="false">
      <c r="J96" s="11"/>
      <c r="L96" s="12"/>
    </row>
    <row r="97" customFormat="false" ht="15" hidden="false" customHeight="false" outlineLevel="0" collapsed="false">
      <c r="J97" s="11"/>
      <c r="L97" s="12"/>
    </row>
    <row r="98" customFormat="false" ht="15" hidden="false" customHeight="false" outlineLevel="0" collapsed="false">
      <c r="J98" s="11"/>
      <c r="L98" s="12"/>
    </row>
    <row r="99" customFormat="false" ht="15" hidden="false" customHeight="false" outlineLevel="0" collapsed="false">
      <c r="J99" s="11"/>
      <c r="L99" s="12"/>
    </row>
    <row r="100" customFormat="false" ht="15" hidden="false" customHeight="false" outlineLevel="0" collapsed="false">
      <c r="J100" s="11"/>
      <c r="L100"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8"/>
    <col collapsed="false" customWidth="true" hidden="false" outlineLevel="0" max="4" min="4" style="1" width="58"/>
    <col collapsed="false" customWidth="true" hidden="false" outlineLevel="0" max="5" min="5" style="1" width="24"/>
    <col collapsed="false" customWidth="true" hidden="false" outlineLevel="0" max="6" min="6" style="1" width="10"/>
    <col collapsed="false" customWidth="true" hidden="false" outlineLevel="0" max="7" min="7" style="1" width="16"/>
    <col collapsed="false" customWidth="true" hidden="false" outlineLevel="0" max="8" min="8" style="1" width="32"/>
    <col collapsed="false" customWidth="true" hidden="false" outlineLevel="0" max="9" min="9" style="1" width="14"/>
    <col collapsed="false" customWidth="true" hidden="false" outlineLevel="0" max="10" min="10" style="1" width="42"/>
    <col collapsed="false" customWidth="true" hidden="false" outlineLevel="0" max="11" min="11" style="1" width="16"/>
    <col collapsed="false" customWidth="true" hidden="false" outlineLevel="0" max="12" min="12" style="1" width="18"/>
    <col collapsed="false" customWidth="true" hidden="false" outlineLevel="0" max="13" min="13" style="1" width="20"/>
    <col collapsed="false" customWidth="true" hidden="false" outlineLevel="0" max="15" min="14" style="1" width="48"/>
    <col collapsed="false" customWidth="true" hidden="false" outlineLevel="0" max="17" min="16" style="1" width="30"/>
  </cols>
  <sheetData>
    <row r="1" customFormat="false" ht="28.35" hidden="false" customHeight="false" outlineLevel="0" collapsed="false">
      <c r="A1" s="3" t="s">
        <v>296</v>
      </c>
      <c r="B1" s="3" t="s">
        <v>56</v>
      </c>
      <c r="C1" s="3" t="s">
        <v>297</v>
      </c>
      <c r="D1" s="3" t="s">
        <v>298</v>
      </c>
      <c r="E1" s="3" t="s">
        <v>299</v>
      </c>
      <c r="F1" s="3" t="s">
        <v>300</v>
      </c>
      <c r="G1" s="3" t="s">
        <v>301</v>
      </c>
      <c r="H1" s="3" t="s">
        <v>302</v>
      </c>
      <c r="I1" s="3" t="s">
        <v>303</v>
      </c>
      <c r="J1" s="3" t="s">
        <v>304</v>
      </c>
      <c r="K1" s="3" t="s">
        <v>305</v>
      </c>
      <c r="L1" s="3" t="s">
        <v>306</v>
      </c>
      <c r="M1" s="3" t="s">
        <v>307</v>
      </c>
      <c r="N1" s="3" t="s">
        <v>72</v>
      </c>
      <c r="O1" s="3" t="s">
        <v>308</v>
      </c>
      <c r="P1" s="9" t="s">
        <v>309</v>
      </c>
      <c r="Q1" s="9" t="s">
        <v>310</v>
      </c>
    </row>
    <row r="2" customFormat="false" ht="15" hidden="false" customHeight="false" outlineLevel="0" collapsed="false">
      <c r="A2" s="1" t="s">
        <v>311</v>
      </c>
      <c r="B2" s="1" t="s">
        <v>74</v>
      </c>
      <c r="C2" s="1" t="n">
        <v>2021</v>
      </c>
      <c r="D2" s="1" t="s">
        <v>312</v>
      </c>
      <c r="E2" s="1" t="s">
        <v>313</v>
      </c>
      <c r="F2" s="1" t="n">
        <v>1</v>
      </c>
      <c r="G2" s="1" t="s">
        <v>314</v>
      </c>
      <c r="H2" s="1" t="s">
        <v>315</v>
      </c>
      <c r="I2" s="1" t="s">
        <v>120</v>
      </c>
      <c r="J2" s="1" t="s">
        <v>316</v>
      </c>
      <c r="K2" s="13" t="s">
        <v>317</v>
      </c>
      <c r="L2" s="1" t="s">
        <v>318</v>
      </c>
      <c r="M2" s="1" t="s">
        <v>319</v>
      </c>
      <c r="N2" s="1" t="s">
        <v>85</v>
      </c>
      <c r="P2" s="14" t="str">
        <f aca="false">IFERROR(VLOOKUP($E2,09B_MAP_LOAI_DAURA!$A$5:$C$18,2,0),"KHÔNG CÓ TRONG TỪ ĐIỂN")</f>
        <v>Báo cáo tổng kết đề tài</v>
      </c>
      <c r="Q2" s="14" t="str">
        <f aca="false">IFERROR(VLOOKUP($E2,09B_MAP_LOAI_DAURA!$A$5:$C$18,3,0),"KHÔNG CÓ TRONG TỪ ĐIỂN")</f>
        <v>Bắt buộc hành chính</v>
      </c>
    </row>
    <row r="3" customFormat="false" ht="15" hidden="false" customHeight="false" outlineLevel="0" collapsed="false">
      <c r="A3" s="1" t="s">
        <v>320</v>
      </c>
      <c r="B3" s="1" t="s">
        <v>87</v>
      </c>
      <c r="C3" s="1" t="n">
        <v>2021</v>
      </c>
      <c r="D3" s="1" t="s">
        <v>312</v>
      </c>
      <c r="E3" s="1" t="s">
        <v>313</v>
      </c>
      <c r="F3" s="1" t="n">
        <v>1</v>
      </c>
      <c r="G3" s="1" t="s">
        <v>314</v>
      </c>
      <c r="H3" s="1" t="s">
        <v>315</v>
      </c>
      <c r="I3" s="1" t="s">
        <v>120</v>
      </c>
      <c r="J3" s="1" t="s">
        <v>316</v>
      </c>
      <c r="K3" s="13" t="s">
        <v>317</v>
      </c>
      <c r="L3" s="1" t="s">
        <v>318</v>
      </c>
      <c r="M3" s="1" t="s">
        <v>319</v>
      </c>
      <c r="N3" s="1" t="s">
        <v>85</v>
      </c>
      <c r="P3" s="14" t="str">
        <f aca="false">IFERROR(VLOOKUP($E3,09B_MAP_LOAI_DAURA!$A$5:$C$18,2,0),"KHÔNG CÓ TRONG TỪ ĐIỂN")</f>
        <v>Báo cáo tổng kết đề tài</v>
      </c>
      <c r="Q3" s="14" t="str">
        <f aca="false">IFERROR(VLOOKUP($E3,09B_MAP_LOAI_DAURA!$A$5:$C$18,3,0),"KHÔNG CÓ TRONG TỪ ĐIỂN")</f>
        <v>Bắt buộc hành chính</v>
      </c>
    </row>
    <row r="4" customFormat="false" ht="15" hidden="false" customHeight="false" outlineLevel="0" collapsed="false">
      <c r="A4" s="1" t="s">
        <v>321</v>
      </c>
      <c r="B4" s="1" t="s">
        <v>91</v>
      </c>
      <c r="C4" s="1" t="n">
        <v>2021</v>
      </c>
      <c r="D4" s="1" t="s">
        <v>312</v>
      </c>
      <c r="E4" s="1" t="s">
        <v>313</v>
      </c>
      <c r="F4" s="1" t="n">
        <v>1</v>
      </c>
      <c r="G4" s="1" t="s">
        <v>314</v>
      </c>
      <c r="H4" s="1" t="s">
        <v>315</v>
      </c>
      <c r="I4" s="1" t="s">
        <v>120</v>
      </c>
      <c r="J4" s="1" t="s">
        <v>316</v>
      </c>
      <c r="K4" s="13" t="s">
        <v>317</v>
      </c>
      <c r="L4" s="1" t="s">
        <v>318</v>
      </c>
      <c r="M4" s="1" t="s">
        <v>319</v>
      </c>
      <c r="N4" s="1" t="s">
        <v>85</v>
      </c>
      <c r="P4" s="14" t="str">
        <f aca="false">IFERROR(VLOOKUP($E4,09B_MAP_LOAI_DAURA!$A$5:$C$18,2,0),"KHÔNG CÓ TRONG TỪ ĐIỂN")</f>
        <v>Báo cáo tổng kết đề tài</v>
      </c>
      <c r="Q4" s="14" t="str">
        <f aca="false">IFERROR(VLOOKUP($E4,09B_MAP_LOAI_DAURA!$A$5:$C$18,3,0),"KHÔNG CÓ TRONG TỪ ĐIỂN")</f>
        <v>Bắt buộc hành chính</v>
      </c>
    </row>
    <row r="5" customFormat="false" ht="15" hidden="false" customHeight="false" outlineLevel="0" collapsed="false">
      <c r="A5" s="1" t="s">
        <v>322</v>
      </c>
      <c r="B5" s="1" t="s">
        <v>96</v>
      </c>
      <c r="C5" s="1" t="n">
        <v>2021</v>
      </c>
      <c r="D5" s="1" t="s">
        <v>312</v>
      </c>
      <c r="E5" s="1" t="s">
        <v>313</v>
      </c>
      <c r="F5" s="1" t="n">
        <v>1</v>
      </c>
      <c r="G5" s="1" t="s">
        <v>314</v>
      </c>
      <c r="H5" s="1" t="s">
        <v>315</v>
      </c>
      <c r="I5" s="1" t="s">
        <v>120</v>
      </c>
      <c r="J5" s="1" t="s">
        <v>316</v>
      </c>
      <c r="K5" s="13" t="s">
        <v>317</v>
      </c>
      <c r="L5" s="1" t="s">
        <v>318</v>
      </c>
      <c r="M5" s="1" t="s">
        <v>319</v>
      </c>
      <c r="N5" s="1" t="s">
        <v>85</v>
      </c>
      <c r="P5" s="14" t="str">
        <f aca="false">IFERROR(VLOOKUP($E5,09B_MAP_LOAI_DAURA!$A$5:$C$18,2,0),"KHÔNG CÓ TRONG TỪ ĐIỂN")</f>
        <v>Báo cáo tổng kết đề tài</v>
      </c>
      <c r="Q5" s="14" t="str">
        <f aca="false">IFERROR(VLOOKUP($E5,09B_MAP_LOAI_DAURA!$A$5:$C$18,3,0),"KHÔNG CÓ TRONG TỪ ĐIỂN")</f>
        <v>Bắt buộc hành chính</v>
      </c>
    </row>
    <row r="6" customFormat="false" ht="15" hidden="false" customHeight="false" outlineLevel="0" collapsed="false">
      <c r="A6" s="1" t="s">
        <v>323</v>
      </c>
      <c r="B6" s="1" t="s">
        <v>96</v>
      </c>
      <c r="C6" s="1" t="n">
        <v>2021</v>
      </c>
      <c r="D6" s="1" t="s">
        <v>324</v>
      </c>
      <c r="E6" s="1" t="s">
        <v>325</v>
      </c>
      <c r="F6" s="1" t="n">
        <v>1</v>
      </c>
      <c r="G6" s="1" t="s">
        <v>326</v>
      </c>
      <c r="H6" s="1" t="s">
        <v>327</v>
      </c>
      <c r="I6" s="1" t="s">
        <v>120</v>
      </c>
      <c r="J6" s="1" t="s">
        <v>316</v>
      </c>
      <c r="K6" s="13" t="s">
        <v>317</v>
      </c>
      <c r="L6" s="1" t="s">
        <v>318</v>
      </c>
      <c r="M6" s="1" t="s">
        <v>328</v>
      </c>
      <c r="N6" s="1" t="s">
        <v>85</v>
      </c>
      <c r="P6" s="14" t="str">
        <f aca="false">IFERROR(VLOOKUP($E6,09B_MAP_LOAI_DAURA!$A$5:$C$18,2,0),"KHÔNG CÓ TRONG TỪ ĐIỂN")</f>
        <v>Công bố khoa học</v>
      </c>
      <c r="Q6" s="14" t="str">
        <f aca="false">IFERROR(VLOOKUP($E6,09B_MAP_LOAI_DAURA!$A$5:$C$18,3,0),"KHÔNG CÓ TRONG TỪ ĐIỂN")</f>
        <v>Công bố</v>
      </c>
    </row>
    <row r="7" customFormat="false" ht="15" hidden="false" customHeight="false" outlineLevel="0" collapsed="false">
      <c r="A7" s="1" t="s">
        <v>329</v>
      </c>
      <c r="B7" s="1" t="s">
        <v>96</v>
      </c>
      <c r="C7" s="1" t="n">
        <v>2021</v>
      </c>
      <c r="D7" s="1" t="s">
        <v>330</v>
      </c>
      <c r="E7" s="1" t="s">
        <v>325</v>
      </c>
      <c r="F7" s="1" t="n">
        <v>1</v>
      </c>
      <c r="G7" s="1" t="s">
        <v>326</v>
      </c>
      <c r="H7" s="1" t="s">
        <v>327</v>
      </c>
      <c r="I7" s="1" t="s">
        <v>120</v>
      </c>
      <c r="J7" s="1" t="s">
        <v>316</v>
      </c>
      <c r="K7" s="13" t="s">
        <v>317</v>
      </c>
      <c r="L7" s="1" t="s">
        <v>318</v>
      </c>
      <c r="M7" s="1" t="s">
        <v>328</v>
      </c>
      <c r="N7" s="1" t="s">
        <v>85</v>
      </c>
      <c r="P7" s="14" t="str">
        <f aca="false">IFERROR(VLOOKUP($E7,09B_MAP_LOAI_DAURA!$A$5:$C$18,2,0),"KHÔNG CÓ TRONG TỪ ĐIỂN")</f>
        <v>Công bố khoa học</v>
      </c>
      <c r="Q7" s="14" t="str">
        <f aca="false">IFERROR(VLOOKUP($E7,09B_MAP_LOAI_DAURA!$A$5:$C$18,3,0),"KHÔNG CÓ TRONG TỪ ĐIỂN")</f>
        <v>Công bố</v>
      </c>
    </row>
    <row r="8" customFormat="false" ht="15" hidden="false" customHeight="false" outlineLevel="0" collapsed="false">
      <c r="A8" s="1" t="s">
        <v>331</v>
      </c>
      <c r="B8" s="1" t="s">
        <v>102</v>
      </c>
      <c r="C8" s="1" t="n">
        <v>2021</v>
      </c>
      <c r="D8" s="1" t="s">
        <v>312</v>
      </c>
      <c r="E8" s="1" t="s">
        <v>313</v>
      </c>
      <c r="F8" s="1" t="n">
        <v>1</v>
      </c>
      <c r="G8" s="1" t="s">
        <v>314</v>
      </c>
      <c r="H8" s="1" t="s">
        <v>315</v>
      </c>
      <c r="I8" s="1" t="s">
        <v>120</v>
      </c>
      <c r="J8" s="1" t="s">
        <v>316</v>
      </c>
      <c r="K8" s="13" t="s">
        <v>317</v>
      </c>
      <c r="L8" s="1" t="s">
        <v>318</v>
      </c>
      <c r="M8" s="1" t="s">
        <v>319</v>
      </c>
      <c r="N8" s="1" t="s">
        <v>106</v>
      </c>
      <c r="P8" s="14" t="str">
        <f aca="false">IFERROR(VLOOKUP($E8,09B_MAP_LOAI_DAURA!$A$5:$C$18,2,0),"KHÔNG CÓ TRONG TỪ ĐIỂN")</f>
        <v>Báo cáo tổng kết đề tài</v>
      </c>
      <c r="Q8" s="14" t="str">
        <f aca="false">IFERROR(VLOOKUP($E8,09B_MAP_LOAI_DAURA!$A$5:$C$18,3,0),"KHÔNG CÓ TRONG TỪ ĐIỂN")</f>
        <v>Bắt buộc hành chính</v>
      </c>
    </row>
    <row r="9" customFormat="false" ht="15" hidden="false" customHeight="false" outlineLevel="0" collapsed="false">
      <c r="A9" s="1" t="s">
        <v>332</v>
      </c>
      <c r="B9" s="1" t="s">
        <v>102</v>
      </c>
      <c r="C9" s="1" t="n">
        <v>2021</v>
      </c>
      <c r="D9" s="1" t="s">
        <v>324</v>
      </c>
      <c r="E9" s="1" t="s">
        <v>325</v>
      </c>
      <c r="F9" s="1" t="n">
        <v>1</v>
      </c>
      <c r="G9" s="1" t="s">
        <v>326</v>
      </c>
      <c r="H9" s="1" t="s">
        <v>327</v>
      </c>
      <c r="I9" s="1" t="s">
        <v>120</v>
      </c>
      <c r="J9" s="1" t="s">
        <v>316</v>
      </c>
      <c r="K9" s="13" t="s">
        <v>317</v>
      </c>
      <c r="L9" s="1" t="s">
        <v>318</v>
      </c>
      <c r="M9" s="1" t="s">
        <v>328</v>
      </c>
      <c r="N9" s="1" t="s">
        <v>106</v>
      </c>
      <c r="P9" s="14" t="str">
        <f aca="false">IFERROR(VLOOKUP($E9,09B_MAP_LOAI_DAURA!$A$5:$C$18,2,0),"KHÔNG CÓ TRONG TỪ ĐIỂN")</f>
        <v>Công bố khoa học</v>
      </c>
      <c r="Q9" s="14" t="str">
        <f aca="false">IFERROR(VLOOKUP($E9,09B_MAP_LOAI_DAURA!$A$5:$C$18,3,0),"KHÔNG CÓ TRONG TỪ ĐIỂN")</f>
        <v>Công bố</v>
      </c>
    </row>
    <row r="10" customFormat="false" ht="15" hidden="false" customHeight="false" outlineLevel="0" collapsed="false">
      <c r="A10" s="1" t="s">
        <v>333</v>
      </c>
      <c r="B10" s="1" t="s">
        <v>102</v>
      </c>
      <c r="C10" s="1" t="n">
        <v>2021</v>
      </c>
      <c r="D10" s="1" t="s">
        <v>330</v>
      </c>
      <c r="E10" s="1" t="s">
        <v>325</v>
      </c>
      <c r="F10" s="1" t="n">
        <v>2</v>
      </c>
      <c r="G10" s="1" t="s">
        <v>326</v>
      </c>
      <c r="H10" s="1" t="s">
        <v>327</v>
      </c>
      <c r="I10" s="1" t="s">
        <v>120</v>
      </c>
      <c r="J10" s="1" t="s">
        <v>316</v>
      </c>
      <c r="K10" s="13" t="s">
        <v>317</v>
      </c>
      <c r="L10" s="1" t="s">
        <v>318</v>
      </c>
      <c r="M10" s="1" t="s">
        <v>328</v>
      </c>
      <c r="N10" s="1" t="s">
        <v>106</v>
      </c>
      <c r="P10" s="14" t="str">
        <f aca="false">IFERROR(VLOOKUP($E10,09B_MAP_LOAI_DAURA!$A$5:$C$18,2,0),"KHÔNG CÓ TRONG TỪ ĐIỂN")</f>
        <v>Công bố khoa học</v>
      </c>
      <c r="Q10" s="14" t="str">
        <f aca="false">IFERROR(VLOOKUP($E10,09B_MAP_LOAI_DAURA!$A$5:$C$18,3,0),"KHÔNG CÓ TRONG TỪ ĐIỂN")</f>
        <v>Công bố</v>
      </c>
    </row>
    <row r="11" customFormat="false" ht="15" hidden="false" customHeight="false" outlineLevel="0" collapsed="false">
      <c r="A11" s="1" t="s">
        <v>334</v>
      </c>
      <c r="B11" s="1" t="s">
        <v>107</v>
      </c>
      <c r="C11" s="1" t="n">
        <v>2021</v>
      </c>
      <c r="D11" s="1" t="s">
        <v>312</v>
      </c>
      <c r="E11" s="1" t="s">
        <v>313</v>
      </c>
      <c r="F11" s="1" t="n">
        <v>1</v>
      </c>
      <c r="G11" s="1" t="s">
        <v>314</v>
      </c>
      <c r="H11" s="1" t="s">
        <v>315</v>
      </c>
      <c r="I11" s="1" t="s">
        <v>120</v>
      </c>
      <c r="J11" s="1" t="s">
        <v>316</v>
      </c>
      <c r="K11" s="13" t="s">
        <v>317</v>
      </c>
      <c r="L11" s="1" t="s">
        <v>318</v>
      </c>
      <c r="M11" s="1" t="s">
        <v>319</v>
      </c>
      <c r="N11" s="1" t="s">
        <v>106</v>
      </c>
      <c r="P11" s="14" t="str">
        <f aca="false">IFERROR(VLOOKUP($E11,09B_MAP_LOAI_DAURA!$A$5:$C$18,2,0),"KHÔNG CÓ TRONG TỪ ĐIỂN")</f>
        <v>Báo cáo tổng kết đề tài</v>
      </c>
      <c r="Q11" s="14" t="str">
        <f aca="false">IFERROR(VLOOKUP($E11,09B_MAP_LOAI_DAURA!$A$5:$C$18,3,0),"KHÔNG CÓ TRONG TỪ ĐIỂN")</f>
        <v>Bắt buộc hành chính</v>
      </c>
    </row>
    <row r="12" customFormat="false" ht="15" hidden="false" customHeight="false" outlineLevel="0" collapsed="false">
      <c r="A12" s="1" t="s">
        <v>335</v>
      </c>
      <c r="B12" s="1" t="s">
        <v>107</v>
      </c>
      <c r="C12" s="1" t="n">
        <v>2021</v>
      </c>
      <c r="D12" s="1" t="s">
        <v>330</v>
      </c>
      <c r="E12" s="1" t="s">
        <v>325</v>
      </c>
      <c r="F12" s="1" t="n">
        <v>1</v>
      </c>
      <c r="G12" s="1" t="s">
        <v>326</v>
      </c>
      <c r="H12" s="1" t="s">
        <v>327</v>
      </c>
      <c r="I12" s="1" t="s">
        <v>120</v>
      </c>
      <c r="J12" s="1" t="s">
        <v>316</v>
      </c>
      <c r="K12" s="13" t="s">
        <v>317</v>
      </c>
      <c r="L12" s="1" t="s">
        <v>318</v>
      </c>
      <c r="M12" s="1" t="s">
        <v>328</v>
      </c>
      <c r="N12" s="1" t="s">
        <v>106</v>
      </c>
      <c r="P12" s="14" t="str">
        <f aca="false">IFERROR(VLOOKUP($E12,09B_MAP_LOAI_DAURA!$A$5:$C$18,2,0),"KHÔNG CÓ TRONG TỪ ĐIỂN")</f>
        <v>Công bố khoa học</v>
      </c>
      <c r="Q12" s="14" t="str">
        <f aca="false">IFERROR(VLOOKUP($E12,09B_MAP_LOAI_DAURA!$A$5:$C$18,3,0),"KHÔNG CÓ TRONG TỪ ĐIỂN")</f>
        <v>Công bố</v>
      </c>
    </row>
    <row r="13" customFormat="false" ht="15" hidden="false" customHeight="false" outlineLevel="0" collapsed="false">
      <c r="A13" s="1" t="s">
        <v>336</v>
      </c>
      <c r="B13" s="1" t="s">
        <v>114</v>
      </c>
      <c r="C13" s="1" t="n">
        <v>2022</v>
      </c>
      <c r="D13" s="1" t="s">
        <v>337</v>
      </c>
      <c r="E13" s="1" t="s">
        <v>338</v>
      </c>
      <c r="F13" s="1" t="n">
        <v>1</v>
      </c>
      <c r="G13" s="1" t="s">
        <v>339</v>
      </c>
      <c r="H13" s="1" t="s">
        <v>315</v>
      </c>
      <c r="I13" s="1" t="s">
        <v>120</v>
      </c>
      <c r="J13" s="1" t="s">
        <v>340</v>
      </c>
      <c r="K13" s="13" t="s">
        <v>341</v>
      </c>
      <c r="L13" s="1" t="s">
        <v>120</v>
      </c>
      <c r="M13" s="1" t="s">
        <v>342</v>
      </c>
      <c r="N13" s="1" t="s">
        <v>106</v>
      </c>
      <c r="P13" s="14" t="str">
        <f aca="false">IFERROR(VLOOKUP($E13,09B_MAP_LOAI_DAURA!$A$5:$C$18,2,0),"KHÔNG CÓ TRONG TỪ ĐIỂN")</f>
        <v>Sản phẩm tổ chức/quản trị</v>
      </c>
      <c r="Q13" s="14" t="str">
        <f aca="false">IFERROR(VLOOKUP($E13,09B_MAP_LOAI_DAURA!$A$5:$C$18,3,0),"KHÔNG CÓ TRONG TỪ ĐIỂN")</f>
        <v>Khác/quản trị</v>
      </c>
    </row>
    <row r="14" customFormat="false" ht="15" hidden="false" customHeight="false" outlineLevel="0" collapsed="false">
      <c r="A14" s="1" t="s">
        <v>343</v>
      </c>
      <c r="B14" s="1" t="s">
        <v>122</v>
      </c>
      <c r="C14" s="1" t="n">
        <v>2022</v>
      </c>
      <c r="D14" s="1" t="s">
        <v>344</v>
      </c>
      <c r="E14" s="1" t="s">
        <v>345</v>
      </c>
      <c r="F14" s="1" t="n">
        <v>1</v>
      </c>
      <c r="G14" s="1" t="s">
        <v>346</v>
      </c>
      <c r="H14" s="1" t="s">
        <v>315</v>
      </c>
      <c r="I14" s="1" t="s">
        <v>120</v>
      </c>
      <c r="J14" s="1" t="s">
        <v>347</v>
      </c>
      <c r="K14" s="13" t="s">
        <v>341</v>
      </c>
      <c r="L14" s="1" t="s">
        <v>120</v>
      </c>
      <c r="M14" s="1" t="s">
        <v>319</v>
      </c>
      <c r="N14" s="1" t="s">
        <v>106</v>
      </c>
      <c r="P14" s="14" t="str">
        <f aca="false">IFERROR(VLOOKUP($E14,09B_MAP_LOAI_DAURA!$A$5:$C$18,2,0),"KHÔNG CÓ TRONG TỪ ĐIỂN")</f>
        <v>Sản phẩm tổ chức/quản trị</v>
      </c>
      <c r="Q14" s="14" t="str">
        <f aca="false">IFERROR(VLOOKUP($E14,09B_MAP_LOAI_DAURA!$A$5:$C$18,3,0),"KHÔNG CÓ TRONG TỪ ĐIỂN")</f>
        <v>Khác/quản trị</v>
      </c>
    </row>
    <row r="15" customFormat="false" ht="15" hidden="false" customHeight="false" outlineLevel="0" collapsed="false">
      <c r="A15" s="1" t="s">
        <v>348</v>
      </c>
      <c r="B15" s="1" t="s">
        <v>129</v>
      </c>
      <c r="C15" s="1" t="n">
        <v>2022</v>
      </c>
      <c r="D15" s="1" t="s">
        <v>312</v>
      </c>
      <c r="E15" s="1" t="s">
        <v>313</v>
      </c>
      <c r="F15" s="1" t="n">
        <v>1</v>
      </c>
      <c r="G15" s="1" t="s">
        <v>314</v>
      </c>
      <c r="H15" s="1" t="s">
        <v>315</v>
      </c>
      <c r="I15" s="1" t="s">
        <v>120</v>
      </c>
      <c r="J15" s="1" t="s">
        <v>316</v>
      </c>
      <c r="K15" s="13" t="s">
        <v>317</v>
      </c>
      <c r="L15" s="1" t="s">
        <v>318</v>
      </c>
      <c r="M15" s="1" t="s">
        <v>319</v>
      </c>
      <c r="N15" s="1" t="s">
        <v>106</v>
      </c>
      <c r="P15" s="14" t="str">
        <f aca="false">IFERROR(VLOOKUP($E15,09B_MAP_LOAI_DAURA!$A$5:$C$18,2,0),"KHÔNG CÓ TRONG TỪ ĐIỂN")</f>
        <v>Báo cáo tổng kết đề tài</v>
      </c>
      <c r="Q15" s="14" t="str">
        <f aca="false">IFERROR(VLOOKUP($E15,09B_MAP_LOAI_DAURA!$A$5:$C$18,3,0),"KHÔNG CÓ TRONG TỪ ĐIỂN")</f>
        <v>Bắt buộc hành chính</v>
      </c>
    </row>
    <row r="16" customFormat="false" ht="15" hidden="false" customHeight="false" outlineLevel="0" collapsed="false">
      <c r="A16" s="1" t="s">
        <v>349</v>
      </c>
      <c r="B16" s="1" t="s">
        <v>133</v>
      </c>
      <c r="C16" s="1" t="n">
        <v>2022</v>
      </c>
      <c r="D16" s="1" t="s">
        <v>312</v>
      </c>
      <c r="E16" s="1" t="s">
        <v>313</v>
      </c>
      <c r="F16" s="1" t="n">
        <v>1</v>
      </c>
      <c r="G16" s="1" t="s">
        <v>314</v>
      </c>
      <c r="H16" s="1" t="s">
        <v>315</v>
      </c>
      <c r="I16" s="1" t="s">
        <v>120</v>
      </c>
      <c r="J16" s="1" t="s">
        <v>316</v>
      </c>
      <c r="K16" s="13" t="s">
        <v>317</v>
      </c>
      <c r="L16" s="1" t="s">
        <v>318</v>
      </c>
      <c r="M16" s="1" t="s">
        <v>319</v>
      </c>
      <c r="N16" s="1" t="s">
        <v>136</v>
      </c>
      <c r="P16" s="14" t="str">
        <f aca="false">IFERROR(VLOOKUP($E16,09B_MAP_LOAI_DAURA!$A$5:$C$18,2,0),"KHÔNG CÓ TRONG TỪ ĐIỂN")</f>
        <v>Báo cáo tổng kết đề tài</v>
      </c>
      <c r="Q16" s="14" t="str">
        <f aca="false">IFERROR(VLOOKUP($E16,09B_MAP_LOAI_DAURA!$A$5:$C$18,3,0),"KHÔNG CÓ TRONG TỪ ĐIỂN")</f>
        <v>Bắt buộc hành chính</v>
      </c>
    </row>
    <row r="17" customFormat="false" ht="15" hidden="false" customHeight="false" outlineLevel="0" collapsed="false">
      <c r="A17" s="1" t="s">
        <v>350</v>
      </c>
      <c r="B17" s="1" t="s">
        <v>137</v>
      </c>
      <c r="C17" s="1" t="n">
        <v>2022</v>
      </c>
      <c r="D17" s="1" t="s">
        <v>312</v>
      </c>
      <c r="E17" s="1" t="s">
        <v>313</v>
      </c>
      <c r="F17" s="1" t="n">
        <v>1</v>
      </c>
      <c r="G17" s="1" t="s">
        <v>314</v>
      </c>
      <c r="H17" s="1" t="s">
        <v>315</v>
      </c>
      <c r="I17" s="1" t="s">
        <v>120</v>
      </c>
      <c r="J17" s="1" t="s">
        <v>316</v>
      </c>
      <c r="K17" s="13" t="s">
        <v>317</v>
      </c>
      <c r="L17" s="1" t="s">
        <v>318</v>
      </c>
      <c r="M17" s="1" t="s">
        <v>319</v>
      </c>
      <c r="N17" s="1" t="s">
        <v>136</v>
      </c>
      <c r="P17" s="14" t="str">
        <f aca="false">IFERROR(VLOOKUP($E17,09B_MAP_LOAI_DAURA!$A$5:$C$18,2,0),"KHÔNG CÓ TRONG TỪ ĐIỂN")</f>
        <v>Báo cáo tổng kết đề tài</v>
      </c>
      <c r="Q17" s="14" t="str">
        <f aca="false">IFERROR(VLOOKUP($E17,09B_MAP_LOAI_DAURA!$A$5:$C$18,3,0),"KHÔNG CÓ TRONG TỪ ĐIỂN")</f>
        <v>Bắt buộc hành chính</v>
      </c>
    </row>
    <row r="18" customFormat="false" ht="15" hidden="false" customHeight="false" outlineLevel="0" collapsed="false">
      <c r="A18" s="1" t="s">
        <v>351</v>
      </c>
      <c r="B18" s="1" t="s">
        <v>141</v>
      </c>
      <c r="C18" s="1" t="n">
        <v>2022</v>
      </c>
      <c r="D18" s="1" t="s">
        <v>312</v>
      </c>
      <c r="E18" s="1" t="s">
        <v>313</v>
      </c>
      <c r="F18" s="1" t="n">
        <v>1</v>
      </c>
      <c r="G18" s="1" t="s">
        <v>314</v>
      </c>
      <c r="H18" s="1" t="s">
        <v>315</v>
      </c>
      <c r="I18" s="1" t="s">
        <v>120</v>
      </c>
      <c r="J18" s="1" t="s">
        <v>316</v>
      </c>
      <c r="K18" s="13" t="s">
        <v>317</v>
      </c>
      <c r="L18" s="1" t="s">
        <v>318</v>
      </c>
      <c r="M18" s="1" t="s">
        <v>319</v>
      </c>
      <c r="N18" s="1" t="s">
        <v>136</v>
      </c>
      <c r="P18" s="14" t="str">
        <f aca="false">IFERROR(VLOOKUP($E18,09B_MAP_LOAI_DAURA!$A$5:$C$18,2,0),"KHÔNG CÓ TRONG TỪ ĐIỂN")</f>
        <v>Báo cáo tổng kết đề tài</v>
      </c>
      <c r="Q18" s="14" t="str">
        <f aca="false">IFERROR(VLOOKUP($E18,09B_MAP_LOAI_DAURA!$A$5:$C$18,3,0),"KHÔNG CÓ TRONG TỪ ĐIỂN")</f>
        <v>Bắt buộc hành chính</v>
      </c>
    </row>
    <row r="19" customFormat="false" ht="15" hidden="false" customHeight="false" outlineLevel="0" collapsed="false">
      <c r="A19" s="1" t="s">
        <v>352</v>
      </c>
      <c r="B19" s="1" t="s">
        <v>145</v>
      </c>
      <c r="C19" s="1" t="n">
        <v>2022</v>
      </c>
      <c r="D19" s="1" t="s">
        <v>312</v>
      </c>
      <c r="E19" s="1" t="s">
        <v>313</v>
      </c>
      <c r="F19" s="1" t="n">
        <v>1</v>
      </c>
      <c r="G19" s="1" t="s">
        <v>314</v>
      </c>
      <c r="H19" s="1" t="s">
        <v>315</v>
      </c>
      <c r="I19" s="1" t="s">
        <v>120</v>
      </c>
      <c r="J19" s="1" t="s">
        <v>316</v>
      </c>
      <c r="K19" s="13" t="s">
        <v>317</v>
      </c>
      <c r="L19" s="1" t="s">
        <v>318</v>
      </c>
      <c r="M19" s="1" t="s">
        <v>319</v>
      </c>
      <c r="N19" s="1" t="s">
        <v>136</v>
      </c>
      <c r="P19" s="14" t="str">
        <f aca="false">IFERROR(VLOOKUP($E19,09B_MAP_LOAI_DAURA!$A$5:$C$18,2,0),"KHÔNG CÓ TRONG TỪ ĐIỂN")</f>
        <v>Báo cáo tổng kết đề tài</v>
      </c>
      <c r="Q19" s="14" t="str">
        <f aca="false">IFERROR(VLOOKUP($E19,09B_MAP_LOAI_DAURA!$A$5:$C$18,3,0),"KHÔNG CÓ TRONG TỪ ĐIỂN")</f>
        <v>Bắt buộc hành chính</v>
      </c>
    </row>
    <row r="20" customFormat="false" ht="15" hidden="false" customHeight="false" outlineLevel="0" collapsed="false">
      <c r="A20" s="1" t="s">
        <v>353</v>
      </c>
      <c r="B20" s="1" t="s">
        <v>145</v>
      </c>
      <c r="C20" s="1" t="n">
        <v>2022</v>
      </c>
      <c r="D20" s="1" t="s">
        <v>354</v>
      </c>
      <c r="E20" s="1" t="s">
        <v>355</v>
      </c>
      <c r="F20" s="1" t="n">
        <v>1</v>
      </c>
      <c r="G20" s="1" t="s">
        <v>356</v>
      </c>
      <c r="H20" s="1" t="s">
        <v>315</v>
      </c>
      <c r="I20" s="1" t="s">
        <v>120</v>
      </c>
      <c r="J20" s="1" t="s">
        <v>357</v>
      </c>
      <c r="K20" s="13" t="s">
        <v>358</v>
      </c>
      <c r="L20" s="1" t="s">
        <v>120</v>
      </c>
      <c r="M20" s="1" t="s">
        <v>319</v>
      </c>
      <c r="N20" s="1" t="s">
        <v>136</v>
      </c>
      <c r="P20" s="14" t="str">
        <f aca="false">IFERROR(VLOOKUP($E20,09B_MAP_LOAI_DAURA!$A$5:$C$18,2,0),"KHÔNG CÓ TRONG TỪ ĐIỂN")</f>
        <v>Sản phẩm/mô hình/prototype</v>
      </c>
      <c r="Q20" s="14" t="str">
        <f aca="false">IFERROR(VLOOKUP($E20,09B_MAP_LOAI_DAURA!$A$5:$C$18,3,0),"KHÔNG CÓ TRONG TỪ ĐIỂN")</f>
        <v>Ứng viên TSTT</v>
      </c>
    </row>
    <row r="21" customFormat="false" ht="15" hidden="false" customHeight="false" outlineLevel="0" collapsed="false">
      <c r="A21" s="1" t="s">
        <v>359</v>
      </c>
      <c r="B21" s="1" t="s">
        <v>153</v>
      </c>
      <c r="C21" s="1" t="n">
        <v>2022</v>
      </c>
      <c r="D21" s="1" t="s">
        <v>312</v>
      </c>
      <c r="E21" s="1" t="s">
        <v>313</v>
      </c>
      <c r="F21" s="1" t="n">
        <v>1</v>
      </c>
      <c r="G21" s="1" t="s">
        <v>314</v>
      </c>
      <c r="H21" s="1" t="s">
        <v>315</v>
      </c>
      <c r="I21" s="1" t="s">
        <v>120</v>
      </c>
      <c r="J21" s="1" t="s">
        <v>316</v>
      </c>
      <c r="K21" s="13" t="s">
        <v>317</v>
      </c>
      <c r="L21" s="1" t="s">
        <v>318</v>
      </c>
      <c r="M21" s="1" t="s">
        <v>319</v>
      </c>
      <c r="N21" s="1" t="s">
        <v>136</v>
      </c>
      <c r="P21" s="14" t="str">
        <f aca="false">IFERROR(VLOOKUP($E21,09B_MAP_LOAI_DAURA!$A$5:$C$18,2,0),"KHÔNG CÓ TRONG TỪ ĐIỂN")</f>
        <v>Báo cáo tổng kết đề tài</v>
      </c>
      <c r="Q21" s="14" t="str">
        <f aca="false">IFERROR(VLOOKUP($E21,09B_MAP_LOAI_DAURA!$A$5:$C$18,3,0),"KHÔNG CÓ TRONG TỪ ĐIỂN")</f>
        <v>Bắt buộc hành chính</v>
      </c>
    </row>
    <row r="22" customFormat="false" ht="15" hidden="false" customHeight="false" outlineLevel="0" collapsed="false">
      <c r="A22" s="1" t="s">
        <v>360</v>
      </c>
      <c r="B22" s="1" t="s">
        <v>153</v>
      </c>
      <c r="C22" s="1" t="n">
        <v>2022</v>
      </c>
      <c r="D22" s="1" t="s">
        <v>361</v>
      </c>
      <c r="E22" s="1" t="s">
        <v>362</v>
      </c>
      <c r="F22" s="1" t="n">
        <v>1</v>
      </c>
      <c r="G22" s="1" t="s">
        <v>363</v>
      </c>
      <c r="H22" s="1" t="s">
        <v>315</v>
      </c>
      <c r="I22" s="1" t="s">
        <v>120</v>
      </c>
      <c r="J22" s="1" t="s">
        <v>364</v>
      </c>
      <c r="K22" s="13" t="s">
        <v>358</v>
      </c>
      <c r="L22" s="1" t="s">
        <v>120</v>
      </c>
      <c r="M22" s="1" t="s">
        <v>319</v>
      </c>
      <c r="N22" s="1" t="s">
        <v>136</v>
      </c>
      <c r="P22" s="14" t="str">
        <f aca="false">IFERROR(VLOOKUP($E22,09B_MAP_LOAI_DAURA!$A$5:$C$18,2,0),"KHÔNG CÓ TRONG TỪ ĐIỂN")</f>
        <v>Sản phẩm/mô hình/prototype</v>
      </c>
      <c r="Q22" s="14" t="str">
        <f aca="false">IFERROR(VLOOKUP($E22,09B_MAP_LOAI_DAURA!$A$5:$C$18,3,0),"KHÔNG CÓ TRONG TỪ ĐIỂN")</f>
        <v>Ứng viên TSTT</v>
      </c>
    </row>
    <row r="23" customFormat="false" ht="15" hidden="false" customHeight="false" outlineLevel="0" collapsed="false">
      <c r="A23" s="1" t="s">
        <v>365</v>
      </c>
      <c r="B23" s="1" t="s">
        <v>160</v>
      </c>
      <c r="C23" s="1" t="n">
        <v>2022</v>
      </c>
      <c r="D23" s="1" t="s">
        <v>312</v>
      </c>
      <c r="E23" s="1" t="s">
        <v>313</v>
      </c>
      <c r="F23" s="1" t="n">
        <v>1</v>
      </c>
      <c r="G23" s="1" t="s">
        <v>314</v>
      </c>
      <c r="H23" s="1" t="s">
        <v>315</v>
      </c>
      <c r="I23" s="1" t="s">
        <v>120</v>
      </c>
      <c r="J23" s="1" t="s">
        <v>316</v>
      </c>
      <c r="K23" s="13" t="s">
        <v>317</v>
      </c>
      <c r="L23" s="1" t="s">
        <v>318</v>
      </c>
      <c r="M23" s="1" t="s">
        <v>319</v>
      </c>
      <c r="N23" s="1" t="s">
        <v>136</v>
      </c>
      <c r="P23" s="14" t="str">
        <f aca="false">IFERROR(VLOOKUP($E23,09B_MAP_LOAI_DAURA!$A$5:$C$18,2,0),"KHÔNG CÓ TRONG TỪ ĐIỂN")</f>
        <v>Báo cáo tổng kết đề tài</v>
      </c>
      <c r="Q23" s="14" t="str">
        <f aca="false">IFERROR(VLOOKUP($E23,09B_MAP_LOAI_DAURA!$A$5:$C$18,3,0),"KHÔNG CÓ TRONG TỪ ĐIỂN")</f>
        <v>Bắt buộc hành chính</v>
      </c>
    </row>
    <row r="24" customFormat="false" ht="15" hidden="false" customHeight="false" outlineLevel="0" collapsed="false">
      <c r="A24" s="1" t="s">
        <v>366</v>
      </c>
      <c r="B24" s="1" t="s">
        <v>160</v>
      </c>
      <c r="C24" s="1" t="n">
        <v>2022</v>
      </c>
      <c r="D24" s="1" t="s">
        <v>367</v>
      </c>
      <c r="E24" s="1" t="s">
        <v>368</v>
      </c>
      <c r="F24" s="1" t="n">
        <v>1</v>
      </c>
      <c r="G24" s="1" t="s">
        <v>369</v>
      </c>
      <c r="H24" s="1" t="s">
        <v>315</v>
      </c>
      <c r="I24" s="1" t="s">
        <v>120</v>
      </c>
      <c r="J24" s="1" t="s">
        <v>370</v>
      </c>
      <c r="K24" s="13" t="s">
        <v>341</v>
      </c>
      <c r="L24" s="1" t="s">
        <v>120</v>
      </c>
      <c r="M24" s="1" t="s">
        <v>319</v>
      </c>
      <c r="N24" s="1" t="s">
        <v>136</v>
      </c>
      <c r="P24" s="14" t="str">
        <f aca="false">IFERROR(VLOOKUP($E24,09B_MAP_LOAI_DAURA!$A$5:$C$18,2,0),"KHÔNG CÓ TRONG TỪ ĐIỂN")</f>
        <v>Bộ mẫu/CSDL/học liệu</v>
      </c>
      <c r="Q24" s="14" t="str">
        <f aca="false">IFERROR(VLOOKUP($E24,09B_MAP_LOAI_DAURA!$A$5:$C$18,3,0),"KHÔNG CÓ TRONG TỪ ĐIỂN")</f>
        <v>Ứng viên TSTT</v>
      </c>
    </row>
    <row r="25" customFormat="false" ht="15" hidden="false" customHeight="false" outlineLevel="0" collapsed="false">
      <c r="A25" s="1" t="s">
        <v>371</v>
      </c>
      <c r="B25" s="1" t="s">
        <v>165</v>
      </c>
      <c r="C25" s="1" t="n">
        <v>2022</v>
      </c>
      <c r="D25" s="1" t="s">
        <v>312</v>
      </c>
      <c r="E25" s="1" t="s">
        <v>313</v>
      </c>
      <c r="F25" s="1" t="n">
        <v>1</v>
      </c>
      <c r="G25" s="1" t="s">
        <v>314</v>
      </c>
      <c r="H25" s="1" t="s">
        <v>315</v>
      </c>
      <c r="I25" s="1" t="s">
        <v>120</v>
      </c>
      <c r="J25" s="1" t="s">
        <v>316</v>
      </c>
      <c r="K25" s="13" t="s">
        <v>317</v>
      </c>
      <c r="L25" s="1" t="s">
        <v>318</v>
      </c>
      <c r="M25" s="1" t="s">
        <v>319</v>
      </c>
      <c r="N25" s="1" t="s">
        <v>171</v>
      </c>
      <c r="P25" s="14" t="str">
        <f aca="false">IFERROR(VLOOKUP($E25,09B_MAP_LOAI_DAURA!$A$5:$C$18,2,0),"KHÔNG CÓ TRONG TỪ ĐIỂN")</f>
        <v>Báo cáo tổng kết đề tài</v>
      </c>
      <c r="Q25" s="14" t="str">
        <f aca="false">IFERROR(VLOOKUP($E25,09B_MAP_LOAI_DAURA!$A$5:$C$18,3,0),"KHÔNG CÓ TRONG TỪ ĐIỂN")</f>
        <v>Bắt buộc hành chính</v>
      </c>
    </row>
    <row r="26" customFormat="false" ht="15" hidden="false" customHeight="false" outlineLevel="0" collapsed="false">
      <c r="A26" s="1" t="s">
        <v>372</v>
      </c>
      <c r="B26" s="1" t="s">
        <v>165</v>
      </c>
      <c r="C26" s="1" t="n">
        <v>2022</v>
      </c>
      <c r="D26" s="1" t="s">
        <v>373</v>
      </c>
      <c r="E26" s="1" t="s">
        <v>325</v>
      </c>
      <c r="F26" s="1" t="n">
        <v>1</v>
      </c>
      <c r="G26" s="1" t="s">
        <v>326</v>
      </c>
      <c r="H26" s="1" t="s">
        <v>327</v>
      </c>
      <c r="I26" s="1" t="s">
        <v>120</v>
      </c>
      <c r="J26" s="1" t="s">
        <v>316</v>
      </c>
      <c r="K26" s="13" t="s">
        <v>317</v>
      </c>
      <c r="L26" s="1" t="s">
        <v>318</v>
      </c>
      <c r="M26" s="1" t="s">
        <v>328</v>
      </c>
      <c r="N26" s="1" t="s">
        <v>171</v>
      </c>
      <c r="P26" s="14" t="str">
        <f aca="false">IFERROR(VLOOKUP($E26,09B_MAP_LOAI_DAURA!$A$5:$C$18,2,0),"KHÔNG CÓ TRONG TỪ ĐIỂN")</f>
        <v>Công bố khoa học</v>
      </c>
      <c r="Q26" s="14" t="str">
        <f aca="false">IFERROR(VLOOKUP($E26,09B_MAP_LOAI_DAURA!$A$5:$C$18,3,0),"KHÔNG CÓ TRONG TỪ ĐIỂN")</f>
        <v>Công bố</v>
      </c>
    </row>
    <row r="27" customFormat="false" ht="15" hidden="false" customHeight="false" outlineLevel="0" collapsed="false">
      <c r="A27" s="1" t="s">
        <v>374</v>
      </c>
      <c r="B27" s="1" t="s">
        <v>172</v>
      </c>
      <c r="C27" s="1" t="n">
        <v>2023</v>
      </c>
      <c r="D27" s="1" t="s">
        <v>375</v>
      </c>
      <c r="E27" s="1" t="s">
        <v>325</v>
      </c>
      <c r="F27" s="1" t="n">
        <v>1</v>
      </c>
      <c r="G27" s="1" t="s">
        <v>326</v>
      </c>
      <c r="H27" s="1" t="s">
        <v>327</v>
      </c>
      <c r="I27" s="1" t="s">
        <v>120</v>
      </c>
      <c r="J27" s="1" t="s">
        <v>316</v>
      </c>
      <c r="K27" s="13" t="s">
        <v>317</v>
      </c>
      <c r="L27" s="1" t="s">
        <v>318</v>
      </c>
      <c r="M27" s="1" t="s">
        <v>328</v>
      </c>
      <c r="N27" s="1" t="s">
        <v>171</v>
      </c>
      <c r="P27" s="14" t="str">
        <f aca="false">IFERROR(VLOOKUP($E27,09B_MAP_LOAI_DAURA!$A$5:$C$18,2,0),"KHÔNG CÓ TRONG TỪ ĐIỂN")</f>
        <v>Công bố khoa học</v>
      </c>
      <c r="Q27" s="14" t="str">
        <f aca="false">IFERROR(VLOOKUP($E27,09B_MAP_LOAI_DAURA!$A$5:$C$18,3,0),"KHÔNG CÓ TRONG TỪ ĐIỂN")</f>
        <v>Công bố</v>
      </c>
    </row>
    <row r="28" customFormat="false" ht="15" hidden="false" customHeight="false" outlineLevel="0" collapsed="false">
      <c r="A28" s="1" t="s">
        <v>376</v>
      </c>
      <c r="B28" s="1" t="s">
        <v>172</v>
      </c>
      <c r="C28" s="1" t="n">
        <v>2023</v>
      </c>
      <c r="D28" s="1" t="s">
        <v>377</v>
      </c>
      <c r="E28" s="1" t="s">
        <v>313</v>
      </c>
      <c r="F28" s="1" t="n">
        <v>1</v>
      </c>
      <c r="G28" s="1" t="s">
        <v>314</v>
      </c>
      <c r="H28" s="1" t="s">
        <v>315</v>
      </c>
      <c r="I28" s="1" t="s">
        <v>120</v>
      </c>
      <c r="J28" s="1" t="s">
        <v>316</v>
      </c>
      <c r="K28" s="13" t="s">
        <v>317</v>
      </c>
      <c r="L28" s="1" t="s">
        <v>318</v>
      </c>
      <c r="M28" s="1" t="s">
        <v>319</v>
      </c>
      <c r="N28" s="1" t="s">
        <v>171</v>
      </c>
      <c r="P28" s="14" t="str">
        <f aca="false">IFERROR(VLOOKUP($E28,09B_MAP_LOAI_DAURA!$A$5:$C$18,2,0),"KHÔNG CÓ TRONG TỪ ĐIỂN")</f>
        <v>Báo cáo tổng kết đề tài</v>
      </c>
      <c r="Q28" s="14" t="str">
        <f aca="false">IFERROR(VLOOKUP($E28,09B_MAP_LOAI_DAURA!$A$5:$C$18,3,0),"KHÔNG CÓ TRONG TỪ ĐIỂN")</f>
        <v>Bắt buộc hành chính</v>
      </c>
    </row>
    <row r="29" customFormat="false" ht="15" hidden="false" customHeight="false" outlineLevel="0" collapsed="false">
      <c r="A29" s="1" t="s">
        <v>378</v>
      </c>
      <c r="B29" s="1" t="s">
        <v>172</v>
      </c>
      <c r="C29" s="1" t="n">
        <v>2023</v>
      </c>
      <c r="D29" s="1" t="s">
        <v>379</v>
      </c>
      <c r="E29" s="1" t="s">
        <v>380</v>
      </c>
      <c r="F29" s="1" t="n">
        <v>1</v>
      </c>
      <c r="G29" s="1" t="s">
        <v>381</v>
      </c>
      <c r="H29" s="1" t="s">
        <v>382</v>
      </c>
      <c r="I29" s="1" t="s">
        <v>120</v>
      </c>
      <c r="J29" s="1" t="s">
        <v>383</v>
      </c>
      <c r="K29" s="13" t="s">
        <v>341</v>
      </c>
      <c r="L29" s="1" t="s">
        <v>120</v>
      </c>
      <c r="M29" s="1" t="s">
        <v>319</v>
      </c>
      <c r="N29" s="1" t="s">
        <v>171</v>
      </c>
      <c r="P29" s="14" t="str">
        <f aca="false">IFERROR(VLOOKUP($E29,09B_MAP_LOAI_DAURA!$A$5:$C$18,2,0),"KHÔNG CÓ TRONG TỪ ĐIỂN")</f>
        <v>Quy trình/giải pháp/công thức</v>
      </c>
      <c r="Q29" s="14" t="str">
        <f aca="false">IFERROR(VLOOKUP($E29,09B_MAP_LOAI_DAURA!$A$5:$C$18,3,0),"KHÔNG CÓ TRONG TỪ ĐIỂN")</f>
        <v>Ứng viên TSTT</v>
      </c>
    </row>
    <row r="30" customFormat="false" ht="15" hidden="false" customHeight="false" outlineLevel="0" collapsed="false">
      <c r="A30" s="1" t="s">
        <v>384</v>
      </c>
      <c r="B30" s="1" t="s">
        <v>180</v>
      </c>
      <c r="C30" s="1" t="n">
        <v>2023</v>
      </c>
      <c r="D30" s="1" t="s">
        <v>385</v>
      </c>
      <c r="E30" s="1" t="s">
        <v>386</v>
      </c>
      <c r="F30" s="1" t="n">
        <v>1</v>
      </c>
      <c r="G30" s="1" t="s">
        <v>326</v>
      </c>
      <c r="H30" s="1" t="s">
        <v>327</v>
      </c>
      <c r="I30" s="1" t="s">
        <v>120</v>
      </c>
      <c r="J30" s="1" t="s">
        <v>316</v>
      </c>
      <c r="K30" s="13" t="s">
        <v>317</v>
      </c>
      <c r="L30" s="1" t="s">
        <v>318</v>
      </c>
      <c r="M30" s="1" t="s">
        <v>328</v>
      </c>
      <c r="N30" s="1" t="s">
        <v>171</v>
      </c>
      <c r="P30" s="14" t="str">
        <f aca="false">IFERROR(VLOOKUP($E30,09B_MAP_LOAI_DAURA!$A$5:$C$18,2,0),"KHÔNG CÓ TRONG TỪ ĐIỂN")</f>
        <v>Công bố khoa học</v>
      </c>
      <c r="Q30" s="14" t="str">
        <f aca="false">IFERROR(VLOOKUP($E30,09B_MAP_LOAI_DAURA!$A$5:$C$18,3,0),"KHÔNG CÓ TRONG TỪ ĐIỂN")</f>
        <v>Công bố</v>
      </c>
    </row>
    <row r="31" customFormat="false" ht="15" hidden="false" customHeight="false" outlineLevel="0" collapsed="false">
      <c r="A31" s="1" t="s">
        <v>387</v>
      </c>
      <c r="B31" s="1" t="s">
        <v>180</v>
      </c>
      <c r="C31" s="1" t="n">
        <v>2023</v>
      </c>
      <c r="D31" s="1" t="s">
        <v>377</v>
      </c>
      <c r="E31" s="1" t="s">
        <v>313</v>
      </c>
      <c r="F31" s="1" t="n">
        <v>1</v>
      </c>
      <c r="G31" s="1" t="s">
        <v>314</v>
      </c>
      <c r="H31" s="1" t="s">
        <v>315</v>
      </c>
      <c r="I31" s="1" t="s">
        <v>120</v>
      </c>
      <c r="J31" s="1" t="s">
        <v>316</v>
      </c>
      <c r="K31" s="13" t="s">
        <v>317</v>
      </c>
      <c r="L31" s="1" t="s">
        <v>318</v>
      </c>
      <c r="M31" s="1" t="s">
        <v>319</v>
      </c>
      <c r="N31" s="1" t="s">
        <v>171</v>
      </c>
      <c r="P31" s="14" t="str">
        <f aca="false">IFERROR(VLOOKUP($E31,09B_MAP_LOAI_DAURA!$A$5:$C$18,2,0),"KHÔNG CÓ TRONG TỪ ĐIỂN")</f>
        <v>Báo cáo tổng kết đề tài</v>
      </c>
      <c r="Q31" s="14" t="str">
        <f aca="false">IFERROR(VLOOKUP($E31,09B_MAP_LOAI_DAURA!$A$5:$C$18,3,0),"KHÔNG CÓ TRONG TỪ ĐIỂN")</f>
        <v>Bắt buộc hành chính</v>
      </c>
    </row>
    <row r="32" customFormat="false" ht="15" hidden="false" customHeight="false" outlineLevel="0" collapsed="false">
      <c r="A32" s="1" t="s">
        <v>388</v>
      </c>
      <c r="B32" s="1" t="s">
        <v>180</v>
      </c>
      <c r="C32" s="1" t="n">
        <v>2023</v>
      </c>
      <c r="D32" s="1" t="s">
        <v>389</v>
      </c>
      <c r="E32" s="1" t="s">
        <v>380</v>
      </c>
      <c r="F32" s="1" t="n">
        <v>1</v>
      </c>
      <c r="G32" s="1" t="s">
        <v>381</v>
      </c>
      <c r="H32" s="1" t="s">
        <v>382</v>
      </c>
      <c r="I32" s="1" t="s">
        <v>120</v>
      </c>
      <c r="J32" s="1" t="s">
        <v>390</v>
      </c>
      <c r="K32" s="13" t="s">
        <v>341</v>
      </c>
      <c r="L32" s="1" t="s">
        <v>120</v>
      </c>
      <c r="M32" s="1" t="s">
        <v>319</v>
      </c>
      <c r="N32" s="1" t="s">
        <v>171</v>
      </c>
      <c r="P32" s="14" t="str">
        <f aca="false">IFERROR(VLOOKUP($E32,09B_MAP_LOAI_DAURA!$A$5:$C$18,2,0),"KHÔNG CÓ TRONG TỪ ĐIỂN")</f>
        <v>Quy trình/giải pháp/công thức</v>
      </c>
      <c r="Q32" s="14" t="str">
        <f aca="false">IFERROR(VLOOKUP($E32,09B_MAP_LOAI_DAURA!$A$5:$C$18,3,0),"KHÔNG CÓ TRONG TỪ ĐIỂN")</f>
        <v>Ứng viên TSTT</v>
      </c>
    </row>
    <row r="33" customFormat="false" ht="15" hidden="false" customHeight="false" outlineLevel="0" collapsed="false">
      <c r="A33" s="1" t="s">
        <v>391</v>
      </c>
      <c r="B33" s="1" t="s">
        <v>185</v>
      </c>
      <c r="C33" s="1" t="n">
        <v>2023</v>
      </c>
      <c r="D33" s="1" t="s">
        <v>375</v>
      </c>
      <c r="E33" s="1" t="s">
        <v>325</v>
      </c>
      <c r="F33" s="1" t="n">
        <v>1</v>
      </c>
      <c r="G33" s="1" t="s">
        <v>326</v>
      </c>
      <c r="H33" s="1" t="s">
        <v>392</v>
      </c>
      <c r="I33" s="1" t="s">
        <v>393</v>
      </c>
      <c r="J33" s="1" t="s">
        <v>394</v>
      </c>
      <c r="K33" s="13" t="s">
        <v>317</v>
      </c>
      <c r="L33" s="1" t="s">
        <v>318</v>
      </c>
      <c r="M33" s="1" t="s">
        <v>328</v>
      </c>
      <c r="N33" s="1" t="s">
        <v>188</v>
      </c>
      <c r="P33" s="14" t="str">
        <f aca="false">IFERROR(VLOOKUP($E33,09B_MAP_LOAI_DAURA!$A$5:$C$18,2,0),"KHÔNG CÓ TRONG TỪ ĐIỂN")</f>
        <v>Công bố khoa học</v>
      </c>
      <c r="Q33" s="14" t="str">
        <f aca="false">IFERROR(VLOOKUP($E33,09B_MAP_LOAI_DAURA!$A$5:$C$18,3,0),"KHÔNG CÓ TRONG TỪ ĐIỂN")</f>
        <v>Công bố</v>
      </c>
    </row>
    <row r="34" customFormat="false" ht="15" hidden="false" customHeight="false" outlineLevel="0" collapsed="false">
      <c r="A34" s="1" t="s">
        <v>395</v>
      </c>
      <c r="B34" s="1" t="s">
        <v>185</v>
      </c>
      <c r="C34" s="1" t="n">
        <v>2023</v>
      </c>
      <c r="D34" s="1" t="s">
        <v>377</v>
      </c>
      <c r="E34" s="1" t="s">
        <v>313</v>
      </c>
      <c r="F34" s="1" t="n">
        <v>1</v>
      </c>
      <c r="G34" s="1" t="s">
        <v>314</v>
      </c>
      <c r="H34" s="1" t="s">
        <v>315</v>
      </c>
      <c r="I34" s="1" t="s">
        <v>120</v>
      </c>
      <c r="J34" s="1" t="s">
        <v>316</v>
      </c>
      <c r="K34" s="13" t="s">
        <v>317</v>
      </c>
      <c r="L34" s="1" t="s">
        <v>318</v>
      </c>
      <c r="M34" s="1" t="s">
        <v>319</v>
      </c>
      <c r="N34" s="1" t="s">
        <v>188</v>
      </c>
      <c r="P34" s="14" t="str">
        <f aca="false">IFERROR(VLOOKUP($E34,09B_MAP_LOAI_DAURA!$A$5:$C$18,2,0),"KHÔNG CÓ TRONG TỪ ĐIỂN")</f>
        <v>Báo cáo tổng kết đề tài</v>
      </c>
      <c r="Q34" s="14" t="str">
        <f aca="false">IFERROR(VLOOKUP($E34,09B_MAP_LOAI_DAURA!$A$5:$C$18,3,0),"KHÔNG CÓ TRONG TỪ ĐIỂN")</f>
        <v>Bắt buộc hành chính</v>
      </c>
    </row>
    <row r="35" customFormat="false" ht="15" hidden="false" customHeight="false" outlineLevel="0" collapsed="false">
      <c r="A35" s="1" t="s">
        <v>396</v>
      </c>
      <c r="B35" s="1" t="s">
        <v>185</v>
      </c>
      <c r="C35" s="1" t="n">
        <v>2023</v>
      </c>
      <c r="D35" s="1" t="s">
        <v>397</v>
      </c>
      <c r="E35" s="1" t="s">
        <v>380</v>
      </c>
      <c r="F35" s="1" t="n">
        <v>1</v>
      </c>
      <c r="G35" s="1" t="s">
        <v>381</v>
      </c>
      <c r="H35" s="1" t="s">
        <v>382</v>
      </c>
      <c r="I35" s="1" t="s">
        <v>120</v>
      </c>
      <c r="J35" s="1" t="s">
        <v>383</v>
      </c>
      <c r="K35" s="13" t="s">
        <v>341</v>
      </c>
      <c r="L35" s="1" t="s">
        <v>120</v>
      </c>
      <c r="M35" s="1" t="s">
        <v>319</v>
      </c>
      <c r="N35" s="1" t="s">
        <v>188</v>
      </c>
      <c r="P35" s="14" t="str">
        <f aca="false">IFERROR(VLOOKUP($E35,09B_MAP_LOAI_DAURA!$A$5:$C$18,2,0),"KHÔNG CÓ TRONG TỪ ĐIỂN")</f>
        <v>Quy trình/giải pháp/công thức</v>
      </c>
      <c r="Q35" s="14" t="str">
        <f aca="false">IFERROR(VLOOKUP($E35,09B_MAP_LOAI_DAURA!$A$5:$C$18,3,0),"KHÔNG CÓ TRONG TỪ ĐIỂN")</f>
        <v>Ứng viên TSTT</v>
      </c>
    </row>
    <row r="36" customFormat="false" ht="15" hidden="false" customHeight="false" outlineLevel="0" collapsed="false">
      <c r="A36" s="1" t="s">
        <v>398</v>
      </c>
      <c r="B36" s="1" t="s">
        <v>190</v>
      </c>
      <c r="C36" s="1" t="n">
        <v>2023</v>
      </c>
      <c r="D36" s="1" t="s">
        <v>375</v>
      </c>
      <c r="E36" s="1" t="s">
        <v>325</v>
      </c>
      <c r="F36" s="1" t="n">
        <v>1</v>
      </c>
      <c r="G36" s="1" t="s">
        <v>326</v>
      </c>
      <c r="H36" s="1" t="s">
        <v>392</v>
      </c>
      <c r="I36" s="1" t="s">
        <v>393</v>
      </c>
      <c r="J36" s="1" t="s">
        <v>394</v>
      </c>
      <c r="K36" s="13" t="s">
        <v>317</v>
      </c>
      <c r="L36" s="1" t="s">
        <v>318</v>
      </c>
      <c r="M36" s="1" t="s">
        <v>328</v>
      </c>
      <c r="N36" s="1" t="s">
        <v>188</v>
      </c>
      <c r="P36" s="14" t="str">
        <f aca="false">IFERROR(VLOOKUP($E36,09B_MAP_LOAI_DAURA!$A$5:$C$18,2,0),"KHÔNG CÓ TRONG TỪ ĐIỂN")</f>
        <v>Công bố khoa học</v>
      </c>
      <c r="Q36" s="14" t="str">
        <f aca="false">IFERROR(VLOOKUP($E36,09B_MAP_LOAI_DAURA!$A$5:$C$18,3,0),"KHÔNG CÓ TRONG TỪ ĐIỂN")</f>
        <v>Công bố</v>
      </c>
    </row>
    <row r="37" customFormat="false" ht="15" hidden="false" customHeight="false" outlineLevel="0" collapsed="false">
      <c r="A37" s="1" t="s">
        <v>399</v>
      </c>
      <c r="B37" s="1" t="s">
        <v>190</v>
      </c>
      <c r="C37" s="1" t="n">
        <v>2023</v>
      </c>
      <c r="D37" s="1" t="s">
        <v>377</v>
      </c>
      <c r="E37" s="1" t="s">
        <v>313</v>
      </c>
      <c r="F37" s="1" t="n">
        <v>1</v>
      </c>
      <c r="G37" s="1" t="s">
        <v>314</v>
      </c>
      <c r="H37" s="1" t="s">
        <v>315</v>
      </c>
      <c r="I37" s="1" t="s">
        <v>120</v>
      </c>
      <c r="J37" s="1" t="s">
        <v>316</v>
      </c>
      <c r="K37" s="13" t="s">
        <v>317</v>
      </c>
      <c r="L37" s="1" t="s">
        <v>318</v>
      </c>
      <c r="M37" s="1" t="s">
        <v>319</v>
      </c>
      <c r="N37" s="1" t="s">
        <v>188</v>
      </c>
      <c r="P37" s="14" t="str">
        <f aca="false">IFERROR(VLOOKUP($E37,09B_MAP_LOAI_DAURA!$A$5:$C$18,2,0),"KHÔNG CÓ TRONG TỪ ĐIỂN")</f>
        <v>Báo cáo tổng kết đề tài</v>
      </c>
      <c r="Q37" s="14" t="str">
        <f aca="false">IFERROR(VLOOKUP($E37,09B_MAP_LOAI_DAURA!$A$5:$C$18,3,0),"KHÔNG CÓ TRONG TỪ ĐIỂN")</f>
        <v>Bắt buộc hành chính</v>
      </c>
    </row>
    <row r="38" customFormat="false" ht="15" hidden="false" customHeight="false" outlineLevel="0" collapsed="false">
      <c r="A38" s="1" t="s">
        <v>400</v>
      </c>
      <c r="B38" s="1" t="s">
        <v>190</v>
      </c>
      <c r="C38" s="1" t="n">
        <v>2023</v>
      </c>
      <c r="D38" s="1" t="s">
        <v>401</v>
      </c>
      <c r="E38" s="1" t="s">
        <v>380</v>
      </c>
      <c r="F38" s="1" t="n">
        <v>1</v>
      </c>
      <c r="G38" s="1" t="s">
        <v>381</v>
      </c>
      <c r="H38" s="1" t="s">
        <v>382</v>
      </c>
      <c r="I38" s="1" t="s">
        <v>120</v>
      </c>
      <c r="J38" s="1" t="s">
        <v>383</v>
      </c>
      <c r="K38" s="13" t="s">
        <v>341</v>
      </c>
      <c r="L38" s="1" t="s">
        <v>120</v>
      </c>
      <c r="M38" s="1" t="s">
        <v>319</v>
      </c>
      <c r="N38" s="1" t="s">
        <v>188</v>
      </c>
      <c r="P38" s="14" t="str">
        <f aca="false">IFERROR(VLOOKUP($E38,09B_MAP_LOAI_DAURA!$A$5:$C$18,2,0),"KHÔNG CÓ TRONG TỪ ĐIỂN")</f>
        <v>Quy trình/giải pháp/công thức</v>
      </c>
      <c r="Q38" s="14" t="str">
        <f aca="false">IFERROR(VLOOKUP($E38,09B_MAP_LOAI_DAURA!$A$5:$C$18,3,0),"KHÔNG CÓ TRONG TỪ ĐIỂN")</f>
        <v>Ứng viên TSTT</v>
      </c>
    </row>
    <row r="39" customFormat="false" ht="15" hidden="false" customHeight="false" outlineLevel="0" collapsed="false">
      <c r="A39" s="1" t="s">
        <v>402</v>
      </c>
      <c r="B39" s="1" t="s">
        <v>193</v>
      </c>
      <c r="C39" s="1" t="n">
        <v>2023</v>
      </c>
      <c r="D39" s="1" t="s">
        <v>375</v>
      </c>
      <c r="E39" s="1" t="s">
        <v>325</v>
      </c>
      <c r="F39" s="1" t="n">
        <v>1</v>
      </c>
      <c r="G39" s="1" t="s">
        <v>326</v>
      </c>
      <c r="H39" s="1" t="s">
        <v>327</v>
      </c>
      <c r="I39" s="1" t="s">
        <v>120</v>
      </c>
      <c r="J39" s="1" t="s">
        <v>316</v>
      </c>
      <c r="K39" s="13" t="s">
        <v>317</v>
      </c>
      <c r="L39" s="1" t="s">
        <v>318</v>
      </c>
      <c r="M39" s="1" t="s">
        <v>328</v>
      </c>
      <c r="N39" s="1" t="s">
        <v>199</v>
      </c>
      <c r="P39" s="14" t="str">
        <f aca="false">IFERROR(VLOOKUP($E39,09B_MAP_LOAI_DAURA!$A$5:$C$18,2,0),"KHÔNG CÓ TRONG TỪ ĐIỂN")</f>
        <v>Công bố khoa học</v>
      </c>
      <c r="Q39" s="14" t="str">
        <f aca="false">IFERROR(VLOOKUP($E39,09B_MAP_LOAI_DAURA!$A$5:$C$18,3,0),"KHÔNG CÓ TRONG TỪ ĐIỂN")</f>
        <v>Công bố</v>
      </c>
    </row>
    <row r="40" customFormat="false" ht="15" hidden="false" customHeight="false" outlineLevel="0" collapsed="false">
      <c r="A40" s="1" t="s">
        <v>403</v>
      </c>
      <c r="B40" s="1" t="s">
        <v>193</v>
      </c>
      <c r="C40" s="1" t="n">
        <v>2023</v>
      </c>
      <c r="D40" s="1" t="s">
        <v>377</v>
      </c>
      <c r="E40" s="1" t="s">
        <v>313</v>
      </c>
      <c r="F40" s="1" t="n">
        <v>1</v>
      </c>
      <c r="G40" s="1" t="s">
        <v>314</v>
      </c>
      <c r="H40" s="1" t="s">
        <v>315</v>
      </c>
      <c r="I40" s="1" t="s">
        <v>120</v>
      </c>
      <c r="J40" s="1" t="s">
        <v>316</v>
      </c>
      <c r="K40" s="13" t="s">
        <v>317</v>
      </c>
      <c r="L40" s="1" t="s">
        <v>318</v>
      </c>
      <c r="M40" s="1" t="s">
        <v>319</v>
      </c>
      <c r="N40" s="1" t="s">
        <v>199</v>
      </c>
      <c r="P40" s="14" t="str">
        <f aca="false">IFERROR(VLOOKUP($E40,09B_MAP_LOAI_DAURA!$A$5:$C$18,2,0),"KHÔNG CÓ TRONG TỪ ĐIỂN")</f>
        <v>Báo cáo tổng kết đề tài</v>
      </c>
      <c r="Q40" s="14" t="str">
        <f aca="false">IFERROR(VLOOKUP($E40,09B_MAP_LOAI_DAURA!$A$5:$C$18,3,0),"KHÔNG CÓ TRONG TỪ ĐIỂN")</f>
        <v>Bắt buộc hành chính</v>
      </c>
    </row>
    <row r="41" customFormat="false" ht="15" hidden="false" customHeight="false" outlineLevel="0" collapsed="false">
      <c r="A41" s="1" t="s">
        <v>404</v>
      </c>
      <c r="B41" s="1" t="s">
        <v>193</v>
      </c>
      <c r="C41" s="1" t="n">
        <v>2023</v>
      </c>
      <c r="D41" s="1" t="s">
        <v>405</v>
      </c>
      <c r="E41" s="1" t="s">
        <v>380</v>
      </c>
      <c r="F41" s="1" t="n">
        <v>1</v>
      </c>
      <c r="G41" s="1" t="s">
        <v>381</v>
      </c>
      <c r="H41" s="1" t="s">
        <v>406</v>
      </c>
      <c r="I41" s="1" t="s">
        <v>120</v>
      </c>
      <c r="J41" s="1" t="s">
        <v>407</v>
      </c>
      <c r="K41" s="13" t="s">
        <v>341</v>
      </c>
      <c r="L41" s="1" t="s">
        <v>120</v>
      </c>
      <c r="M41" s="1" t="s">
        <v>319</v>
      </c>
      <c r="N41" s="1" t="s">
        <v>199</v>
      </c>
      <c r="P41" s="14" t="str">
        <f aca="false">IFERROR(VLOOKUP($E41,09B_MAP_LOAI_DAURA!$A$5:$C$18,2,0),"KHÔNG CÓ TRONG TỪ ĐIỂN")</f>
        <v>Quy trình/giải pháp/công thức</v>
      </c>
      <c r="Q41" s="14" t="str">
        <f aca="false">IFERROR(VLOOKUP($E41,09B_MAP_LOAI_DAURA!$A$5:$C$18,3,0),"KHÔNG CÓ TRONG TỪ ĐIỂN")</f>
        <v>Ứng viên TSTT</v>
      </c>
    </row>
    <row r="42" customFormat="false" ht="15" hidden="false" customHeight="false" outlineLevel="0" collapsed="false">
      <c r="A42" s="1" t="s">
        <v>408</v>
      </c>
      <c r="B42" s="1" t="s">
        <v>201</v>
      </c>
      <c r="C42" s="1" t="n">
        <v>2023</v>
      </c>
      <c r="D42" s="1" t="s">
        <v>375</v>
      </c>
      <c r="E42" s="1" t="s">
        <v>325</v>
      </c>
      <c r="F42" s="1" t="n">
        <v>1</v>
      </c>
      <c r="G42" s="1" t="s">
        <v>326</v>
      </c>
      <c r="H42" s="1" t="s">
        <v>392</v>
      </c>
      <c r="I42" s="1" t="s">
        <v>393</v>
      </c>
      <c r="J42" s="1" t="s">
        <v>394</v>
      </c>
      <c r="K42" s="13" t="s">
        <v>317</v>
      </c>
      <c r="L42" s="1" t="s">
        <v>318</v>
      </c>
      <c r="M42" s="1" t="s">
        <v>328</v>
      </c>
      <c r="N42" s="1" t="s">
        <v>199</v>
      </c>
      <c r="P42" s="14" t="str">
        <f aca="false">IFERROR(VLOOKUP($E42,09B_MAP_LOAI_DAURA!$A$5:$C$18,2,0),"KHÔNG CÓ TRONG TỪ ĐIỂN")</f>
        <v>Công bố khoa học</v>
      </c>
      <c r="Q42" s="14" t="str">
        <f aca="false">IFERROR(VLOOKUP($E42,09B_MAP_LOAI_DAURA!$A$5:$C$18,3,0),"KHÔNG CÓ TRONG TỪ ĐIỂN")</f>
        <v>Công bố</v>
      </c>
    </row>
    <row r="43" customFormat="false" ht="15" hidden="false" customHeight="false" outlineLevel="0" collapsed="false">
      <c r="A43" s="1" t="s">
        <v>409</v>
      </c>
      <c r="B43" s="1" t="s">
        <v>201</v>
      </c>
      <c r="C43" s="1" t="n">
        <v>2023</v>
      </c>
      <c r="D43" s="1" t="s">
        <v>377</v>
      </c>
      <c r="E43" s="1" t="s">
        <v>313</v>
      </c>
      <c r="F43" s="1" t="n">
        <v>1</v>
      </c>
      <c r="G43" s="1" t="s">
        <v>314</v>
      </c>
      <c r="H43" s="1" t="s">
        <v>315</v>
      </c>
      <c r="I43" s="1" t="s">
        <v>120</v>
      </c>
      <c r="J43" s="1" t="s">
        <v>316</v>
      </c>
      <c r="K43" s="13" t="s">
        <v>317</v>
      </c>
      <c r="L43" s="1" t="s">
        <v>318</v>
      </c>
      <c r="M43" s="1" t="s">
        <v>319</v>
      </c>
      <c r="N43" s="1" t="s">
        <v>199</v>
      </c>
      <c r="P43" s="14" t="str">
        <f aca="false">IFERROR(VLOOKUP($E43,09B_MAP_LOAI_DAURA!$A$5:$C$18,2,0),"KHÔNG CÓ TRONG TỪ ĐIỂN")</f>
        <v>Báo cáo tổng kết đề tài</v>
      </c>
      <c r="Q43" s="14" t="str">
        <f aca="false">IFERROR(VLOOKUP($E43,09B_MAP_LOAI_DAURA!$A$5:$C$18,3,0),"KHÔNG CÓ TRONG TỪ ĐIỂN")</f>
        <v>Bắt buộc hành chính</v>
      </c>
    </row>
    <row r="44" customFormat="false" ht="15" hidden="false" customHeight="false" outlineLevel="0" collapsed="false">
      <c r="A44" s="1" t="s">
        <v>410</v>
      </c>
      <c r="B44" s="1" t="s">
        <v>201</v>
      </c>
      <c r="C44" s="1" t="n">
        <v>2023</v>
      </c>
      <c r="D44" s="1" t="s">
        <v>411</v>
      </c>
      <c r="E44" s="1" t="s">
        <v>380</v>
      </c>
      <c r="F44" s="1" t="n">
        <v>1</v>
      </c>
      <c r="G44" s="1" t="s">
        <v>381</v>
      </c>
      <c r="H44" s="1" t="s">
        <v>382</v>
      </c>
      <c r="I44" s="1" t="s">
        <v>120</v>
      </c>
      <c r="J44" s="1" t="s">
        <v>412</v>
      </c>
      <c r="K44" s="13" t="s">
        <v>341</v>
      </c>
      <c r="L44" s="1" t="s">
        <v>120</v>
      </c>
      <c r="M44" s="1" t="s">
        <v>319</v>
      </c>
      <c r="N44" s="1" t="s">
        <v>199</v>
      </c>
      <c r="P44" s="14" t="str">
        <f aca="false">IFERROR(VLOOKUP($E44,09B_MAP_LOAI_DAURA!$A$5:$C$18,2,0),"KHÔNG CÓ TRONG TỪ ĐIỂN")</f>
        <v>Quy trình/giải pháp/công thức</v>
      </c>
      <c r="Q44" s="14" t="str">
        <f aca="false">IFERROR(VLOOKUP($E44,09B_MAP_LOAI_DAURA!$A$5:$C$18,3,0),"KHÔNG CÓ TRONG TỪ ĐIỂN")</f>
        <v>Ứng viên TSTT</v>
      </c>
    </row>
    <row r="45" customFormat="false" ht="15" hidden="false" customHeight="false" outlineLevel="0" collapsed="false">
      <c r="A45" s="1" t="s">
        <v>413</v>
      </c>
      <c r="B45" s="1" t="s">
        <v>207</v>
      </c>
      <c r="C45" s="1" t="n">
        <v>2023</v>
      </c>
      <c r="D45" s="1" t="s">
        <v>414</v>
      </c>
      <c r="E45" s="1" t="s">
        <v>325</v>
      </c>
      <c r="F45" s="1" t="n">
        <v>1</v>
      </c>
      <c r="G45" s="1" t="s">
        <v>326</v>
      </c>
      <c r="H45" s="1" t="s">
        <v>327</v>
      </c>
      <c r="I45" s="1" t="s">
        <v>120</v>
      </c>
      <c r="J45" s="1" t="s">
        <v>316</v>
      </c>
      <c r="K45" s="13" t="s">
        <v>317</v>
      </c>
      <c r="L45" s="1" t="s">
        <v>318</v>
      </c>
      <c r="M45" s="1" t="s">
        <v>328</v>
      </c>
      <c r="N45" s="1" t="s">
        <v>212</v>
      </c>
      <c r="P45" s="14" t="str">
        <f aca="false">IFERROR(VLOOKUP($E45,09B_MAP_LOAI_DAURA!$A$5:$C$18,2,0),"KHÔNG CÓ TRONG TỪ ĐIỂN")</f>
        <v>Công bố khoa học</v>
      </c>
      <c r="Q45" s="14" t="str">
        <f aca="false">IFERROR(VLOOKUP($E45,09B_MAP_LOAI_DAURA!$A$5:$C$18,3,0),"KHÔNG CÓ TRONG TỪ ĐIỂN")</f>
        <v>Công bố</v>
      </c>
    </row>
    <row r="46" customFormat="false" ht="15" hidden="false" customHeight="false" outlineLevel="0" collapsed="false">
      <c r="A46" s="1" t="s">
        <v>415</v>
      </c>
      <c r="B46" s="1" t="s">
        <v>207</v>
      </c>
      <c r="C46" s="1" t="n">
        <v>2023</v>
      </c>
      <c r="D46" s="1" t="s">
        <v>416</v>
      </c>
      <c r="E46" s="1" t="s">
        <v>362</v>
      </c>
      <c r="F46" s="1" t="n">
        <v>1</v>
      </c>
      <c r="G46" s="1" t="s">
        <v>417</v>
      </c>
      <c r="H46" s="1" t="s">
        <v>315</v>
      </c>
      <c r="I46" s="1" t="s">
        <v>120</v>
      </c>
      <c r="J46" s="1" t="s">
        <v>418</v>
      </c>
      <c r="K46" s="13" t="s">
        <v>358</v>
      </c>
      <c r="L46" s="1" t="s">
        <v>120</v>
      </c>
      <c r="M46" s="1" t="s">
        <v>319</v>
      </c>
      <c r="N46" s="1" t="s">
        <v>212</v>
      </c>
      <c r="P46" s="14" t="str">
        <f aca="false">IFERROR(VLOOKUP($E46,09B_MAP_LOAI_DAURA!$A$5:$C$18,2,0),"KHÔNG CÓ TRONG TỪ ĐIỂN")</f>
        <v>Sản phẩm/mô hình/prototype</v>
      </c>
      <c r="Q46" s="14" t="str">
        <f aca="false">IFERROR(VLOOKUP($E46,09B_MAP_LOAI_DAURA!$A$5:$C$18,3,0),"KHÔNG CÓ TRONG TỪ ĐIỂN")</f>
        <v>Ứng viên TSTT</v>
      </c>
    </row>
    <row r="47" customFormat="false" ht="15" hidden="false" customHeight="false" outlineLevel="0" collapsed="false">
      <c r="A47" s="1" t="s">
        <v>419</v>
      </c>
      <c r="B47" s="1" t="s">
        <v>207</v>
      </c>
      <c r="C47" s="1" t="n">
        <v>2023</v>
      </c>
      <c r="D47" s="1" t="s">
        <v>420</v>
      </c>
      <c r="E47" s="1" t="s">
        <v>421</v>
      </c>
      <c r="F47" s="1" t="n">
        <v>1</v>
      </c>
      <c r="G47" s="1" t="s">
        <v>422</v>
      </c>
      <c r="H47" s="1" t="s">
        <v>327</v>
      </c>
      <c r="I47" s="1" t="s">
        <v>120</v>
      </c>
      <c r="J47" s="1" t="s">
        <v>423</v>
      </c>
      <c r="K47" s="13" t="s">
        <v>358</v>
      </c>
      <c r="L47" s="1" t="s">
        <v>120</v>
      </c>
      <c r="M47" s="1" t="s">
        <v>319</v>
      </c>
      <c r="N47" s="1" t="s">
        <v>212</v>
      </c>
      <c r="P47" s="14" t="str">
        <f aca="false">IFERROR(VLOOKUP($E47,09B_MAP_LOAI_DAURA!$A$5:$C$18,2,0),"KHÔNG CÓ TRONG TỪ ĐIỂN")</f>
        <v>Kết quả ứng dụng/chuyển giao</v>
      </c>
      <c r="Q47" s="14" t="str">
        <f aca="false">IFERROR(VLOOKUP($E47,09B_MAP_LOAI_DAURA!$A$5:$C$18,3,0),"KHÔNG CÓ TRONG TỪ ĐIỂN")</f>
        <v>Ứng viên TSTT</v>
      </c>
    </row>
    <row r="48" customFormat="false" ht="15" hidden="false" customHeight="false" outlineLevel="0" collapsed="false">
      <c r="A48" s="1" t="s">
        <v>424</v>
      </c>
      <c r="B48" s="1" t="s">
        <v>214</v>
      </c>
      <c r="C48" s="1" t="n">
        <v>2024</v>
      </c>
      <c r="D48" s="1" t="s">
        <v>425</v>
      </c>
      <c r="E48" s="1" t="s">
        <v>325</v>
      </c>
      <c r="F48" s="1" t="n">
        <v>1</v>
      </c>
      <c r="G48" s="1" t="s">
        <v>326</v>
      </c>
      <c r="H48" s="1" t="s">
        <v>327</v>
      </c>
      <c r="I48" s="1" t="s">
        <v>120</v>
      </c>
      <c r="J48" s="1" t="s">
        <v>316</v>
      </c>
      <c r="K48" s="13" t="s">
        <v>317</v>
      </c>
      <c r="L48" s="1" t="s">
        <v>318</v>
      </c>
      <c r="M48" s="1" t="s">
        <v>328</v>
      </c>
      <c r="N48" s="1" t="s">
        <v>212</v>
      </c>
      <c r="P48" s="14" t="str">
        <f aca="false">IFERROR(VLOOKUP($E48,09B_MAP_LOAI_DAURA!$A$5:$C$18,2,0),"KHÔNG CÓ TRONG TỪ ĐIỂN")</f>
        <v>Công bố khoa học</v>
      </c>
      <c r="Q48" s="14" t="str">
        <f aca="false">IFERROR(VLOOKUP($E48,09B_MAP_LOAI_DAURA!$A$5:$C$18,3,0),"KHÔNG CÓ TRONG TỪ ĐIỂN")</f>
        <v>Công bố</v>
      </c>
    </row>
    <row r="49" customFormat="false" ht="15" hidden="false" customHeight="false" outlineLevel="0" collapsed="false">
      <c r="A49" s="1" t="s">
        <v>426</v>
      </c>
      <c r="B49" s="1" t="s">
        <v>214</v>
      </c>
      <c r="C49" s="1" t="n">
        <v>2024</v>
      </c>
      <c r="D49" s="1" t="s">
        <v>427</v>
      </c>
      <c r="E49" s="1" t="s">
        <v>362</v>
      </c>
      <c r="F49" s="1" t="n">
        <v>200</v>
      </c>
      <c r="G49" s="1" t="s">
        <v>428</v>
      </c>
      <c r="H49" s="1" t="s">
        <v>315</v>
      </c>
      <c r="I49" s="1" t="s">
        <v>120</v>
      </c>
      <c r="J49" s="1" t="s">
        <v>429</v>
      </c>
      <c r="K49" s="13" t="s">
        <v>358</v>
      </c>
      <c r="L49" s="1" t="s">
        <v>120</v>
      </c>
      <c r="M49" s="1" t="s">
        <v>319</v>
      </c>
      <c r="N49" s="1" t="s">
        <v>212</v>
      </c>
      <c r="P49" s="14" t="str">
        <f aca="false">IFERROR(VLOOKUP($E49,09B_MAP_LOAI_DAURA!$A$5:$C$18,2,0),"KHÔNG CÓ TRONG TỪ ĐIỂN")</f>
        <v>Sản phẩm/mô hình/prototype</v>
      </c>
      <c r="Q49" s="14" t="str">
        <f aca="false">IFERROR(VLOOKUP($E49,09B_MAP_LOAI_DAURA!$A$5:$C$18,3,0),"KHÔNG CÓ TRONG TỪ ĐIỂN")</f>
        <v>Ứng viên TSTT</v>
      </c>
    </row>
    <row r="50" customFormat="false" ht="15" hidden="false" customHeight="false" outlineLevel="0" collapsed="false">
      <c r="A50" s="1" t="s">
        <v>430</v>
      </c>
      <c r="B50" s="1" t="s">
        <v>214</v>
      </c>
      <c r="C50" s="1" t="n">
        <v>2024</v>
      </c>
      <c r="D50" s="1" t="s">
        <v>431</v>
      </c>
      <c r="E50" s="1" t="s">
        <v>432</v>
      </c>
      <c r="F50" s="1" t="n">
        <v>1</v>
      </c>
      <c r="G50" s="1" t="s">
        <v>369</v>
      </c>
      <c r="H50" s="1" t="s">
        <v>315</v>
      </c>
      <c r="I50" s="1" t="s">
        <v>120</v>
      </c>
      <c r="J50" s="1" t="s">
        <v>433</v>
      </c>
      <c r="K50" s="13" t="s">
        <v>358</v>
      </c>
      <c r="L50" s="1" t="s">
        <v>120</v>
      </c>
      <c r="M50" s="1" t="s">
        <v>319</v>
      </c>
      <c r="N50" s="1" t="s">
        <v>212</v>
      </c>
      <c r="P50" s="14" t="str">
        <f aca="false">IFERROR(VLOOKUP($E50,09B_MAP_LOAI_DAURA!$A$5:$C$18,2,0),"KHÔNG CÓ TRONG TỪ ĐIỂN")</f>
        <v>Quy trình/giải pháp/công thức</v>
      </c>
      <c r="Q50" s="14" t="str">
        <f aca="false">IFERROR(VLOOKUP($E50,09B_MAP_LOAI_DAURA!$A$5:$C$18,3,0),"KHÔNG CÓ TRONG TỪ ĐIỂN")</f>
        <v>Ứng viên TSTT</v>
      </c>
    </row>
    <row r="51" customFormat="false" ht="15" hidden="false" customHeight="false" outlineLevel="0" collapsed="false">
      <c r="A51" s="1" t="s">
        <v>434</v>
      </c>
      <c r="B51" s="1" t="s">
        <v>214</v>
      </c>
      <c r="C51" s="1" t="n">
        <v>2024</v>
      </c>
      <c r="D51" s="1" t="s">
        <v>435</v>
      </c>
      <c r="E51" s="1" t="s">
        <v>313</v>
      </c>
      <c r="F51" s="1" t="n">
        <v>1</v>
      </c>
      <c r="G51" s="1" t="s">
        <v>314</v>
      </c>
      <c r="H51" s="1" t="s">
        <v>315</v>
      </c>
      <c r="I51" s="1" t="s">
        <v>120</v>
      </c>
      <c r="J51" s="1" t="s">
        <v>316</v>
      </c>
      <c r="K51" s="13" t="s">
        <v>317</v>
      </c>
      <c r="L51" s="1" t="s">
        <v>318</v>
      </c>
      <c r="M51" s="1" t="s">
        <v>319</v>
      </c>
      <c r="N51" s="1" t="s">
        <v>212</v>
      </c>
      <c r="P51" s="14" t="str">
        <f aca="false">IFERROR(VLOOKUP($E51,09B_MAP_LOAI_DAURA!$A$5:$C$18,2,0),"KHÔNG CÓ TRONG TỪ ĐIỂN")</f>
        <v>Báo cáo tổng kết đề tài</v>
      </c>
      <c r="Q51" s="14" t="str">
        <f aca="false">IFERROR(VLOOKUP($E51,09B_MAP_LOAI_DAURA!$A$5:$C$18,3,0),"KHÔNG CÓ TRONG TỪ ĐIỂN")</f>
        <v>Bắt buộc hành chính</v>
      </c>
    </row>
    <row r="52" customFormat="false" ht="15" hidden="false" customHeight="false" outlineLevel="0" collapsed="false">
      <c r="A52" s="1" t="s">
        <v>436</v>
      </c>
      <c r="B52" s="1" t="s">
        <v>218</v>
      </c>
      <c r="C52" s="1" t="n">
        <v>2024</v>
      </c>
      <c r="D52" s="1" t="s">
        <v>437</v>
      </c>
      <c r="E52" s="1" t="s">
        <v>368</v>
      </c>
      <c r="F52" s="1" t="n">
        <v>100</v>
      </c>
      <c r="G52" s="1" t="s">
        <v>438</v>
      </c>
      <c r="H52" s="1" t="s">
        <v>315</v>
      </c>
      <c r="I52" s="1" t="s">
        <v>120</v>
      </c>
      <c r="J52" s="1" t="s">
        <v>439</v>
      </c>
      <c r="K52" s="13" t="s">
        <v>341</v>
      </c>
      <c r="L52" s="1" t="s">
        <v>120</v>
      </c>
      <c r="M52" s="1" t="s">
        <v>319</v>
      </c>
      <c r="N52" s="1" t="s">
        <v>212</v>
      </c>
      <c r="P52" s="14" t="str">
        <f aca="false">IFERROR(VLOOKUP($E52,09B_MAP_LOAI_DAURA!$A$5:$C$18,2,0),"KHÔNG CÓ TRONG TỪ ĐIỂN")</f>
        <v>Bộ mẫu/CSDL/học liệu</v>
      </c>
      <c r="Q52" s="14" t="str">
        <f aca="false">IFERROR(VLOOKUP($E52,09B_MAP_LOAI_DAURA!$A$5:$C$18,3,0),"KHÔNG CÓ TRONG TỪ ĐIỂN")</f>
        <v>Ứng viên TSTT</v>
      </c>
    </row>
    <row r="53" customFormat="false" ht="15" hidden="false" customHeight="false" outlineLevel="0" collapsed="false">
      <c r="A53" s="1" t="s">
        <v>440</v>
      </c>
      <c r="B53" s="1" t="s">
        <v>218</v>
      </c>
      <c r="C53" s="1" t="n">
        <v>2024</v>
      </c>
      <c r="D53" s="1" t="s">
        <v>441</v>
      </c>
      <c r="E53" s="1" t="s">
        <v>442</v>
      </c>
      <c r="F53" s="1" t="n">
        <v>1</v>
      </c>
      <c r="G53" s="1" t="s">
        <v>443</v>
      </c>
      <c r="H53" s="1" t="s">
        <v>315</v>
      </c>
      <c r="I53" s="1" t="s">
        <v>120</v>
      </c>
      <c r="J53" s="1" t="s">
        <v>316</v>
      </c>
      <c r="K53" s="13" t="s">
        <v>341</v>
      </c>
      <c r="L53" s="1" t="s">
        <v>120</v>
      </c>
      <c r="M53" s="1" t="s">
        <v>319</v>
      </c>
      <c r="N53" s="1" t="s">
        <v>212</v>
      </c>
      <c r="P53" s="14" t="str">
        <f aca="false">IFERROR(VLOOKUP($E53,09B_MAP_LOAI_DAURA!$A$5:$C$18,2,0),"KHÔNG CÓ TRONG TỪ ĐIỂN")</f>
        <v>Bộ mẫu/CSDL/học liệu</v>
      </c>
      <c r="Q53" s="14" t="str">
        <f aca="false">IFERROR(VLOOKUP($E53,09B_MAP_LOAI_DAURA!$A$5:$C$18,3,0),"KHÔNG CÓ TRONG TỪ ĐIỂN")</f>
        <v>Ứng viên TSTT</v>
      </c>
    </row>
    <row r="54" customFormat="false" ht="15" hidden="false" customHeight="false" outlineLevel="0" collapsed="false">
      <c r="A54" s="1" t="s">
        <v>444</v>
      </c>
      <c r="B54" s="1" t="s">
        <v>218</v>
      </c>
      <c r="C54" s="1" t="n">
        <v>2024</v>
      </c>
      <c r="D54" s="1" t="s">
        <v>445</v>
      </c>
      <c r="E54" s="1" t="s">
        <v>325</v>
      </c>
      <c r="F54" s="1" t="n">
        <v>1</v>
      </c>
      <c r="G54" s="1" t="s">
        <v>326</v>
      </c>
      <c r="H54" s="1" t="s">
        <v>327</v>
      </c>
      <c r="I54" s="1" t="s">
        <v>120</v>
      </c>
      <c r="J54" s="1" t="s">
        <v>316</v>
      </c>
      <c r="K54" s="13" t="s">
        <v>317</v>
      </c>
      <c r="L54" s="1" t="s">
        <v>318</v>
      </c>
      <c r="M54" s="1" t="s">
        <v>328</v>
      </c>
      <c r="N54" s="1" t="s">
        <v>212</v>
      </c>
      <c r="P54" s="14" t="str">
        <f aca="false">IFERROR(VLOOKUP($E54,09B_MAP_LOAI_DAURA!$A$5:$C$18,2,0),"KHÔNG CÓ TRONG TỪ ĐIỂN")</f>
        <v>Công bố khoa học</v>
      </c>
      <c r="Q54" s="14" t="str">
        <f aca="false">IFERROR(VLOOKUP($E54,09B_MAP_LOAI_DAURA!$A$5:$C$18,3,0),"KHÔNG CÓ TRONG TỪ ĐIỂN")</f>
        <v>Công bố</v>
      </c>
    </row>
    <row r="55" customFormat="false" ht="15" hidden="false" customHeight="false" outlineLevel="0" collapsed="false">
      <c r="A55" s="1" t="s">
        <v>446</v>
      </c>
      <c r="B55" s="1" t="s">
        <v>218</v>
      </c>
      <c r="C55" s="1" t="n">
        <v>2024</v>
      </c>
      <c r="D55" s="1" t="s">
        <v>435</v>
      </c>
      <c r="E55" s="1" t="s">
        <v>313</v>
      </c>
      <c r="F55" s="1" t="n">
        <v>1</v>
      </c>
      <c r="G55" s="1" t="s">
        <v>314</v>
      </c>
      <c r="H55" s="1" t="s">
        <v>315</v>
      </c>
      <c r="I55" s="1" t="s">
        <v>120</v>
      </c>
      <c r="J55" s="1" t="s">
        <v>316</v>
      </c>
      <c r="K55" s="13" t="s">
        <v>317</v>
      </c>
      <c r="L55" s="1" t="s">
        <v>318</v>
      </c>
      <c r="M55" s="1" t="s">
        <v>319</v>
      </c>
      <c r="N55" s="1" t="s">
        <v>212</v>
      </c>
      <c r="P55" s="14" t="str">
        <f aca="false">IFERROR(VLOOKUP($E55,09B_MAP_LOAI_DAURA!$A$5:$C$18,2,0),"KHÔNG CÓ TRONG TỪ ĐIỂN")</f>
        <v>Báo cáo tổng kết đề tài</v>
      </c>
      <c r="Q55" s="14" t="str">
        <f aca="false">IFERROR(VLOOKUP($E55,09B_MAP_LOAI_DAURA!$A$5:$C$18,3,0),"KHÔNG CÓ TRONG TỪ ĐIỂN")</f>
        <v>Bắt buộc hành chính</v>
      </c>
    </row>
    <row r="56" customFormat="false" ht="15" hidden="false" customHeight="false" outlineLevel="0" collapsed="false">
      <c r="A56" s="1" t="s">
        <v>447</v>
      </c>
      <c r="B56" s="1" t="s">
        <v>223</v>
      </c>
      <c r="C56" s="1" t="n">
        <v>2024</v>
      </c>
      <c r="D56" s="1" t="s">
        <v>448</v>
      </c>
      <c r="E56" s="1" t="s">
        <v>449</v>
      </c>
      <c r="F56" s="1" t="n">
        <v>1</v>
      </c>
      <c r="G56" s="1" t="s">
        <v>450</v>
      </c>
      <c r="H56" s="1" t="s">
        <v>327</v>
      </c>
      <c r="I56" s="1" t="s">
        <v>120</v>
      </c>
      <c r="J56" s="1" t="s">
        <v>316</v>
      </c>
      <c r="K56" s="13" t="s">
        <v>317</v>
      </c>
      <c r="L56" s="1" t="s">
        <v>318</v>
      </c>
      <c r="M56" s="1" t="s">
        <v>328</v>
      </c>
      <c r="N56" s="1" t="s">
        <v>228</v>
      </c>
      <c r="P56" s="14" t="str">
        <f aca="false">IFERROR(VLOOKUP($E56,09B_MAP_LOAI_DAURA!$A$5:$C$18,2,0),"KHÔNG CÓ TRONG TỪ ĐIỂN")</f>
        <v>Công bố khoa học</v>
      </c>
      <c r="Q56" s="14" t="str">
        <f aca="false">IFERROR(VLOOKUP($E56,09B_MAP_LOAI_DAURA!$A$5:$C$18,3,0),"KHÔNG CÓ TRONG TỪ ĐIỂN")</f>
        <v>Công bố</v>
      </c>
    </row>
    <row r="57" customFormat="false" ht="15" hidden="false" customHeight="false" outlineLevel="0" collapsed="false">
      <c r="A57" s="1" t="s">
        <v>451</v>
      </c>
      <c r="B57" s="1" t="s">
        <v>223</v>
      </c>
      <c r="C57" s="1" t="n">
        <v>2024</v>
      </c>
      <c r="D57" s="1" t="s">
        <v>452</v>
      </c>
      <c r="E57" s="1" t="s">
        <v>362</v>
      </c>
      <c r="F57" s="1" t="n">
        <v>1</v>
      </c>
      <c r="G57" s="1" t="s">
        <v>453</v>
      </c>
      <c r="H57" s="1" t="s">
        <v>315</v>
      </c>
      <c r="I57" s="1" t="s">
        <v>120</v>
      </c>
      <c r="J57" s="1" t="s">
        <v>454</v>
      </c>
      <c r="K57" s="13" t="s">
        <v>358</v>
      </c>
      <c r="L57" s="1" t="s">
        <v>120</v>
      </c>
      <c r="M57" s="1" t="s">
        <v>319</v>
      </c>
      <c r="N57" s="1" t="s">
        <v>228</v>
      </c>
      <c r="P57" s="14" t="str">
        <f aca="false">IFERROR(VLOOKUP($E57,09B_MAP_LOAI_DAURA!$A$5:$C$18,2,0),"KHÔNG CÓ TRONG TỪ ĐIỂN")</f>
        <v>Sản phẩm/mô hình/prototype</v>
      </c>
      <c r="Q57" s="14" t="str">
        <f aca="false">IFERROR(VLOOKUP($E57,09B_MAP_LOAI_DAURA!$A$5:$C$18,3,0),"KHÔNG CÓ TRONG TỪ ĐIỂN")</f>
        <v>Ứng viên TSTT</v>
      </c>
    </row>
    <row r="58" customFormat="false" ht="15" hidden="false" customHeight="false" outlineLevel="0" collapsed="false">
      <c r="A58" s="1" t="s">
        <v>455</v>
      </c>
      <c r="B58" s="1" t="s">
        <v>223</v>
      </c>
      <c r="C58" s="1" t="n">
        <v>2024</v>
      </c>
      <c r="D58" s="1" t="s">
        <v>456</v>
      </c>
      <c r="E58" s="1" t="s">
        <v>313</v>
      </c>
      <c r="F58" s="1" t="n">
        <v>1</v>
      </c>
      <c r="G58" s="1" t="s">
        <v>314</v>
      </c>
      <c r="H58" s="1" t="s">
        <v>315</v>
      </c>
      <c r="I58" s="1" t="s">
        <v>120</v>
      </c>
      <c r="J58" s="1" t="s">
        <v>316</v>
      </c>
      <c r="K58" s="13" t="s">
        <v>317</v>
      </c>
      <c r="L58" s="1" t="s">
        <v>318</v>
      </c>
      <c r="M58" s="1" t="s">
        <v>319</v>
      </c>
      <c r="N58" s="1" t="s">
        <v>228</v>
      </c>
      <c r="P58" s="14" t="str">
        <f aca="false">IFERROR(VLOOKUP($E58,09B_MAP_LOAI_DAURA!$A$5:$C$18,2,0),"KHÔNG CÓ TRONG TỪ ĐIỂN")</f>
        <v>Báo cáo tổng kết đề tài</v>
      </c>
      <c r="Q58" s="14" t="str">
        <f aca="false">IFERROR(VLOOKUP($E58,09B_MAP_LOAI_DAURA!$A$5:$C$18,3,0),"KHÔNG CÓ TRONG TỪ ĐIỂN")</f>
        <v>Bắt buộc hành chính</v>
      </c>
    </row>
    <row r="59" customFormat="false" ht="15" hidden="false" customHeight="false" outlineLevel="0" collapsed="false">
      <c r="A59" s="1" t="s">
        <v>457</v>
      </c>
      <c r="B59" s="1" t="s">
        <v>223</v>
      </c>
      <c r="C59" s="1" t="n">
        <v>2024</v>
      </c>
      <c r="D59" s="1" t="s">
        <v>458</v>
      </c>
      <c r="E59" s="1" t="s">
        <v>432</v>
      </c>
      <c r="F59" s="1" t="n">
        <v>1</v>
      </c>
      <c r="G59" s="1" t="s">
        <v>459</v>
      </c>
      <c r="H59" s="1" t="s">
        <v>315</v>
      </c>
      <c r="I59" s="1" t="s">
        <v>120</v>
      </c>
      <c r="J59" s="1" t="s">
        <v>433</v>
      </c>
      <c r="K59" s="13" t="s">
        <v>358</v>
      </c>
      <c r="L59" s="1" t="s">
        <v>120</v>
      </c>
      <c r="M59" s="1" t="s">
        <v>319</v>
      </c>
      <c r="N59" s="1" t="s">
        <v>228</v>
      </c>
      <c r="P59" s="14" t="str">
        <f aca="false">IFERROR(VLOOKUP($E59,09B_MAP_LOAI_DAURA!$A$5:$C$18,2,0),"KHÔNG CÓ TRONG TỪ ĐIỂN")</f>
        <v>Quy trình/giải pháp/công thức</v>
      </c>
      <c r="Q59" s="14" t="str">
        <f aca="false">IFERROR(VLOOKUP($E59,09B_MAP_LOAI_DAURA!$A$5:$C$18,3,0),"KHÔNG CÓ TRONG TỪ ĐIỂN")</f>
        <v>Ứng viên TSTT</v>
      </c>
    </row>
    <row r="60" customFormat="false" ht="15" hidden="false" customHeight="false" outlineLevel="0" collapsed="false">
      <c r="A60" s="1" t="s">
        <v>460</v>
      </c>
      <c r="B60" s="1" t="s">
        <v>223</v>
      </c>
      <c r="C60" s="1" t="n">
        <v>2024</v>
      </c>
      <c r="D60" s="1" t="s">
        <v>435</v>
      </c>
      <c r="E60" s="1" t="s">
        <v>313</v>
      </c>
      <c r="F60" s="1" t="n">
        <v>1</v>
      </c>
      <c r="G60" s="1" t="s">
        <v>314</v>
      </c>
      <c r="H60" s="1" t="s">
        <v>315</v>
      </c>
      <c r="I60" s="1" t="s">
        <v>120</v>
      </c>
      <c r="J60" s="1" t="s">
        <v>316</v>
      </c>
      <c r="K60" s="13" t="s">
        <v>317</v>
      </c>
      <c r="L60" s="1" t="s">
        <v>318</v>
      </c>
      <c r="M60" s="1" t="s">
        <v>319</v>
      </c>
      <c r="N60" s="1" t="s">
        <v>228</v>
      </c>
      <c r="P60" s="14" t="str">
        <f aca="false">IFERROR(VLOOKUP($E60,09B_MAP_LOAI_DAURA!$A$5:$C$18,2,0),"KHÔNG CÓ TRONG TỪ ĐIỂN")</f>
        <v>Báo cáo tổng kết đề tài</v>
      </c>
      <c r="Q60" s="14" t="str">
        <f aca="false">IFERROR(VLOOKUP($E60,09B_MAP_LOAI_DAURA!$A$5:$C$18,3,0),"KHÔNG CÓ TRONG TỪ ĐIỂN")</f>
        <v>Bắt buộc hành chính</v>
      </c>
    </row>
    <row r="61" customFormat="false" ht="15" hidden="false" customHeight="false" outlineLevel="0" collapsed="false">
      <c r="A61" s="1" t="s">
        <v>461</v>
      </c>
      <c r="B61" s="1" t="s">
        <v>229</v>
      </c>
      <c r="C61" s="1" t="n">
        <v>2024</v>
      </c>
      <c r="D61" s="1" t="s">
        <v>445</v>
      </c>
      <c r="E61" s="1" t="s">
        <v>325</v>
      </c>
      <c r="F61" s="1" t="n">
        <v>1</v>
      </c>
      <c r="G61" s="1" t="s">
        <v>326</v>
      </c>
      <c r="H61" s="1" t="s">
        <v>327</v>
      </c>
      <c r="I61" s="1" t="s">
        <v>120</v>
      </c>
      <c r="J61" s="1" t="s">
        <v>316</v>
      </c>
      <c r="K61" s="13" t="s">
        <v>317</v>
      </c>
      <c r="L61" s="1" t="s">
        <v>318</v>
      </c>
      <c r="M61" s="1" t="s">
        <v>328</v>
      </c>
      <c r="N61" s="1" t="s">
        <v>228</v>
      </c>
      <c r="P61" s="14" t="str">
        <f aca="false">IFERROR(VLOOKUP($E61,09B_MAP_LOAI_DAURA!$A$5:$C$18,2,0),"KHÔNG CÓ TRONG TỪ ĐIỂN")</f>
        <v>Công bố khoa học</v>
      </c>
      <c r="Q61" s="14" t="str">
        <f aca="false">IFERROR(VLOOKUP($E61,09B_MAP_LOAI_DAURA!$A$5:$C$18,3,0),"KHÔNG CÓ TRONG TỪ ĐIỂN")</f>
        <v>Công bố</v>
      </c>
    </row>
    <row r="62" customFormat="false" ht="15" hidden="false" customHeight="false" outlineLevel="0" collapsed="false">
      <c r="A62" s="1" t="s">
        <v>462</v>
      </c>
      <c r="B62" s="1" t="s">
        <v>229</v>
      </c>
      <c r="C62" s="1" t="n">
        <v>2024</v>
      </c>
      <c r="D62" s="1" t="s">
        <v>463</v>
      </c>
      <c r="E62" s="1" t="s">
        <v>362</v>
      </c>
      <c r="F62" s="1" t="n">
        <v>60</v>
      </c>
      <c r="G62" s="1" t="s">
        <v>464</v>
      </c>
      <c r="H62" s="1" t="s">
        <v>315</v>
      </c>
      <c r="I62" s="1" t="s">
        <v>120</v>
      </c>
      <c r="J62" s="1" t="s">
        <v>465</v>
      </c>
      <c r="K62" s="13" t="s">
        <v>358</v>
      </c>
      <c r="L62" s="1" t="s">
        <v>120</v>
      </c>
      <c r="M62" s="1" t="s">
        <v>319</v>
      </c>
      <c r="N62" s="1" t="s">
        <v>228</v>
      </c>
      <c r="P62" s="14" t="str">
        <f aca="false">IFERROR(VLOOKUP($E62,09B_MAP_LOAI_DAURA!$A$5:$C$18,2,0),"KHÔNG CÓ TRONG TỪ ĐIỂN")</f>
        <v>Sản phẩm/mô hình/prototype</v>
      </c>
      <c r="Q62" s="14" t="str">
        <f aca="false">IFERROR(VLOOKUP($E62,09B_MAP_LOAI_DAURA!$A$5:$C$18,3,0),"KHÔNG CÓ TRONG TỪ ĐIỂN")</f>
        <v>Ứng viên TSTT</v>
      </c>
    </row>
    <row r="63" customFormat="false" ht="15" hidden="false" customHeight="false" outlineLevel="0" collapsed="false">
      <c r="A63" s="1" t="s">
        <v>466</v>
      </c>
      <c r="B63" s="1" t="s">
        <v>229</v>
      </c>
      <c r="C63" s="1" t="n">
        <v>2024</v>
      </c>
      <c r="D63" s="1" t="s">
        <v>467</v>
      </c>
      <c r="E63" s="1" t="s">
        <v>432</v>
      </c>
      <c r="F63" s="1" t="n">
        <v>1</v>
      </c>
      <c r="G63" s="1" t="s">
        <v>369</v>
      </c>
      <c r="H63" s="1" t="s">
        <v>315</v>
      </c>
      <c r="I63" s="1" t="s">
        <v>120</v>
      </c>
      <c r="J63" s="1" t="s">
        <v>433</v>
      </c>
      <c r="K63" s="13" t="s">
        <v>358</v>
      </c>
      <c r="L63" s="1" t="s">
        <v>120</v>
      </c>
      <c r="M63" s="1" t="s">
        <v>319</v>
      </c>
      <c r="N63" s="1" t="s">
        <v>228</v>
      </c>
      <c r="P63" s="14" t="str">
        <f aca="false">IFERROR(VLOOKUP($E63,09B_MAP_LOAI_DAURA!$A$5:$C$18,2,0),"KHÔNG CÓ TRONG TỪ ĐIỂN")</f>
        <v>Quy trình/giải pháp/công thức</v>
      </c>
      <c r="Q63" s="14" t="str">
        <f aca="false">IFERROR(VLOOKUP($E63,09B_MAP_LOAI_DAURA!$A$5:$C$18,3,0),"KHÔNG CÓ TRONG TỪ ĐIỂN")</f>
        <v>Ứng viên TSTT</v>
      </c>
    </row>
    <row r="64" customFormat="false" ht="15" hidden="false" customHeight="false" outlineLevel="0" collapsed="false">
      <c r="A64" s="1" t="s">
        <v>468</v>
      </c>
      <c r="B64" s="1" t="s">
        <v>229</v>
      </c>
      <c r="C64" s="1" t="n">
        <v>2024</v>
      </c>
      <c r="D64" s="1" t="s">
        <v>435</v>
      </c>
      <c r="E64" s="1" t="s">
        <v>313</v>
      </c>
      <c r="F64" s="1" t="n">
        <v>1</v>
      </c>
      <c r="G64" s="1" t="s">
        <v>314</v>
      </c>
      <c r="H64" s="1" t="s">
        <v>315</v>
      </c>
      <c r="I64" s="1" t="s">
        <v>120</v>
      </c>
      <c r="J64" s="1" t="s">
        <v>316</v>
      </c>
      <c r="K64" s="13" t="s">
        <v>317</v>
      </c>
      <c r="L64" s="1" t="s">
        <v>318</v>
      </c>
      <c r="M64" s="1" t="s">
        <v>319</v>
      </c>
      <c r="N64" s="1" t="s">
        <v>228</v>
      </c>
      <c r="P64" s="14" t="str">
        <f aca="false">IFERROR(VLOOKUP($E64,09B_MAP_LOAI_DAURA!$A$5:$C$18,2,0),"KHÔNG CÓ TRONG TỪ ĐIỂN")</f>
        <v>Báo cáo tổng kết đề tài</v>
      </c>
      <c r="Q64" s="14" t="str">
        <f aca="false">IFERROR(VLOOKUP($E64,09B_MAP_LOAI_DAURA!$A$5:$C$18,3,0),"KHÔNG CÓ TRONG TỪ ĐIỂN")</f>
        <v>Bắt buộc hành chính</v>
      </c>
    </row>
    <row r="65" customFormat="false" ht="15" hidden="false" customHeight="false" outlineLevel="0" collapsed="false">
      <c r="A65" s="1" t="s">
        <v>469</v>
      </c>
      <c r="B65" s="1" t="s">
        <v>234</v>
      </c>
      <c r="C65" s="1" t="n">
        <v>2024</v>
      </c>
      <c r="D65" s="1" t="s">
        <v>445</v>
      </c>
      <c r="E65" s="1" t="s">
        <v>325</v>
      </c>
      <c r="F65" s="1" t="n">
        <v>1</v>
      </c>
      <c r="G65" s="1" t="s">
        <v>326</v>
      </c>
      <c r="H65" s="1" t="s">
        <v>327</v>
      </c>
      <c r="I65" s="1" t="s">
        <v>120</v>
      </c>
      <c r="J65" s="1" t="s">
        <v>316</v>
      </c>
      <c r="K65" s="13" t="s">
        <v>317</v>
      </c>
      <c r="L65" s="1" t="s">
        <v>318</v>
      </c>
      <c r="M65" s="1" t="s">
        <v>328</v>
      </c>
      <c r="N65" s="1" t="s">
        <v>228</v>
      </c>
      <c r="P65" s="14" t="str">
        <f aca="false">IFERROR(VLOOKUP($E65,09B_MAP_LOAI_DAURA!$A$5:$C$18,2,0),"KHÔNG CÓ TRONG TỪ ĐIỂN")</f>
        <v>Công bố khoa học</v>
      </c>
      <c r="Q65" s="14" t="str">
        <f aca="false">IFERROR(VLOOKUP($E65,09B_MAP_LOAI_DAURA!$A$5:$C$18,3,0),"KHÔNG CÓ TRONG TỪ ĐIỂN")</f>
        <v>Công bố</v>
      </c>
    </row>
    <row r="66" customFormat="false" ht="15" hidden="false" customHeight="false" outlineLevel="0" collapsed="false">
      <c r="A66" s="1" t="s">
        <v>470</v>
      </c>
      <c r="B66" s="1" t="s">
        <v>234</v>
      </c>
      <c r="C66" s="1" t="n">
        <v>2024</v>
      </c>
      <c r="D66" s="1" t="s">
        <v>435</v>
      </c>
      <c r="E66" s="1" t="s">
        <v>313</v>
      </c>
      <c r="F66" s="1" t="n">
        <v>1</v>
      </c>
      <c r="G66" s="1" t="s">
        <v>314</v>
      </c>
      <c r="H66" s="1" t="s">
        <v>315</v>
      </c>
      <c r="I66" s="1" t="s">
        <v>120</v>
      </c>
      <c r="J66" s="1" t="s">
        <v>316</v>
      </c>
      <c r="K66" s="13" t="s">
        <v>317</v>
      </c>
      <c r="L66" s="1" t="s">
        <v>318</v>
      </c>
      <c r="M66" s="1" t="s">
        <v>319</v>
      </c>
      <c r="N66" s="1" t="s">
        <v>228</v>
      </c>
      <c r="P66" s="14" t="str">
        <f aca="false">IFERROR(VLOOKUP($E66,09B_MAP_LOAI_DAURA!$A$5:$C$18,2,0),"KHÔNG CÓ TRONG TỪ ĐIỂN")</f>
        <v>Báo cáo tổng kết đề tài</v>
      </c>
      <c r="Q66" s="14" t="str">
        <f aca="false">IFERROR(VLOOKUP($E66,09B_MAP_LOAI_DAURA!$A$5:$C$18,3,0),"KHÔNG CÓ TRONG TỪ ĐIỂN")</f>
        <v>Bắt buộc hành chính</v>
      </c>
    </row>
    <row r="67" customFormat="false" ht="15" hidden="false" customHeight="false" outlineLevel="0" collapsed="false">
      <c r="A67" s="1" t="s">
        <v>471</v>
      </c>
      <c r="B67" s="1" t="s">
        <v>238</v>
      </c>
      <c r="C67" s="1" t="n">
        <v>2024</v>
      </c>
      <c r="D67" s="1" t="s">
        <v>472</v>
      </c>
      <c r="E67" s="1" t="s">
        <v>325</v>
      </c>
      <c r="F67" s="1" t="n">
        <v>1</v>
      </c>
      <c r="G67" s="1" t="s">
        <v>326</v>
      </c>
      <c r="H67" s="1" t="s">
        <v>327</v>
      </c>
      <c r="I67" s="1" t="s">
        <v>120</v>
      </c>
      <c r="J67" s="1" t="s">
        <v>316</v>
      </c>
      <c r="K67" s="13" t="s">
        <v>317</v>
      </c>
      <c r="L67" s="1" t="s">
        <v>318</v>
      </c>
      <c r="M67" s="1" t="s">
        <v>328</v>
      </c>
      <c r="N67" s="1" t="s">
        <v>245</v>
      </c>
      <c r="P67" s="14" t="str">
        <f aca="false">IFERROR(VLOOKUP($E67,09B_MAP_LOAI_DAURA!$A$5:$C$18,2,0),"KHÔNG CÓ TRONG TỪ ĐIỂN")</f>
        <v>Công bố khoa học</v>
      </c>
      <c r="Q67" s="14" t="str">
        <f aca="false">IFERROR(VLOOKUP($E67,09B_MAP_LOAI_DAURA!$A$5:$C$18,3,0),"KHÔNG CÓ TRONG TỪ ĐIỂN")</f>
        <v>Công bố</v>
      </c>
    </row>
    <row r="68" customFormat="false" ht="15" hidden="false" customHeight="false" outlineLevel="0" collapsed="false">
      <c r="A68" s="1" t="s">
        <v>473</v>
      </c>
      <c r="B68" s="1" t="s">
        <v>238</v>
      </c>
      <c r="C68" s="1" t="n">
        <v>2024</v>
      </c>
      <c r="D68" s="1" t="s">
        <v>474</v>
      </c>
      <c r="E68" s="1" t="s">
        <v>325</v>
      </c>
      <c r="F68" s="1" t="n">
        <v>2</v>
      </c>
      <c r="G68" s="1" t="s">
        <v>326</v>
      </c>
      <c r="H68" s="1" t="s">
        <v>327</v>
      </c>
      <c r="I68" s="1" t="s">
        <v>120</v>
      </c>
      <c r="J68" s="1" t="s">
        <v>316</v>
      </c>
      <c r="K68" s="13" t="s">
        <v>317</v>
      </c>
      <c r="L68" s="1" t="s">
        <v>318</v>
      </c>
      <c r="M68" s="1" t="s">
        <v>328</v>
      </c>
      <c r="N68" s="1" t="s">
        <v>245</v>
      </c>
      <c r="P68" s="14" t="str">
        <f aca="false">IFERROR(VLOOKUP($E68,09B_MAP_LOAI_DAURA!$A$5:$C$18,2,0),"KHÔNG CÓ TRONG TỪ ĐIỂN")</f>
        <v>Công bố khoa học</v>
      </c>
      <c r="Q68" s="14" t="str">
        <f aca="false">IFERROR(VLOOKUP($E68,09B_MAP_LOAI_DAURA!$A$5:$C$18,3,0),"KHÔNG CÓ TRONG TỪ ĐIỂN")</f>
        <v>Công bố</v>
      </c>
    </row>
    <row r="69" customFormat="false" ht="15" hidden="false" customHeight="false" outlineLevel="0" collapsed="false">
      <c r="A69" s="1" t="s">
        <v>475</v>
      </c>
      <c r="B69" s="1" t="s">
        <v>238</v>
      </c>
      <c r="C69" s="1" t="n">
        <v>2024</v>
      </c>
      <c r="D69" s="1" t="s">
        <v>435</v>
      </c>
      <c r="E69" s="1" t="s">
        <v>313</v>
      </c>
      <c r="F69" s="1" t="n">
        <v>1</v>
      </c>
      <c r="G69" s="1" t="s">
        <v>314</v>
      </c>
      <c r="H69" s="1" t="s">
        <v>315</v>
      </c>
      <c r="I69" s="1" t="s">
        <v>120</v>
      </c>
      <c r="J69" s="1" t="s">
        <v>316</v>
      </c>
      <c r="K69" s="13" t="s">
        <v>317</v>
      </c>
      <c r="L69" s="1" t="s">
        <v>318</v>
      </c>
      <c r="M69" s="1" t="s">
        <v>319</v>
      </c>
      <c r="N69" s="1" t="s">
        <v>245</v>
      </c>
      <c r="P69" s="14" t="str">
        <f aca="false">IFERROR(VLOOKUP($E69,09B_MAP_LOAI_DAURA!$A$5:$C$18,2,0),"KHÔNG CÓ TRONG TỪ ĐIỂN")</f>
        <v>Báo cáo tổng kết đề tài</v>
      </c>
      <c r="Q69" s="14" t="str">
        <f aca="false">IFERROR(VLOOKUP($E69,09B_MAP_LOAI_DAURA!$A$5:$C$18,3,0),"KHÔNG CÓ TRONG TỪ ĐIỂN")</f>
        <v>Bắt buộc hành chính</v>
      </c>
    </row>
    <row r="70" customFormat="false" ht="15" hidden="false" customHeight="false" outlineLevel="0" collapsed="false">
      <c r="A70" s="1" t="s">
        <v>476</v>
      </c>
      <c r="B70" s="1" t="s">
        <v>246</v>
      </c>
      <c r="C70" s="1" t="n">
        <v>2024</v>
      </c>
      <c r="D70" s="1" t="s">
        <v>477</v>
      </c>
      <c r="E70" s="1" t="s">
        <v>325</v>
      </c>
      <c r="F70" s="1" t="n">
        <v>1</v>
      </c>
      <c r="G70" s="1" t="s">
        <v>326</v>
      </c>
      <c r="H70" s="1" t="s">
        <v>327</v>
      </c>
      <c r="I70" s="1" t="s">
        <v>120</v>
      </c>
      <c r="J70" s="1" t="s">
        <v>316</v>
      </c>
      <c r="K70" s="13" t="s">
        <v>317</v>
      </c>
      <c r="L70" s="1" t="s">
        <v>318</v>
      </c>
      <c r="M70" s="1" t="s">
        <v>328</v>
      </c>
      <c r="N70" s="1" t="s">
        <v>245</v>
      </c>
      <c r="P70" s="14" t="str">
        <f aca="false">IFERROR(VLOOKUP($E70,09B_MAP_LOAI_DAURA!$A$5:$C$18,2,0),"KHÔNG CÓ TRONG TỪ ĐIỂN")</f>
        <v>Công bố khoa học</v>
      </c>
      <c r="Q70" s="14" t="str">
        <f aca="false">IFERROR(VLOOKUP($E70,09B_MAP_LOAI_DAURA!$A$5:$C$18,3,0),"KHÔNG CÓ TRONG TỪ ĐIỂN")</f>
        <v>Công bố</v>
      </c>
    </row>
    <row r="71" customFormat="false" ht="15" hidden="false" customHeight="false" outlineLevel="0" collapsed="false">
      <c r="A71" s="1" t="s">
        <v>478</v>
      </c>
      <c r="B71" s="1" t="s">
        <v>246</v>
      </c>
      <c r="C71" s="1" t="n">
        <v>2024</v>
      </c>
      <c r="D71" s="1" t="s">
        <v>435</v>
      </c>
      <c r="E71" s="1" t="s">
        <v>313</v>
      </c>
      <c r="F71" s="1" t="n">
        <v>1</v>
      </c>
      <c r="G71" s="1" t="s">
        <v>314</v>
      </c>
      <c r="H71" s="1" t="s">
        <v>315</v>
      </c>
      <c r="I71" s="1" t="s">
        <v>120</v>
      </c>
      <c r="J71" s="1" t="s">
        <v>316</v>
      </c>
      <c r="K71" s="13" t="s">
        <v>317</v>
      </c>
      <c r="L71" s="1" t="s">
        <v>318</v>
      </c>
      <c r="M71" s="1" t="s">
        <v>319</v>
      </c>
      <c r="N71" s="1" t="s">
        <v>245</v>
      </c>
      <c r="P71" s="14" t="str">
        <f aca="false">IFERROR(VLOOKUP($E71,09B_MAP_LOAI_DAURA!$A$5:$C$18,2,0),"KHÔNG CÓ TRONG TỪ ĐIỂN")</f>
        <v>Báo cáo tổng kết đề tài</v>
      </c>
      <c r="Q71" s="14" t="str">
        <f aca="false">IFERROR(VLOOKUP($E71,09B_MAP_LOAI_DAURA!$A$5:$C$18,3,0),"KHÔNG CÓ TRONG TỪ ĐIỂN")</f>
        <v>Bắt buộc hành chính</v>
      </c>
    </row>
    <row r="72" customFormat="false" ht="15" hidden="false" customHeight="false" outlineLevel="0" collapsed="false">
      <c r="A72" s="1" t="s">
        <v>479</v>
      </c>
      <c r="B72" s="1" t="s">
        <v>250</v>
      </c>
      <c r="C72" s="1" t="n">
        <v>2024</v>
      </c>
      <c r="D72" s="1" t="s">
        <v>480</v>
      </c>
      <c r="E72" s="1" t="s">
        <v>325</v>
      </c>
      <c r="F72" s="1" t="n">
        <v>1</v>
      </c>
      <c r="G72" s="1" t="s">
        <v>326</v>
      </c>
      <c r="H72" s="1" t="s">
        <v>327</v>
      </c>
      <c r="I72" s="1" t="s">
        <v>120</v>
      </c>
      <c r="J72" s="1" t="s">
        <v>316</v>
      </c>
      <c r="K72" s="13" t="s">
        <v>317</v>
      </c>
      <c r="L72" s="1" t="s">
        <v>318</v>
      </c>
      <c r="M72" s="1" t="s">
        <v>328</v>
      </c>
      <c r="N72" s="1" t="s">
        <v>254</v>
      </c>
      <c r="P72" s="14" t="str">
        <f aca="false">IFERROR(VLOOKUP($E72,09B_MAP_LOAI_DAURA!$A$5:$C$18,2,0),"KHÔNG CÓ TRONG TỪ ĐIỂN")</f>
        <v>Công bố khoa học</v>
      </c>
      <c r="Q72" s="14" t="str">
        <f aca="false">IFERROR(VLOOKUP($E72,09B_MAP_LOAI_DAURA!$A$5:$C$18,3,0),"KHÔNG CÓ TRONG TỪ ĐIỂN")</f>
        <v>Công bố</v>
      </c>
    </row>
    <row r="73" customFormat="false" ht="15" hidden="false" customHeight="false" outlineLevel="0" collapsed="false">
      <c r="A73" s="1" t="s">
        <v>481</v>
      </c>
      <c r="B73" s="1" t="s">
        <v>250</v>
      </c>
      <c r="C73" s="1" t="n">
        <v>2024</v>
      </c>
      <c r="D73" s="1" t="s">
        <v>482</v>
      </c>
      <c r="E73" s="1" t="s">
        <v>325</v>
      </c>
      <c r="F73" s="1" t="n">
        <v>1</v>
      </c>
      <c r="G73" s="1" t="s">
        <v>326</v>
      </c>
      <c r="H73" s="1" t="s">
        <v>327</v>
      </c>
      <c r="I73" s="1" t="s">
        <v>120</v>
      </c>
      <c r="J73" s="1" t="s">
        <v>316</v>
      </c>
      <c r="K73" s="13" t="s">
        <v>317</v>
      </c>
      <c r="L73" s="1" t="s">
        <v>318</v>
      </c>
      <c r="M73" s="1" t="s">
        <v>328</v>
      </c>
      <c r="N73" s="1" t="s">
        <v>254</v>
      </c>
      <c r="P73" s="14" t="str">
        <f aca="false">IFERROR(VLOOKUP($E73,09B_MAP_LOAI_DAURA!$A$5:$C$18,2,0),"KHÔNG CÓ TRONG TỪ ĐIỂN")</f>
        <v>Công bố khoa học</v>
      </c>
      <c r="Q73" s="14" t="str">
        <f aca="false">IFERROR(VLOOKUP($E73,09B_MAP_LOAI_DAURA!$A$5:$C$18,3,0),"KHÔNG CÓ TRONG TỪ ĐIỂN")</f>
        <v>Công bố</v>
      </c>
    </row>
    <row r="74" customFormat="false" ht="15" hidden="false" customHeight="false" outlineLevel="0" collapsed="false">
      <c r="A74" s="1" t="s">
        <v>483</v>
      </c>
      <c r="B74" s="1" t="s">
        <v>250</v>
      </c>
      <c r="C74" s="1" t="n">
        <v>2024</v>
      </c>
      <c r="D74" s="1" t="s">
        <v>435</v>
      </c>
      <c r="E74" s="1" t="s">
        <v>313</v>
      </c>
      <c r="F74" s="1" t="n">
        <v>1</v>
      </c>
      <c r="G74" s="1" t="s">
        <v>314</v>
      </c>
      <c r="H74" s="1" t="s">
        <v>315</v>
      </c>
      <c r="I74" s="1" t="s">
        <v>120</v>
      </c>
      <c r="J74" s="1" t="s">
        <v>316</v>
      </c>
      <c r="K74" s="13" t="s">
        <v>317</v>
      </c>
      <c r="L74" s="1" t="s">
        <v>318</v>
      </c>
      <c r="M74" s="1" t="s">
        <v>319</v>
      </c>
      <c r="N74" s="1" t="s">
        <v>254</v>
      </c>
      <c r="P74" s="14" t="str">
        <f aca="false">IFERROR(VLOOKUP($E74,09B_MAP_LOAI_DAURA!$A$5:$C$18,2,0),"KHÔNG CÓ TRONG TỪ ĐIỂN")</f>
        <v>Báo cáo tổng kết đề tài</v>
      </c>
      <c r="Q74" s="14" t="str">
        <f aca="false">IFERROR(VLOOKUP($E74,09B_MAP_LOAI_DAURA!$A$5:$C$18,3,0),"KHÔNG CÓ TRONG TỪ ĐIỂN")</f>
        <v>Bắt buộc hành chính</v>
      </c>
    </row>
    <row r="75" customFormat="false" ht="15" hidden="false" customHeight="false" outlineLevel="0" collapsed="false">
      <c r="A75" s="1" t="s">
        <v>484</v>
      </c>
      <c r="B75" s="1" t="s">
        <v>256</v>
      </c>
      <c r="C75" s="1" t="n">
        <v>2025</v>
      </c>
      <c r="D75" s="1" t="s">
        <v>456</v>
      </c>
      <c r="E75" s="1" t="s">
        <v>313</v>
      </c>
      <c r="F75" s="1" t="n">
        <v>1</v>
      </c>
      <c r="G75" s="1" t="s">
        <v>314</v>
      </c>
      <c r="H75" s="1" t="s">
        <v>315</v>
      </c>
      <c r="I75" s="1" t="s">
        <v>120</v>
      </c>
      <c r="J75" s="1" t="s">
        <v>316</v>
      </c>
      <c r="K75" s="13" t="s">
        <v>317</v>
      </c>
      <c r="L75" s="1" t="s">
        <v>318</v>
      </c>
      <c r="M75" s="1" t="s">
        <v>319</v>
      </c>
      <c r="N75" s="1" t="s">
        <v>260</v>
      </c>
      <c r="P75" s="14" t="str">
        <f aca="false">IFERROR(VLOOKUP($E75,09B_MAP_LOAI_DAURA!$A$5:$C$18,2,0),"KHÔNG CÓ TRONG TỪ ĐIỂN")</f>
        <v>Báo cáo tổng kết đề tài</v>
      </c>
      <c r="Q75" s="14" t="str">
        <f aca="false">IFERROR(VLOOKUP($E75,09B_MAP_LOAI_DAURA!$A$5:$C$18,3,0),"KHÔNG CÓ TRONG TỪ ĐIỂN")</f>
        <v>Bắt buộc hành chính</v>
      </c>
    </row>
    <row r="76" customFormat="false" ht="15" hidden="false" customHeight="false" outlineLevel="0" collapsed="false">
      <c r="A76" s="1" t="s">
        <v>485</v>
      </c>
      <c r="B76" s="1" t="s">
        <v>256</v>
      </c>
      <c r="C76" s="1" t="n">
        <v>2025</v>
      </c>
      <c r="D76" s="1" t="s">
        <v>486</v>
      </c>
      <c r="E76" s="1" t="s">
        <v>325</v>
      </c>
      <c r="F76" s="1" t="n">
        <v>1</v>
      </c>
      <c r="G76" s="1" t="s">
        <v>326</v>
      </c>
      <c r="H76" s="1" t="s">
        <v>327</v>
      </c>
      <c r="I76" s="1" t="s">
        <v>120</v>
      </c>
      <c r="J76" s="1" t="s">
        <v>316</v>
      </c>
      <c r="K76" s="13" t="s">
        <v>317</v>
      </c>
      <c r="L76" s="1" t="s">
        <v>318</v>
      </c>
      <c r="M76" s="1" t="s">
        <v>328</v>
      </c>
      <c r="N76" s="1" t="s">
        <v>260</v>
      </c>
      <c r="P76" s="14" t="str">
        <f aca="false">IFERROR(VLOOKUP($E76,09B_MAP_LOAI_DAURA!$A$5:$C$18,2,0),"KHÔNG CÓ TRONG TỪ ĐIỂN")</f>
        <v>Công bố khoa học</v>
      </c>
      <c r="Q76" s="14" t="str">
        <f aca="false">IFERROR(VLOOKUP($E76,09B_MAP_LOAI_DAURA!$A$5:$C$18,3,0),"KHÔNG CÓ TRONG TỪ ĐIỂN")</f>
        <v>Công bố</v>
      </c>
    </row>
    <row r="77" customFormat="false" ht="15" hidden="false" customHeight="false" outlineLevel="0" collapsed="false">
      <c r="A77" s="1" t="s">
        <v>487</v>
      </c>
      <c r="B77" s="1" t="s">
        <v>262</v>
      </c>
      <c r="C77" s="1" t="n">
        <v>2025</v>
      </c>
      <c r="D77" s="1" t="s">
        <v>456</v>
      </c>
      <c r="E77" s="1" t="s">
        <v>313</v>
      </c>
      <c r="F77" s="1" t="n">
        <v>1</v>
      </c>
      <c r="G77" s="1" t="s">
        <v>314</v>
      </c>
      <c r="H77" s="1" t="s">
        <v>315</v>
      </c>
      <c r="I77" s="1" t="s">
        <v>120</v>
      </c>
      <c r="J77" s="1" t="s">
        <v>316</v>
      </c>
      <c r="K77" s="13" t="s">
        <v>317</v>
      </c>
      <c r="L77" s="1" t="s">
        <v>318</v>
      </c>
      <c r="M77" s="1" t="s">
        <v>319</v>
      </c>
      <c r="N77" s="1" t="s">
        <v>260</v>
      </c>
      <c r="P77" s="14" t="str">
        <f aca="false">IFERROR(VLOOKUP($E77,09B_MAP_LOAI_DAURA!$A$5:$C$18,2,0),"KHÔNG CÓ TRONG TỪ ĐIỂN")</f>
        <v>Báo cáo tổng kết đề tài</v>
      </c>
      <c r="Q77" s="14" t="str">
        <f aca="false">IFERROR(VLOOKUP($E77,09B_MAP_LOAI_DAURA!$A$5:$C$18,3,0),"KHÔNG CÓ TRONG TỪ ĐIỂN")</f>
        <v>Bắt buộc hành chính</v>
      </c>
    </row>
    <row r="78" customFormat="false" ht="15" hidden="false" customHeight="false" outlineLevel="0" collapsed="false">
      <c r="A78" s="1" t="s">
        <v>488</v>
      </c>
      <c r="B78" s="1" t="s">
        <v>262</v>
      </c>
      <c r="C78" s="1" t="n">
        <v>2025</v>
      </c>
      <c r="D78" s="1" t="s">
        <v>486</v>
      </c>
      <c r="E78" s="1" t="s">
        <v>325</v>
      </c>
      <c r="F78" s="1" t="n">
        <v>1</v>
      </c>
      <c r="G78" s="1" t="s">
        <v>326</v>
      </c>
      <c r="H78" s="1" t="s">
        <v>327</v>
      </c>
      <c r="I78" s="1" t="s">
        <v>120</v>
      </c>
      <c r="J78" s="1" t="s">
        <v>316</v>
      </c>
      <c r="K78" s="13" t="s">
        <v>317</v>
      </c>
      <c r="L78" s="1" t="s">
        <v>318</v>
      </c>
      <c r="M78" s="1" t="s">
        <v>328</v>
      </c>
      <c r="N78" s="1" t="s">
        <v>260</v>
      </c>
      <c r="P78" s="14" t="str">
        <f aca="false">IFERROR(VLOOKUP($E78,09B_MAP_LOAI_DAURA!$A$5:$C$18,2,0),"KHÔNG CÓ TRONG TỪ ĐIỂN")</f>
        <v>Công bố khoa học</v>
      </c>
      <c r="Q78" s="14" t="str">
        <f aca="false">IFERROR(VLOOKUP($E78,09B_MAP_LOAI_DAURA!$A$5:$C$18,3,0),"KHÔNG CÓ TRONG TỪ ĐIỂN")</f>
        <v>Công bố</v>
      </c>
    </row>
    <row r="79" customFormat="false" ht="15" hidden="false" customHeight="false" outlineLevel="0" collapsed="false">
      <c r="A79" s="1" t="s">
        <v>489</v>
      </c>
      <c r="B79" s="1" t="s">
        <v>267</v>
      </c>
      <c r="C79" s="1" t="n">
        <v>2025</v>
      </c>
      <c r="D79" s="1" t="s">
        <v>486</v>
      </c>
      <c r="E79" s="1" t="s">
        <v>325</v>
      </c>
      <c r="F79" s="1" t="n">
        <v>1</v>
      </c>
      <c r="G79" s="1" t="s">
        <v>326</v>
      </c>
      <c r="H79" s="1" t="s">
        <v>327</v>
      </c>
      <c r="I79" s="1" t="s">
        <v>120</v>
      </c>
      <c r="J79" s="1" t="s">
        <v>316</v>
      </c>
      <c r="K79" s="13" t="s">
        <v>317</v>
      </c>
      <c r="L79" s="1" t="s">
        <v>318</v>
      </c>
      <c r="M79" s="1" t="s">
        <v>328</v>
      </c>
      <c r="N79" s="1" t="s">
        <v>260</v>
      </c>
      <c r="P79" s="14" t="str">
        <f aca="false">IFERROR(VLOOKUP($E79,09B_MAP_LOAI_DAURA!$A$5:$C$18,2,0),"KHÔNG CÓ TRONG TỪ ĐIỂN")</f>
        <v>Công bố khoa học</v>
      </c>
      <c r="Q79" s="14" t="str">
        <f aca="false">IFERROR(VLOOKUP($E79,09B_MAP_LOAI_DAURA!$A$5:$C$18,3,0),"KHÔNG CÓ TRONG TỪ ĐIỂN")</f>
        <v>Công bố</v>
      </c>
    </row>
    <row r="80" customFormat="false" ht="15" hidden="false" customHeight="false" outlineLevel="0" collapsed="false">
      <c r="A80" s="1" t="s">
        <v>490</v>
      </c>
      <c r="B80" s="1" t="s">
        <v>267</v>
      </c>
      <c r="C80" s="1" t="n">
        <v>2025</v>
      </c>
      <c r="D80" s="1" t="s">
        <v>456</v>
      </c>
      <c r="E80" s="1" t="s">
        <v>313</v>
      </c>
      <c r="F80" s="1" t="n">
        <v>1</v>
      </c>
      <c r="G80" s="1" t="s">
        <v>314</v>
      </c>
      <c r="H80" s="1" t="s">
        <v>315</v>
      </c>
      <c r="I80" s="1" t="s">
        <v>120</v>
      </c>
      <c r="J80" s="1" t="s">
        <v>316</v>
      </c>
      <c r="K80" s="13" t="s">
        <v>317</v>
      </c>
      <c r="L80" s="1" t="s">
        <v>318</v>
      </c>
      <c r="M80" s="1" t="s">
        <v>319</v>
      </c>
      <c r="N80" s="1" t="s">
        <v>260</v>
      </c>
      <c r="P80" s="14" t="str">
        <f aca="false">IFERROR(VLOOKUP($E80,09B_MAP_LOAI_DAURA!$A$5:$C$18,2,0),"KHÔNG CÓ TRONG TỪ ĐIỂN")</f>
        <v>Báo cáo tổng kết đề tài</v>
      </c>
      <c r="Q80" s="14" t="str">
        <f aca="false">IFERROR(VLOOKUP($E80,09B_MAP_LOAI_DAURA!$A$5:$C$18,3,0),"KHÔNG CÓ TRONG TỪ ĐIỂN")</f>
        <v>Bắt buộc hành chính</v>
      </c>
    </row>
    <row r="81" customFormat="false" ht="15" hidden="false" customHeight="false" outlineLevel="0" collapsed="false">
      <c r="A81" s="1" t="s">
        <v>491</v>
      </c>
      <c r="B81" s="1" t="s">
        <v>272</v>
      </c>
      <c r="C81" s="1" t="n">
        <v>2025</v>
      </c>
      <c r="D81" s="1" t="s">
        <v>486</v>
      </c>
      <c r="E81" s="1" t="s">
        <v>325</v>
      </c>
      <c r="F81" s="1" t="n">
        <v>1</v>
      </c>
      <c r="G81" s="1" t="s">
        <v>326</v>
      </c>
      <c r="H81" s="1" t="s">
        <v>492</v>
      </c>
      <c r="I81" s="1" t="s">
        <v>120</v>
      </c>
      <c r="J81" s="1" t="s">
        <v>316</v>
      </c>
      <c r="K81" s="13" t="s">
        <v>317</v>
      </c>
      <c r="L81" s="1" t="s">
        <v>318</v>
      </c>
      <c r="M81" s="1" t="s">
        <v>328</v>
      </c>
      <c r="N81" s="1" t="s">
        <v>260</v>
      </c>
      <c r="P81" s="14" t="str">
        <f aca="false">IFERROR(VLOOKUP($E81,09B_MAP_LOAI_DAURA!$A$5:$C$18,2,0),"KHÔNG CÓ TRONG TỪ ĐIỂN")</f>
        <v>Công bố khoa học</v>
      </c>
      <c r="Q81" s="14" t="str">
        <f aca="false">IFERROR(VLOOKUP($E81,09B_MAP_LOAI_DAURA!$A$5:$C$18,3,0),"KHÔNG CÓ TRONG TỪ ĐIỂN")</f>
        <v>Công bố</v>
      </c>
    </row>
    <row r="82" customFormat="false" ht="15" hidden="false" customHeight="false" outlineLevel="0" collapsed="false">
      <c r="A82" s="1" t="s">
        <v>493</v>
      </c>
      <c r="B82" s="1" t="s">
        <v>277</v>
      </c>
      <c r="C82" s="1" t="n">
        <v>2025</v>
      </c>
      <c r="D82" s="1" t="s">
        <v>494</v>
      </c>
      <c r="E82" s="1" t="s">
        <v>325</v>
      </c>
      <c r="F82" s="1" t="n">
        <v>1</v>
      </c>
      <c r="G82" s="1" t="s">
        <v>326</v>
      </c>
      <c r="H82" s="1" t="s">
        <v>327</v>
      </c>
      <c r="I82" s="1" t="s">
        <v>120</v>
      </c>
      <c r="J82" s="1" t="s">
        <v>316</v>
      </c>
      <c r="K82" s="13" t="s">
        <v>317</v>
      </c>
      <c r="L82" s="1" t="s">
        <v>318</v>
      </c>
      <c r="M82" s="1" t="s">
        <v>328</v>
      </c>
      <c r="N82" s="1" t="s">
        <v>260</v>
      </c>
      <c r="P82" s="14" t="str">
        <f aca="false">IFERROR(VLOOKUP($E82,09B_MAP_LOAI_DAURA!$A$5:$C$18,2,0),"KHÔNG CÓ TRONG TỪ ĐIỂN")</f>
        <v>Công bố khoa học</v>
      </c>
      <c r="Q82" s="14" t="str">
        <f aca="false">IFERROR(VLOOKUP($E82,09B_MAP_LOAI_DAURA!$A$5:$C$18,3,0),"KHÔNG CÓ TRONG TỪ ĐIỂN")</f>
        <v>Công bố</v>
      </c>
    </row>
    <row r="83" customFormat="false" ht="15" hidden="false" customHeight="false" outlineLevel="0" collapsed="false">
      <c r="A83" s="1" t="s">
        <v>495</v>
      </c>
      <c r="B83" s="1" t="s">
        <v>277</v>
      </c>
      <c r="C83" s="1" t="n">
        <v>2025</v>
      </c>
      <c r="D83" s="1" t="s">
        <v>496</v>
      </c>
      <c r="E83" s="1" t="s">
        <v>432</v>
      </c>
      <c r="F83" s="1" t="n">
        <v>1</v>
      </c>
      <c r="G83" s="1" t="s">
        <v>497</v>
      </c>
      <c r="H83" s="1" t="s">
        <v>498</v>
      </c>
      <c r="I83" s="1" t="s">
        <v>120</v>
      </c>
      <c r="J83" s="1" t="s">
        <v>499</v>
      </c>
      <c r="K83" s="13" t="s">
        <v>358</v>
      </c>
      <c r="L83" s="1" t="s">
        <v>120</v>
      </c>
      <c r="M83" s="1" t="s">
        <v>319</v>
      </c>
      <c r="N83" s="1" t="s">
        <v>260</v>
      </c>
      <c r="P83" s="14" t="str">
        <f aca="false">IFERROR(VLOOKUP($E83,09B_MAP_LOAI_DAURA!$A$5:$C$18,2,0),"KHÔNG CÓ TRONG TỪ ĐIỂN")</f>
        <v>Quy trình/giải pháp/công thức</v>
      </c>
      <c r="Q83" s="14" t="str">
        <f aca="false">IFERROR(VLOOKUP($E83,09B_MAP_LOAI_DAURA!$A$5:$C$18,3,0),"KHÔNG CÓ TRONG TỪ ĐIỂN")</f>
        <v>Ứng viên TSTT</v>
      </c>
    </row>
    <row r="84" customFormat="false" ht="15" hidden="false" customHeight="false" outlineLevel="0" collapsed="false">
      <c r="A84" s="1" t="s">
        <v>500</v>
      </c>
      <c r="B84" s="1" t="s">
        <v>277</v>
      </c>
      <c r="C84" s="1" t="n">
        <v>2025</v>
      </c>
      <c r="D84" s="1" t="s">
        <v>501</v>
      </c>
      <c r="E84" s="1" t="s">
        <v>362</v>
      </c>
      <c r="F84" s="1" t="n">
        <v>50</v>
      </c>
      <c r="G84" s="1" t="s">
        <v>502</v>
      </c>
      <c r="H84" s="1" t="s">
        <v>315</v>
      </c>
      <c r="I84" s="1" t="s">
        <v>120</v>
      </c>
      <c r="J84" s="1" t="s">
        <v>503</v>
      </c>
      <c r="K84" s="13" t="s">
        <v>358</v>
      </c>
      <c r="L84" s="1" t="s">
        <v>120</v>
      </c>
      <c r="M84" s="1" t="s">
        <v>319</v>
      </c>
      <c r="N84" s="1" t="s">
        <v>260</v>
      </c>
      <c r="P84" s="14" t="str">
        <f aca="false">IFERROR(VLOOKUP($E84,09B_MAP_LOAI_DAURA!$A$5:$C$18,2,0),"KHÔNG CÓ TRONG TỪ ĐIỂN")</f>
        <v>Sản phẩm/mô hình/prototype</v>
      </c>
      <c r="Q84" s="14" t="str">
        <f aca="false">IFERROR(VLOOKUP($E84,09B_MAP_LOAI_DAURA!$A$5:$C$18,3,0),"KHÔNG CÓ TRONG TỪ ĐIỂN")</f>
        <v>Ứng viên TSTT</v>
      </c>
    </row>
    <row r="85" customFormat="false" ht="15" hidden="false" customHeight="false" outlineLevel="0" collapsed="false">
      <c r="A85" s="1" t="s">
        <v>504</v>
      </c>
      <c r="B85" s="1" t="s">
        <v>283</v>
      </c>
      <c r="C85" s="1" t="n">
        <v>2025</v>
      </c>
      <c r="D85" s="1" t="s">
        <v>435</v>
      </c>
      <c r="E85" s="1" t="s">
        <v>313</v>
      </c>
      <c r="F85" s="1" t="n">
        <v>1</v>
      </c>
      <c r="G85" s="1" t="s">
        <v>314</v>
      </c>
      <c r="H85" s="1" t="s">
        <v>315</v>
      </c>
      <c r="I85" s="1" t="s">
        <v>120</v>
      </c>
      <c r="J85" s="1" t="s">
        <v>316</v>
      </c>
      <c r="K85" s="13" t="s">
        <v>317</v>
      </c>
      <c r="L85" s="1" t="s">
        <v>318</v>
      </c>
      <c r="M85" s="1" t="s">
        <v>319</v>
      </c>
      <c r="N85" s="1" t="s">
        <v>260</v>
      </c>
      <c r="P85" s="14" t="str">
        <f aca="false">IFERROR(VLOOKUP($E85,09B_MAP_LOAI_DAURA!$A$5:$C$18,2,0),"KHÔNG CÓ TRONG TỪ ĐIỂN")</f>
        <v>Báo cáo tổng kết đề tài</v>
      </c>
      <c r="Q85" s="14" t="str">
        <f aca="false">IFERROR(VLOOKUP($E85,09B_MAP_LOAI_DAURA!$A$5:$C$18,3,0),"KHÔNG CÓ TRONG TỪ ĐIỂN")</f>
        <v>Bắt buộc hành chính</v>
      </c>
    </row>
    <row r="86" customFormat="false" ht="15" hidden="false" customHeight="false" outlineLevel="0" collapsed="false">
      <c r="A86" s="1" t="s">
        <v>505</v>
      </c>
      <c r="B86" s="1" t="s">
        <v>283</v>
      </c>
      <c r="C86" s="1" t="n">
        <v>2025</v>
      </c>
      <c r="D86" s="1" t="s">
        <v>506</v>
      </c>
      <c r="E86" s="1" t="s">
        <v>325</v>
      </c>
      <c r="F86" s="1" t="n">
        <v>1</v>
      </c>
      <c r="G86" s="1" t="s">
        <v>326</v>
      </c>
      <c r="H86" s="1" t="s">
        <v>327</v>
      </c>
      <c r="I86" s="1" t="s">
        <v>120</v>
      </c>
      <c r="J86" s="1" t="s">
        <v>316</v>
      </c>
      <c r="K86" s="13" t="s">
        <v>317</v>
      </c>
      <c r="L86" s="1" t="s">
        <v>318</v>
      </c>
      <c r="M86" s="1" t="s">
        <v>328</v>
      </c>
      <c r="N86" s="1" t="s">
        <v>260</v>
      </c>
      <c r="P86" s="14" t="str">
        <f aca="false">IFERROR(VLOOKUP($E86,09B_MAP_LOAI_DAURA!$A$5:$C$18,2,0),"KHÔNG CÓ TRONG TỪ ĐIỂN")</f>
        <v>Công bố khoa học</v>
      </c>
      <c r="Q86" s="14" t="str">
        <f aca="false">IFERROR(VLOOKUP($E86,09B_MAP_LOAI_DAURA!$A$5:$C$18,3,0),"KHÔNG CÓ TRONG TỪ ĐIỂN")</f>
        <v>Công bố</v>
      </c>
    </row>
    <row r="87" customFormat="false" ht="15" hidden="false" customHeight="false" outlineLevel="0" collapsed="false">
      <c r="A87" s="1" t="s">
        <v>507</v>
      </c>
      <c r="B87" s="1" t="s">
        <v>283</v>
      </c>
      <c r="C87" s="1" t="n">
        <v>2025</v>
      </c>
      <c r="D87" s="1" t="s">
        <v>508</v>
      </c>
      <c r="E87" s="1" t="s">
        <v>432</v>
      </c>
      <c r="F87" s="1" t="n">
        <v>1</v>
      </c>
      <c r="G87" s="1" t="s">
        <v>459</v>
      </c>
      <c r="H87" s="1" t="s">
        <v>509</v>
      </c>
      <c r="I87" s="1" t="s">
        <v>120</v>
      </c>
      <c r="J87" s="1" t="s">
        <v>499</v>
      </c>
      <c r="K87" s="13" t="s">
        <v>358</v>
      </c>
      <c r="L87" s="1" t="s">
        <v>120</v>
      </c>
      <c r="M87" s="1" t="s">
        <v>319</v>
      </c>
      <c r="N87" s="1" t="s">
        <v>260</v>
      </c>
      <c r="P87" s="14" t="str">
        <f aca="false">IFERROR(VLOOKUP($E87,09B_MAP_LOAI_DAURA!$A$5:$C$18,2,0),"KHÔNG CÓ TRONG TỪ ĐIỂN")</f>
        <v>Quy trình/giải pháp/công thức</v>
      </c>
      <c r="Q87" s="14" t="str">
        <f aca="false">IFERROR(VLOOKUP($E87,09B_MAP_LOAI_DAURA!$A$5:$C$18,3,0),"KHÔNG CÓ TRONG TỪ ĐIỂN")</f>
        <v>Ứng viên TSTT</v>
      </c>
    </row>
    <row r="88" customFormat="false" ht="15" hidden="false" customHeight="false" outlineLevel="0" collapsed="false">
      <c r="A88" s="1" t="s">
        <v>510</v>
      </c>
      <c r="B88" s="1" t="s">
        <v>283</v>
      </c>
      <c r="C88" s="1" t="n">
        <v>2025</v>
      </c>
      <c r="D88" s="1" t="s">
        <v>511</v>
      </c>
      <c r="E88" s="1" t="s">
        <v>362</v>
      </c>
      <c r="F88" s="1" t="n">
        <v>50</v>
      </c>
      <c r="G88" s="1" t="s">
        <v>512</v>
      </c>
      <c r="H88" s="1" t="s">
        <v>315</v>
      </c>
      <c r="I88" s="1" t="s">
        <v>120</v>
      </c>
      <c r="J88" s="1" t="s">
        <v>513</v>
      </c>
      <c r="K88" s="13" t="s">
        <v>358</v>
      </c>
      <c r="L88" s="1" t="s">
        <v>120</v>
      </c>
      <c r="M88" s="1" t="s">
        <v>319</v>
      </c>
      <c r="N88" s="1" t="s">
        <v>260</v>
      </c>
      <c r="P88" s="14" t="str">
        <f aca="false">IFERROR(VLOOKUP($E88,09B_MAP_LOAI_DAURA!$A$5:$C$18,2,0),"KHÔNG CÓ TRONG TỪ ĐIỂN")</f>
        <v>Sản phẩm/mô hình/prototype</v>
      </c>
      <c r="Q88" s="14" t="str">
        <f aca="false">IFERROR(VLOOKUP($E88,09B_MAP_LOAI_DAURA!$A$5:$C$18,3,0),"KHÔNG CÓ TRONG TỪ ĐIỂN")</f>
        <v>Ứng viên TSTT</v>
      </c>
    </row>
    <row r="89" customFormat="false" ht="15" hidden="false" customHeight="false" outlineLevel="0" collapsed="false">
      <c r="A89" s="1" t="s">
        <v>514</v>
      </c>
      <c r="B89" s="1" t="s">
        <v>288</v>
      </c>
      <c r="C89" s="1" t="n">
        <v>2025</v>
      </c>
      <c r="D89" s="1" t="s">
        <v>515</v>
      </c>
      <c r="E89" s="1" t="s">
        <v>313</v>
      </c>
      <c r="F89" s="1" t="n">
        <v>1</v>
      </c>
      <c r="G89" s="1" t="s">
        <v>314</v>
      </c>
      <c r="H89" s="1" t="s">
        <v>516</v>
      </c>
      <c r="I89" s="1" t="s">
        <v>120</v>
      </c>
      <c r="J89" s="1" t="s">
        <v>316</v>
      </c>
      <c r="K89" s="13" t="s">
        <v>317</v>
      </c>
      <c r="L89" s="1" t="s">
        <v>318</v>
      </c>
      <c r="M89" s="1" t="s">
        <v>319</v>
      </c>
      <c r="N89" s="1" t="s">
        <v>260</v>
      </c>
      <c r="P89" s="14" t="str">
        <f aca="false">IFERROR(VLOOKUP($E89,09B_MAP_LOAI_DAURA!$A$5:$C$18,2,0),"KHÔNG CÓ TRONG TỪ ĐIỂN")</f>
        <v>Báo cáo tổng kết đề tài</v>
      </c>
      <c r="Q89" s="14" t="str">
        <f aca="false">IFERROR(VLOOKUP($E89,09B_MAP_LOAI_DAURA!$A$5:$C$18,3,0),"KHÔNG CÓ TRONG TỪ ĐIỂN")</f>
        <v>Bắt buộc hành chính</v>
      </c>
    </row>
    <row r="90" customFormat="false" ht="15" hidden="false" customHeight="false" outlineLevel="0" collapsed="false">
      <c r="A90" s="1" t="s">
        <v>517</v>
      </c>
      <c r="B90" s="1" t="s">
        <v>288</v>
      </c>
      <c r="C90" s="1" t="n">
        <v>2025</v>
      </c>
      <c r="D90" s="1" t="s">
        <v>518</v>
      </c>
      <c r="E90" s="1" t="s">
        <v>449</v>
      </c>
      <c r="F90" s="1" t="n">
        <v>1</v>
      </c>
      <c r="G90" s="1" t="s">
        <v>450</v>
      </c>
      <c r="H90" s="1" t="s">
        <v>327</v>
      </c>
      <c r="I90" s="1" t="s">
        <v>120</v>
      </c>
      <c r="J90" s="1" t="s">
        <v>316</v>
      </c>
      <c r="K90" s="13" t="s">
        <v>317</v>
      </c>
      <c r="L90" s="1" t="s">
        <v>318</v>
      </c>
      <c r="M90" s="1" t="s">
        <v>328</v>
      </c>
      <c r="N90" s="1" t="s">
        <v>260</v>
      </c>
      <c r="P90" s="14" t="str">
        <f aca="false">IFERROR(VLOOKUP($E90,09B_MAP_LOAI_DAURA!$A$5:$C$18,2,0),"KHÔNG CÓ TRONG TỪ ĐIỂN")</f>
        <v>Công bố khoa học</v>
      </c>
      <c r="Q90" s="14" t="str">
        <f aca="false">IFERROR(VLOOKUP($E90,09B_MAP_LOAI_DAURA!$A$5:$C$18,3,0),"KHÔNG CÓ TRONG TỪ ĐIỂN")</f>
        <v>Công bố</v>
      </c>
    </row>
    <row r="91" customFormat="false" ht="15" hidden="false" customHeight="false" outlineLevel="0" collapsed="false">
      <c r="A91" s="1" t="s">
        <v>519</v>
      </c>
      <c r="B91" s="1" t="s">
        <v>288</v>
      </c>
      <c r="C91" s="1" t="n">
        <v>2025</v>
      </c>
      <c r="D91" s="1" t="s">
        <v>520</v>
      </c>
      <c r="E91" s="1" t="s">
        <v>521</v>
      </c>
      <c r="F91" s="1" t="n">
        <v>1</v>
      </c>
      <c r="G91" s="1" t="s">
        <v>522</v>
      </c>
      <c r="H91" s="1" t="s">
        <v>523</v>
      </c>
      <c r="I91" s="1" t="s">
        <v>120</v>
      </c>
      <c r="J91" s="1" t="s">
        <v>524</v>
      </c>
      <c r="K91" s="13" t="s">
        <v>358</v>
      </c>
      <c r="L91" s="1" t="s">
        <v>525</v>
      </c>
      <c r="M91" s="1" t="s">
        <v>319</v>
      </c>
      <c r="N91" s="1" t="s">
        <v>260</v>
      </c>
      <c r="P91" s="14" t="str">
        <f aca="false">IFERROR(VLOOKUP($E91,09B_MAP_LOAI_DAURA!$A$5:$C$18,2,0),"KHÔNG CÓ TRONG TỪ ĐIỂN")</f>
        <v>Đối tượng SHCN dự kiến</v>
      </c>
      <c r="Q91" s="14" t="str">
        <f aca="false">IFERROR(VLOOKUP($E91,09B_MAP_LOAI_DAURA!$A$5:$C$18,3,0),"KHÔNG CÓ TRONG TỪ ĐIỂN")</f>
        <v>Ứng viên TSTT</v>
      </c>
    </row>
    <row r="92" customFormat="false" ht="15" hidden="false" customHeight="false" outlineLevel="0" collapsed="false">
      <c r="K92" s="13"/>
    </row>
    <row r="93" customFormat="false" ht="15" hidden="false" customHeight="false" outlineLevel="0" collapsed="false">
      <c r="K93" s="13"/>
    </row>
    <row r="94" customFormat="false" ht="15" hidden="false" customHeight="false" outlineLevel="0" collapsed="false">
      <c r="K94" s="13"/>
    </row>
    <row r="95" customFormat="false" ht="15" hidden="false" customHeight="false" outlineLevel="0" collapsed="false">
      <c r="K95" s="13"/>
    </row>
    <row r="96" customFormat="false" ht="15" hidden="false" customHeight="false" outlineLevel="0" collapsed="false">
      <c r="K96" s="13"/>
    </row>
    <row r="97" customFormat="false" ht="15" hidden="false" customHeight="false" outlineLevel="0" collapsed="false">
      <c r="K97" s="13"/>
    </row>
    <row r="98" customFormat="false" ht="15" hidden="false" customHeight="false" outlineLevel="0" collapsed="false">
      <c r="K98" s="13"/>
    </row>
    <row r="99" customFormat="false" ht="15" hidden="false" customHeight="false" outlineLevel="0" collapsed="false">
      <c r="K99" s="13"/>
    </row>
    <row r="100" customFormat="false" ht="15" hidden="false" customHeight="false" outlineLevel="0" collapsed="false">
      <c r="K100" s="13"/>
    </row>
    <row r="101" customFormat="false" ht="15" hidden="false" customHeight="false" outlineLevel="0" collapsed="false">
      <c r="K101" s="13"/>
    </row>
    <row r="102" customFormat="false" ht="15" hidden="false" customHeight="false" outlineLevel="0" collapsed="false">
      <c r="K102" s="13"/>
    </row>
    <row r="103" customFormat="false" ht="15" hidden="false" customHeight="false" outlineLevel="0" collapsed="false">
      <c r="K103" s="13"/>
    </row>
    <row r="104" customFormat="false" ht="15" hidden="false" customHeight="false" outlineLevel="0" collapsed="false">
      <c r="K104" s="13"/>
    </row>
    <row r="105" customFormat="false" ht="15" hidden="false" customHeight="false" outlineLevel="0" collapsed="false">
      <c r="K105" s="13"/>
    </row>
    <row r="106" customFormat="false" ht="15" hidden="false" customHeight="false" outlineLevel="0" collapsed="false">
      <c r="K106" s="13"/>
    </row>
    <row r="107" customFormat="false" ht="15" hidden="false" customHeight="false" outlineLevel="0" collapsed="false">
      <c r="K107" s="13"/>
    </row>
    <row r="108" customFormat="false" ht="15" hidden="false" customHeight="false" outlineLevel="0" collapsed="false">
      <c r="K108" s="13"/>
    </row>
    <row r="109" customFormat="false" ht="15" hidden="false" customHeight="false" outlineLevel="0" collapsed="false">
      <c r="K109" s="13"/>
    </row>
    <row r="110" customFormat="false" ht="15" hidden="false" customHeight="false" outlineLevel="0" collapsed="false">
      <c r="K110" s="13"/>
    </row>
    <row r="111" customFormat="false" ht="15" hidden="false" customHeight="false" outlineLevel="0" collapsed="false">
      <c r="K111" s="13"/>
    </row>
    <row r="112" customFormat="false" ht="15" hidden="false" customHeight="false" outlineLevel="0" collapsed="false">
      <c r="K112" s="13"/>
    </row>
    <row r="113" customFormat="false" ht="15" hidden="false" customHeight="false" outlineLevel="0" collapsed="false">
      <c r="K113" s="13"/>
    </row>
    <row r="114" customFormat="false" ht="15" hidden="false" customHeight="false" outlineLevel="0" collapsed="false">
      <c r="K114" s="13"/>
    </row>
    <row r="115" customFormat="false" ht="15" hidden="false" customHeight="false" outlineLevel="0" collapsed="false">
      <c r="K115" s="13"/>
    </row>
    <row r="116" customFormat="false" ht="15" hidden="false" customHeight="false" outlineLevel="0" collapsed="false">
      <c r="K116" s="13"/>
    </row>
    <row r="117" customFormat="false" ht="15" hidden="false" customHeight="false" outlineLevel="0" collapsed="false">
      <c r="K117" s="13"/>
    </row>
    <row r="118" customFormat="false" ht="15" hidden="false" customHeight="false" outlineLevel="0" collapsed="false">
      <c r="K118" s="13"/>
    </row>
    <row r="119" customFormat="false" ht="15" hidden="false" customHeight="false" outlineLevel="0" collapsed="false">
      <c r="K119" s="13"/>
    </row>
    <row r="120" customFormat="false" ht="15" hidden="false" customHeight="false" outlineLevel="0" collapsed="false">
      <c r="K120" s="13"/>
    </row>
    <row r="121" customFormat="false" ht="15" hidden="false" customHeight="false" outlineLevel="0" collapsed="false">
      <c r="K121" s="13"/>
    </row>
    <row r="122" customFormat="false" ht="15" hidden="false" customHeight="false" outlineLevel="0" collapsed="false">
      <c r="K122" s="13"/>
    </row>
    <row r="123" customFormat="false" ht="15" hidden="false" customHeight="false" outlineLevel="0" collapsed="false">
      <c r="K123" s="13"/>
    </row>
    <row r="124" customFormat="false" ht="15" hidden="false" customHeight="false" outlineLevel="0" collapsed="false">
      <c r="K124" s="13"/>
    </row>
    <row r="125" customFormat="false" ht="15" hidden="false" customHeight="false" outlineLevel="0" collapsed="false">
      <c r="K125" s="13"/>
    </row>
    <row r="126" customFormat="false" ht="15" hidden="false" customHeight="false" outlineLevel="0" collapsed="false">
      <c r="K126" s="13"/>
    </row>
    <row r="127" customFormat="false" ht="15" hidden="false" customHeight="false" outlineLevel="0" collapsed="false">
      <c r="K127" s="13"/>
    </row>
    <row r="128" customFormat="false" ht="15" hidden="false" customHeight="false" outlineLevel="0" collapsed="false">
      <c r="K128" s="13"/>
    </row>
    <row r="129" customFormat="false" ht="15" hidden="false" customHeight="false" outlineLevel="0" collapsed="false">
      <c r="K129" s="13"/>
    </row>
    <row r="130" customFormat="false" ht="15" hidden="false" customHeight="false" outlineLevel="0" collapsed="false">
      <c r="K130" s="13"/>
    </row>
    <row r="131" customFormat="false" ht="15" hidden="false" customHeight="false" outlineLevel="0" collapsed="false">
      <c r="K131" s="13"/>
    </row>
    <row r="132" customFormat="false" ht="15" hidden="false" customHeight="false" outlineLevel="0" collapsed="false">
      <c r="K132" s="13"/>
    </row>
    <row r="133" customFormat="false" ht="15" hidden="false" customHeight="false" outlineLevel="0" collapsed="false">
      <c r="K133" s="13"/>
    </row>
    <row r="134" customFormat="false" ht="15" hidden="false" customHeight="false" outlineLevel="0" collapsed="false">
      <c r="K134" s="13"/>
    </row>
    <row r="135" customFormat="false" ht="15" hidden="false" customHeight="false" outlineLevel="0" collapsed="false">
      <c r="K135" s="13"/>
    </row>
    <row r="136" customFormat="false" ht="15" hidden="false" customHeight="false" outlineLevel="0" collapsed="false">
      <c r="K136" s="13"/>
    </row>
    <row r="137" customFormat="false" ht="15" hidden="false" customHeight="false" outlineLevel="0" collapsed="false">
      <c r="K137" s="13"/>
    </row>
    <row r="138" customFormat="false" ht="15" hidden="false" customHeight="false" outlineLevel="0" collapsed="false">
      <c r="K138" s="13"/>
    </row>
    <row r="139" customFormat="false" ht="15" hidden="false" customHeight="false" outlineLevel="0" collapsed="false">
      <c r="K139" s="13"/>
    </row>
    <row r="140" customFormat="false" ht="15" hidden="false" customHeight="false" outlineLevel="0" collapsed="false">
      <c r="K140" s="13"/>
    </row>
    <row r="141" customFormat="false" ht="15" hidden="false" customHeight="false" outlineLevel="0" collapsed="false">
      <c r="K141" s="13"/>
    </row>
    <row r="142" customFormat="false" ht="15" hidden="false" customHeight="false" outlineLevel="0" collapsed="false">
      <c r="K142" s="13"/>
    </row>
    <row r="143" customFormat="false" ht="15" hidden="false" customHeight="false" outlineLevel="0" collapsed="false">
      <c r="K143" s="13"/>
    </row>
    <row r="144" customFormat="false" ht="15" hidden="false" customHeight="false" outlineLevel="0" collapsed="false">
      <c r="K144" s="13"/>
    </row>
    <row r="145" customFormat="false" ht="15" hidden="false" customHeight="false" outlineLevel="0" collapsed="false">
      <c r="K145" s="13"/>
    </row>
    <row r="146" customFormat="false" ht="15" hidden="false" customHeight="false" outlineLevel="0" collapsed="false">
      <c r="K146" s="13"/>
    </row>
    <row r="147" customFormat="false" ht="15" hidden="false" customHeight="false" outlineLevel="0" collapsed="false">
      <c r="K147" s="13"/>
    </row>
    <row r="148" customFormat="false" ht="15" hidden="false" customHeight="false" outlineLevel="0" collapsed="false">
      <c r="K148" s="13"/>
    </row>
    <row r="149" customFormat="false" ht="15" hidden="false" customHeight="false" outlineLevel="0" collapsed="false">
      <c r="K149" s="13"/>
    </row>
    <row r="150" customFormat="false" ht="15" hidden="false" customHeight="false" outlineLevel="0" collapsed="false">
      <c r="K150" s="13"/>
    </row>
    <row r="151" customFormat="false" ht="15" hidden="false" customHeight="false" outlineLevel="0" collapsed="false">
      <c r="K151" s="13"/>
    </row>
    <row r="152" customFormat="false" ht="15" hidden="false" customHeight="false" outlineLevel="0" collapsed="false">
      <c r="K152" s="13"/>
    </row>
    <row r="153" customFormat="false" ht="15" hidden="false" customHeight="false" outlineLevel="0" collapsed="false">
      <c r="K153" s="13"/>
    </row>
    <row r="154" customFormat="false" ht="15" hidden="false" customHeight="false" outlineLevel="0" collapsed="false">
      <c r="K154" s="13"/>
    </row>
    <row r="155" customFormat="false" ht="15" hidden="false" customHeight="false" outlineLevel="0" collapsed="false">
      <c r="K155" s="13"/>
    </row>
    <row r="156" customFormat="false" ht="15" hidden="false" customHeight="false" outlineLevel="0" collapsed="false">
      <c r="K156" s="13"/>
    </row>
    <row r="157" customFormat="false" ht="15" hidden="false" customHeight="false" outlineLevel="0" collapsed="false">
      <c r="K157" s="13"/>
    </row>
    <row r="158" customFormat="false" ht="15" hidden="false" customHeight="false" outlineLevel="0" collapsed="false">
      <c r="K158" s="13"/>
    </row>
    <row r="159" customFormat="false" ht="15" hidden="false" customHeight="false" outlineLevel="0" collapsed="false">
      <c r="K159" s="13"/>
    </row>
    <row r="160" customFormat="false" ht="15" hidden="false" customHeight="false" outlineLevel="0" collapsed="false">
      <c r="K160" s="13"/>
    </row>
    <row r="161" customFormat="false" ht="15" hidden="false" customHeight="false" outlineLevel="0" collapsed="false">
      <c r="K161" s="13"/>
    </row>
    <row r="162" customFormat="false" ht="15" hidden="false" customHeight="false" outlineLevel="0" collapsed="false">
      <c r="K162" s="13"/>
    </row>
    <row r="163" customFormat="false" ht="15" hidden="false" customHeight="false" outlineLevel="0" collapsed="false">
      <c r="K163" s="13"/>
    </row>
    <row r="164" customFormat="false" ht="15" hidden="false" customHeight="false" outlineLevel="0" collapsed="false">
      <c r="K164" s="13"/>
    </row>
    <row r="165" customFormat="false" ht="15" hidden="false" customHeight="false" outlineLevel="0" collapsed="false">
      <c r="K165" s="13"/>
    </row>
    <row r="166" customFormat="false" ht="15" hidden="false" customHeight="false" outlineLevel="0" collapsed="false">
      <c r="K166" s="13"/>
    </row>
    <row r="167" customFormat="false" ht="15" hidden="false" customHeight="false" outlineLevel="0" collapsed="false">
      <c r="K167" s="13"/>
    </row>
    <row r="168" customFormat="false" ht="15" hidden="false" customHeight="false" outlineLevel="0" collapsed="false">
      <c r="K168" s="13"/>
    </row>
    <row r="169" customFormat="false" ht="15" hidden="false" customHeight="false" outlineLevel="0" collapsed="false">
      <c r="K169" s="13"/>
    </row>
    <row r="170" customFormat="false" ht="15" hidden="false" customHeight="false" outlineLevel="0" collapsed="false">
      <c r="K170" s="13"/>
    </row>
    <row r="171" customFormat="false" ht="15" hidden="false" customHeight="false" outlineLevel="0" collapsed="false">
      <c r="K171" s="13"/>
    </row>
    <row r="172" customFormat="false" ht="15" hidden="false" customHeight="false" outlineLevel="0" collapsed="false">
      <c r="K172" s="13"/>
    </row>
    <row r="173" customFormat="false" ht="15" hidden="false" customHeight="false" outlineLevel="0" collapsed="false">
      <c r="K173" s="13"/>
    </row>
    <row r="174" customFormat="false" ht="15" hidden="false" customHeight="false" outlineLevel="0" collapsed="false">
      <c r="K174" s="13"/>
    </row>
    <row r="175" customFormat="false" ht="15" hidden="false" customHeight="false" outlineLevel="0" collapsed="false">
      <c r="K175" s="13"/>
    </row>
    <row r="176" customFormat="false" ht="15" hidden="false" customHeight="false" outlineLevel="0" collapsed="false">
      <c r="K176" s="13"/>
    </row>
    <row r="177" customFormat="false" ht="15" hidden="false" customHeight="false" outlineLevel="0" collapsed="false">
      <c r="K177" s="13"/>
    </row>
    <row r="178" customFormat="false" ht="15" hidden="false" customHeight="false" outlineLevel="0" collapsed="false">
      <c r="K178" s="13"/>
    </row>
    <row r="179" customFormat="false" ht="15" hidden="false" customHeight="false" outlineLevel="0" collapsed="false">
      <c r="K179" s="13"/>
    </row>
    <row r="180" customFormat="false" ht="15" hidden="false" customHeight="false" outlineLevel="0" collapsed="false">
      <c r="K180" s="13"/>
    </row>
    <row r="181" customFormat="false" ht="15" hidden="false" customHeight="false" outlineLevel="0" collapsed="false">
      <c r="K181" s="13"/>
    </row>
    <row r="182" customFormat="false" ht="15" hidden="false" customHeight="false" outlineLevel="0" collapsed="false">
      <c r="K182" s="13"/>
    </row>
    <row r="183" customFormat="false" ht="15" hidden="false" customHeight="false" outlineLevel="0" collapsed="false">
      <c r="K183" s="13"/>
    </row>
    <row r="184" customFormat="false" ht="15" hidden="false" customHeight="false" outlineLevel="0" collapsed="false">
      <c r="K184" s="13"/>
    </row>
    <row r="185" customFormat="false" ht="15" hidden="false" customHeight="false" outlineLevel="0" collapsed="false">
      <c r="K185" s="13"/>
    </row>
    <row r="186" customFormat="false" ht="15" hidden="false" customHeight="false" outlineLevel="0" collapsed="false">
      <c r="K186" s="13"/>
    </row>
    <row r="187" customFormat="false" ht="15" hidden="false" customHeight="false" outlineLevel="0" collapsed="false">
      <c r="K187" s="13"/>
    </row>
    <row r="188" customFormat="false" ht="15" hidden="false" customHeight="false" outlineLevel="0" collapsed="false">
      <c r="K188" s="13"/>
    </row>
    <row r="189" customFormat="false" ht="15" hidden="false" customHeight="false" outlineLevel="0" collapsed="false">
      <c r="K189" s="13"/>
    </row>
    <row r="190" customFormat="false" ht="15" hidden="false" customHeight="false" outlineLevel="0" collapsed="false">
      <c r="K190" s="13"/>
    </row>
    <row r="191" customFormat="false" ht="15" hidden="false" customHeight="false" outlineLevel="0" collapsed="false">
      <c r="K191" s="13"/>
    </row>
    <row r="192" customFormat="false" ht="15" hidden="false" customHeight="false" outlineLevel="0" collapsed="false">
      <c r="K192" s="13"/>
    </row>
    <row r="193" customFormat="false" ht="15" hidden="false" customHeight="false" outlineLevel="0" collapsed="false">
      <c r="K193" s="13"/>
    </row>
    <row r="194" customFormat="false" ht="15" hidden="false" customHeight="false" outlineLevel="0" collapsed="false">
      <c r="K194" s="13"/>
    </row>
    <row r="195" customFormat="false" ht="15" hidden="false" customHeight="false" outlineLevel="0" collapsed="false">
      <c r="K195" s="13"/>
    </row>
    <row r="196" customFormat="false" ht="15" hidden="false" customHeight="false" outlineLevel="0" collapsed="false">
      <c r="K196" s="13"/>
    </row>
    <row r="197" customFormat="false" ht="15" hidden="false" customHeight="false" outlineLevel="0" collapsed="false">
      <c r="K197" s="13"/>
    </row>
    <row r="198" customFormat="false" ht="15" hidden="false" customHeight="false" outlineLevel="0" collapsed="false">
      <c r="K198" s="13"/>
    </row>
    <row r="199" customFormat="false" ht="15" hidden="false" customHeight="false" outlineLevel="0" collapsed="false">
      <c r="K199" s="13"/>
    </row>
    <row r="200" customFormat="false" ht="15" hidden="false" customHeight="false" outlineLevel="0" collapsed="false">
      <c r="K200" s="13"/>
    </row>
    <row r="201" customFormat="false" ht="15" hidden="false" customHeight="false" outlineLevel="0" collapsed="false">
      <c r="K201" s="13"/>
    </row>
    <row r="202" customFormat="false" ht="15" hidden="false" customHeight="false" outlineLevel="0" collapsed="false">
      <c r="K202" s="13"/>
    </row>
    <row r="203" customFormat="false" ht="15" hidden="false" customHeight="false" outlineLevel="0" collapsed="false">
      <c r="K203" s="13"/>
    </row>
    <row r="204" customFormat="false" ht="15" hidden="false" customHeight="false" outlineLevel="0" collapsed="false">
      <c r="K204" s="13"/>
    </row>
    <row r="205" customFormat="false" ht="15" hidden="false" customHeight="false" outlineLevel="0" collapsed="false">
      <c r="K205" s="13"/>
    </row>
    <row r="206" customFormat="false" ht="15" hidden="false" customHeight="false" outlineLevel="0" collapsed="false">
      <c r="K206" s="13"/>
    </row>
    <row r="207" customFormat="false" ht="15" hidden="false" customHeight="false" outlineLevel="0" collapsed="false">
      <c r="K207" s="13"/>
    </row>
    <row r="208" customFormat="false" ht="15" hidden="false" customHeight="false" outlineLevel="0" collapsed="false">
      <c r="K208" s="13"/>
    </row>
    <row r="209" customFormat="false" ht="15" hidden="false" customHeight="false" outlineLevel="0" collapsed="false">
      <c r="K209" s="13"/>
    </row>
    <row r="210" customFormat="false" ht="15" hidden="false" customHeight="false" outlineLevel="0" collapsed="false">
      <c r="K210" s="13"/>
    </row>
    <row r="211" customFormat="false" ht="15" hidden="false" customHeight="false" outlineLevel="0" collapsed="false">
      <c r="K211" s="13"/>
    </row>
    <row r="212" customFormat="false" ht="15" hidden="false" customHeight="false" outlineLevel="0" collapsed="false">
      <c r="K212" s="13"/>
    </row>
    <row r="213" customFormat="false" ht="15" hidden="false" customHeight="false" outlineLevel="0" collapsed="false">
      <c r="K213" s="13"/>
    </row>
    <row r="214" customFormat="false" ht="15" hidden="false" customHeight="false" outlineLevel="0" collapsed="false">
      <c r="K214" s="13"/>
    </row>
    <row r="215" customFormat="false" ht="15" hidden="false" customHeight="false" outlineLevel="0" collapsed="false">
      <c r="K215" s="13"/>
    </row>
    <row r="216" customFormat="false" ht="15" hidden="false" customHeight="false" outlineLevel="0" collapsed="false">
      <c r="K216" s="13"/>
    </row>
    <row r="217" customFormat="false" ht="15" hidden="false" customHeight="false" outlineLevel="0" collapsed="false">
      <c r="K217" s="13"/>
    </row>
    <row r="218" customFormat="false" ht="15" hidden="false" customHeight="false" outlineLevel="0" collapsed="false">
      <c r="K218" s="13"/>
    </row>
    <row r="219" customFormat="false" ht="15" hidden="false" customHeight="false" outlineLevel="0" collapsed="false">
      <c r="K219" s="13"/>
    </row>
    <row r="220" customFormat="false" ht="15" hidden="false" customHeight="false" outlineLevel="0" collapsed="false">
      <c r="K220" s="13"/>
    </row>
    <row r="221" customFormat="false" ht="15" hidden="false" customHeight="false" outlineLevel="0" collapsed="false">
      <c r="K221" s="13"/>
    </row>
    <row r="222" customFormat="false" ht="15" hidden="false" customHeight="false" outlineLevel="0" collapsed="false">
      <c r="K222" s="13"/>
    </row>
    <row r="223" customFormat="false" ht="15" hidden="false" customHeight="false" outlineLevel="0" collapsed="false">
      <c r="K223" s="13"/>
    </row>
    <row r="224" customFormat="false" ht="15" hidden="false" customHeight="false" outlineLevel="0" collapsed="false">
      <c r="K224" s="13"/>
    </row>
    <row r="225" customFormat="false" ht="15" hidden="false" customHeight="false" outlineLevel="0" collapsed="false">
      <c r="K225" s="13"/>
    </row>
    <row r="226" customFormat="false" ht="15" hidden="false" customHeight="false" outlineLevel="0" collapsed="false">
      <c r="K226" s="13"/>
    </row>
    <row r="227" customFormat="false" ht="15" hidden="false" customHeight="false" outlineLevel="0" collapsed="false">
      <c r="K227" s="13"/>
    </row>
    <row r="228" customFormat="false" ht="15" hidden="false" customHeight="false" outlineLevel="0" collapsed="false">
      <c r="K228" s="13"/>
    </row>
    <row r="229" customFormat="false" ht="15" hidden="false" customHeight="false" outlineLevel="0" collapsed="false">
      <c r="K229" s="13"/>
    </row>
    <row r="230" customFormat="false" ht="15" hidden="false" customHeight="false" outlineLevel="0" collapsed="false">
      <c r="K230" s="13"/>
    </row>
    <row r="231" customFormat="false" ht="15" hidden="false" customHeight="false" outlineLevel="0" collapsed="false">
      <c r="K231" s="13"/>
    </row>
    <row r="232" customFormat="false" ht="15" hidden="false" customHeight="false" outlineLevel="0" collapsed="false">
      <c r="K232" s="13"/>
    </row>
    <row r="233" customFormat="false" ht="15" hidden="false" customHeight="false" outlineLevel="0" collapsed="false">
      <c r="K233" s="13"/>
    </row>
    <row r="234" customFormat="false" ht="15" hidden="false" customHeight="false" outlineLevel="0" collapsed="false">
      <c r="K234" s="13"/>
    </row>
    <row r="235" customFormat="false" ht="15" hidden="false" customHeight="false" outlineLevel="0" collapsed="false">
      <c r="K235" s="13"/>
    </row>
    <row r="236" customFormat="false" ht="15" hidden="false" customHeight="false" outlineLevel="0" collapsed="false">
      <c r="K236" s="13"/>
    </row>
    <row r="237" customFormat="false" ht="15" hidden="false" customHeight="false" outlineLevel="0" collapsed="false">
      <c r="K237" s="13"/>
    </row>
    <row r="238" customFormat="false" ht="15" hidden="false" customHeight="false" outlineLevel="0" collapsed="false">
      <c r="K238" s="13"/>
    </row>
    <row r="239" customFormat="false" ht="15" hidden="false" customHeight="false" outlineLevel="0" collapsed="false">
      <c r="K239" s="13"/>
    </row>
    <row r="240" customFormat="false" ht="15" hidden="false" customHeight="false" outlineLevel="0" collapsed="false">
      <c r="K240" s="13"/>
    </row>
    <row r="241" customFormat="false" ht="15" hidden="false" customHeight="false" outlineLevel="0" collapsed="false">
      <c r="K241" s="13"/>
    </row>
    <row r="242" customFormat="false" ht="15" hidden="false" customHeight="false" outlineLevel="0" collapsed="false">
      <c r="K242" s="13"/>
    </row>
    <row r="243" customFormat="false" ht="15" hidden="false" customHeight="false" outlineLevel="0" collapsed="false">
      <c r="K243" s="13"/>
    </row>
    <row r="244" customFormat="false" ht="15" hidden="false" customHeight="false" outlineLevel="0" collapsed="false">
      <c r="K244" s="13"/>
    </row>
    <row r="245" customFormat="false" ht="15" hidden="false" customHeight="false" outlineLevel="0" collapsed="false">
      <c r="K245" s="13"/>
    </row>
    <row r="246" customFormat="false" ht="15" hidden="false" customHeight="false" outlineLevel="0" collapsed="false">
      <c r="K246" s="13"/>
    </row>
    <row r="247" customFormat="false" ht="15" hidden="false" customHeight="false" outlineLevel="0" collapsed="false">
      <c r="K247" s="13"/>
    </row>
    <row r="248" customFormat="false" ht="15" hidden="false" customHeight="false" outlineLevel="0" collapsed="false">
      <c r="K248" s="13"/>
    </row>
    <row r="249" customFormat="false" ht="15" hidden="false" customHeight="false" outlineLevel="0" collapsed="false">
      <c r="K249" s="13"/>
    </row>
    <row r="250" customFormat="false" ht="15" hidden="false" customHeight="false" outlineLevel="0" collapsed="false">
      <c r="K250" s="13"/>
    </row>
    <row r="251" customFormat="false" ht="15" hidden="false" customHeight="false" outlineLevel="0" collapsed="false">
      <c r="K251" s="13"/>
    </row>
    <row r="252" customFormat="false" ht="15" hidden="false" customHeight="false" outlineLevel="0" collapsed="false">
      <c r="K252" s="13"/>
    </row>
    <row r="253" customFormat="false" ht="15" hidden="false" customHeight="false" outlineLevel="0" collapsed="false">
      <c r="K253" s="13"/>
    </row>
    <row r="254" customFormat="false" ht="15" hidden="false" customHeight="false" outlineLevel="0" collapsed="false">
      <c r="K254" s="13"/>
    </row>
    <row r="255" customFormat="false" ht="15" hidden="false" customHeight="false" outlineLevel="0" collapsed="false">
      <c r="K255" s="13"/>
    </row>
    <row r="256" customFormat="false" ht="15" hidden="false" customHeight="false" outlineLevel="0" collapsed="false">
      <c r="K256" s="13"/>
    </row>
    <row r="257" customFormat="false" ht="15" hidden="false" customHeight="false" outlineLevel="0" collapsed="false">
      <c r="K257" s="13"/>
    </row>
    <row r="258" customFormat="false" ht="15" hidden="false" customHeight="false" outlineLevel="0" collapsed="false">
      <c r="K258" s="13"/>
    </row>
    <row r="259" customFormat="false" ht="15" hidden="false" customHeight="false" outlineLevel="0" collapsed="false">
      <c r="K259" s="13"/>
    </row>
    <row r="260" customFormat="false" ht="15" hidden="false" customHeight="false" outlineLevel="0" collapsed="false">
      <c r="K260" s="13"/>
    </row>
    <row r="261" customFormat="false" ht="15" hidden="false" customHeight="false" outlineLevel="0" collapsed="false">
      <c r="K261" s="13"/>
    </row>
    <row r="262" customFormat="false" ht="15" hidden="false" customHeight="false" outlineLevel="0" collapsed="false">
      <c r="K262" s="13"/>
    </row>
    <row r="263" customFormat="false" ht="15" hidden="false" customHeight="false" outlineLevel="0" collapsed="false">
      <c r="K263" s="13"/>
    </row>
    <row r="264" customFormat="false" ht="15" hidden="false" customHeight="false" outlineLevel="0" collapsed="false">
      <c r="K264" s="13"/>
    </row>
    <row r="265" customFormat="false" ht="15" hidden="false" customHeight="false" outlineLevel="0" collapsed="false">
      <c r="K265" s="13"/>
    </row>
    <row r="266" customFormat="false" ht="15" hidden="false" customHeight="false" outlineLevel="0" collapsed="false">
      <c r="K266" s="13"/>
    </row>
    <row r="267" customFormat="false" ht="15" hidden="false" customHeight="false" outlineLevel="0" collapsed="false">
      <c r="K267" s="13"/>
    </row>
    <row r="268" customFormat="false" ht="15" hidden="false" customHeight="false" outlineLevel="0" collapsed="false">
      <c r="K268" s="13"/>
    </row>
    <row r="269" customFormat="false" ht="15" hidden="false" customHeight="false" outlineLevel="0" collapsed="false">
      <c r="K269" s="13"/>
    </row>
    <row r="270" customFormat="false" ht="15" hidden="false" customHeight="false" outlineLevel="0" collapsed="false">
      <c r="K270" s="13"/>
    </row>
    <row r="271" customFormat="false" ht="15" hidden="false" customHeight="false" outlineLevel="0" collapsed="false">
      <c r="K271" s="13"/>
    </row>
    <row r="272" customFormat="false" ht="15" hidden="false" customHeight="false" outlineLevel="0" collapsed="false">
      <c r="K272" s="13"/>
    </row>
    <row r="273" customFormat="false" ht="15" hidden="false" customHeight="false" outlineLevel="0" collapsed="false">
      <c r="K273" s="13"/>
    </row>
    <row r="274" customFormat="false" ht="15" hidden="false" customHeight="false" outlineLevel="0" collapsed="false">
      <c r="K274" s="13"/>
    </row>
    <row r="275" customFormat="false" ht="15" hidden="false" customHeight="false" outlineLevel="0" collapsed="false">
      <c r="K275" s="13"/>
    </row>
    <row r="276" customFormat="false" ht="15" hidden="false" customHeight="false" outlineLevel="0" collapsed="false">
      <c r="K276" s="13"/>
    </row>
    <row r="277" customFormat="false" ht="15" hidden="false" customHeight="false" outlineLevel="0" collapsed="false">
      <c r="K277" s="13"/>
    </row>
    <row r="278" customFormat="false" ht="15" hidden="false" customHeight="false" outlineLevel="0" collapsed="false">
      <c r="K278" s="13"/>
    </row>
    <row r="279" customFormat="false" ht="15" hidden="false" customHeight="false" outlineLevel="0" collapsed="false">
      <c r="K279" s="13"/>
    </row>
    <row r="280" customFormat="false" ht="15" hidden="false" customHeight="false" outlineLevel="0" collapsed="false">
      <c r="K280" s="13"/>
    </row>
    <row r="281" customFormat="false" ht="15" hidden="false" customHeight="false" outlineLevel="0" collapsed="false">
      <c r="K281" s="13"/>
    </row>
    <row r="282" customFormat="false" ht="15" hidden="false" customHeight="false" outlineLevel="0" collapsed="false">
      <c r="K282" s="13"/>
    </row>
    <row r="283" customFormat="false" ht="15" hidden="false" customHeight="false" outlineLevel="0" collapsed="false">
      <c r="K283" s="13"/>
    </row>
    <row r="284" customFormat="false" ht="15" hidden="false" customHeight="false" outlineLevel="0" collapsed="false">
      <c r="K284" s="13"/>
    </row>
    <row r="285" customFormat="false" ht="15" hidden="false" customHeight="false" outlineLevel="0" collapsed="false">
      <c r="K285" s="13"/>
    </row>
    <row r="286" customFormat="false" ht="15" hidden="false" customHeight="false" outlineLevel="0" collapsed="false">
      <c r="K286" s="13"/>
    </row>
    <row r="287" customFormat="false" ht="15" hidden="false" customHeight="false" outlineLevel="0" collapsed="false">
      <c r="K287" s="13"/>
    </row>
    <row r="288" customFormat="false" ht="15" hidden="false" customHeight="false" outlineLevel="0" collapsed="false">
      <c r="K288" s="13"/>
    </row>
    <row r="289" customFormat="false" ht="15" hidden="false" customHeight="false" outlineLevel="0" collapsed="false">
      <c r="K289" s="13"/>
    </row>
    <row r="290" customFormat="false" ht="15" hidden="false" customHeight="false" outlineLevel="0" collapsed="false">
      <c r="K290" s="13"/>
    </row>
    <row r="291" customFormat="false" ht="15" hidden="false" customHeight="false" outlineLevel="0" collapsed="false">
      <c r="K291" s="13"/>
    </row>
    <row r="292" customFormat="false" ht="15" hidden="false" customHeight="false" outlineLevel="0" collapsed="false">
      <c r="K292" s="13"/>
    </row>
    <row r="293" customFormat="false" ht="15" hidden="false" customHeight="false" outlineLevel="0" collapsed="false">
      <c r="K293" s="13"/>
    </row>
    <row r="294" customFormat="false" ht="15" hidden="false" customHeight="false" outlineLevel="0" collapsed="false">
      <c r="K294" s="13"/>
    </row>
    <row r="295" customFormat="false" ht="15" hidden="false" customHeight="false" outlineLevel="0" collapsed="false">
      <c r="K295" s="13"/>
    </row>
    <row r="296" customFormat="false" ht="15" hidden="false" customHeight="false" outlineLevel="0" collapsed="false">
      <c r="K296" s="13"/>
    </row>
    <row r="297" customFormat="false" ht="15" hidden="false" customHeight="false" outlineLevel="0" collapsed="false">
      <c r="K297" s="13"/>
    </row>
    <row r="298" customFormat="false" ht="15" hidden="false" customHeight="false" outlineLevel="0" collapsed="false">
      <c r="K298" s="13"/>
    </row>
    <row r="299" customFormat="false" ht="15" hidden="false" customHeight="false" outlineLevel="0" collapsed="false">
      <c r="K299" s="13"/>
    </row>
    <row r="300" customFormat="false" ht="15" hidden="false" customHeight="false" outlineLevel="0" collapsed="false">
      <c r="K300" s="13"/>
    </row>
    <row r="301" customFormat="false" ht="15" hidden="false" customHeight="false" outlineLevel="0" collapsed="false">
      <c r="K301" s="13"/>
    </row>
    <row r="302" customFormat="false" ht="15" hidden="false" customHeight="false" outlineLevel="0" collapsed="false">
      <c r="K302" s="13"/>
    </row>
    <row r="303" customFormat="false" ht="15" hidden="false" customHeight="false" outlineLevel="0" collapsed="false">
      <c r="K303" s="13"/>
    </row>
    <row r="304" customFormat="false" ht="15" hidden="false" customHeight="false" outlineLevel="0" collapsed="false">
      <c r="K304" s="13"/>
    </row>
    <row r="305" customFormat="false" ht="15" hidden="false" customHeight="false" outlineLevel="0" collapsed="false">
      <c r="K305" s="13"/>
    </row>
    <row r="306" customFormat="false" ht="15" hidden="false" customHeight="false" outlineLevel="0" collapsed="false">
      <c r="K306" s="13"/>
    </row>
    <row r="307" customFormat="false" ht="15" hidden="false" customHeight="false" outlineLevel="0" collapsed="false">
      <c r="K307" s="13"/>
    </row>
    <row r="308" customFormat="false" ht="15" hidden="false" customHeight="false" outlineLevel="0" collapsed="false">
      <c r="K308" s="13"/>
    </row>
    <row r="309" customFormat="false" ht="15" hidden="false" customHeight="false" outlineLevel="0" collapsed="false">
      <c r="K309" s="13"/>
    </row>
    <row r="310" customFormat="false" ht="15" hidden="false" customHeight="false" outlineLevel="0" collapsed="false">
      <c r="K310" s="13"/>
    </row>
    <row r="311" customFormat="false" ht="15" hidden="false" customHeight="false" outlineLevel="0" collapsed="false">
      <c r="K311" s="13"/>
    </row>
    <row r="312" customFormat="false" ht="15" hidden="false" customHeight="false" outlineLevel="0" collapsed="false">
      <c r="K312" s="13"/>
    </row>
    <row r="313" customFormat="false" ht="15" hidden="false" customHeight="false" outlineLevel="0" collapsed="false">
      <c r="K313" s="13"/>
    </row>
    <row r="314" customFormat="false" ht="15" hidden="false" customHeight="false" outlineLevel="0" collapsed="false">
      <c r="K314" s="13"/>
    </row>
    <row r="315" customFormat="false" ht="15" hidden="false" customHeight="false" outlineLevel="0" collapsed="false">
      <c r="K315" s="13"/>
    </row>
    <row r="316" customFormat="false" ht="15" hidden="false" customHeight="false" outlineLevel="0" collapsed="false">
      <c r="K316" s="13"/>
    </row>
    <row r="317" customFormat="false" ht="15" hidden="false" customHeight="false" outlineLevel="0" collapsed="false">
      <c r="K317" s="13"/>
    </row>
    <row r="318" customFormat="false" ht="15" hidden="false" customHeight="false" outlineLevel="0" collapsed="false">
      <c r="K318" s="13"/>
    </row>
    <row r="319" customFormat="false" ht="15" hidden="false" customHeight="false" outlineLevel="0" collapsed="false">
      <c r="K319" s="13"/>
    </row>
    <row r="320" customFormat="false" ht="15" hidden="false" customHeight="false" outlineLevel="0" collapsed="false">
      <c r="K320" s="13"/>
    </row>
    <row r="321" customFormat="false" ht="15" hidden="false" customHeight="false" outlineLevel="0" collapsed="false">
      <c r="K321" s="13"/>
    </row>
    <row r="322" customFormat="false" ht="15" hidden="false" customHeight="false" outlineLevel="0" collapsed="false">
      <c r="K322" s="13"/>
    </row>
    <row r="323" customFormat="false" ht="15" hidden="false" customHeight="false" outlineLevel="0" collapsed="false">
      <c r="K323" s="13"/>
    </row>
    <row r="324" customFormat="false" ht="15" hidden="false" customHeight="false" outlineLevel="0" collapsed="false">
      <c r="K324" s="13"/>
    </row>
    <row r="325" customFormat="false" ht="15" hidden="false" customHeight="false" outlineLevel="0" collapsed="false">
      <c r="K325" s="13"/>
    </row>
    <row r="326" customFormat="false" ht="15" hidden="false" customHeight="false" outlineLevel="0" collapsed="false">
      <c r="K326" s="13"/>
    </row>
    <row r="327" customFormat="false" ht="15" hidden="false" customHeight="false" outlineLevel="0" collapsed="false">
      <c r="K327" s="13"/>
    </row>
    <row r="328" customFormat="false" ht="15" hidden="false" customHeight="false" outlineLevel="0" collapsed="false">
      <c r="K328" s="13"/>
    </row>
    <row r="329" customFormat="false" ht="15" hidden="false" customHeight="false" outlineLevel="0" collapsed="false">
      <c r="K329" s="13"/>
    </row>
    <row r="330" customFormat="false" ht="15" hidden="false" customHeight="false" outlineLevel="0" collapsed="false">
      <c r="K330" s="13"/>
    </row>
    <row r="331" customFormat="false" ht="15" hidden="false" customHeight="false" outlineLevel="0" collapsed="false">
      <c r="K331" s="13"/>
    </row>
    <row r="332" customFormat="false" ht="15" hidden="false" customHeight="false" outlineLevel="0" collapsed="false">
      <c r="K332" s="13"/>
    </row>
    <row r="333" customFormat="false" ht="15" hidden="false" customHeight="false" outlineLevel="0" collapsed="false">
      <c r="K333" s="13"/>
    </row>
    <row r="334" customFormat="false" ht="15" hidden="false" customHeight="false" outlineLevel="0" collapsed="false">
      <c r="K334" s="13"/>
    </row>
    <row r="335" customFormat="false" ht="15" hidden="false" customHeight="false" outlineLevel="0" collapsed="false">
      <c r="K335" s="13"/>
    </row>
    <row r="336" customFormat="false" ht="15" hidden="false" customHeight="false" outlineLevel="0" collapsed="false">
      <c r="K336" s="13"/>
    </row>
    <row r="337" customFormat="false" ht="15" hidden="false" customHeight="false" outlineLevel="0" collapsed="false">
      <c r="K337" s="13"/>
    </row>
    <row r="338" customFormat="false" ht="15" hidden="false" customHeight="false" outlineLevel="0" collapsed="false">
      <c r="K338" s="13"/>
    </row>
    <row r="339" customFormat="false" ht="15" hidden="false" customHeight="false" outlineLevel="0" collapsed="false">
      <c r="K339" s="13"/>
    </row>
    <row r="340" customFormat="false" ht="15" hidden="false" customHeight="false" outlineLevel="0" collapsed="false">
      <c r="K340" s="13"/>
    </row>
    <row r="341" customFormat="false" ht="15" hidden="false" customHeight="false" outlineLevel="0" collapsed="false">
      <c r="K341" s="13"/>
    </row>
    <row r="342" customFormat="false" ht="15" hidden="false" customHeight="false" outlineLevel="0" collapsed="false">
      <c r="K342" s="13"/>
    </row>
    <row r="343" customFormat="false" ht="15" hidden="false" customHeight="false" outlineLevel="0" collapsed="false">
      <c r="K343" s="13"/>
    </row>
    <row r="344" customFormat="false" ht="15" hidden="false" customHeight="false" outlineLevel="0" collapsed="false">
      <c r="K344" s="13"/>
    </row>
    <row r="345" customFormat="false" ht="15" hidden="false" customHeight="false" outlineLevel="0" collapsed="false">
      <c r="K345" s="13"/>
    </row>
    <row r="346" customFormat="false" ht="15" hidden="false" customHeight="false" outlineLevel="0" collapsed="false">
      <c r="K346" s="13"/>
    </row>
    <row r="347" customFormat="false" ht="15" hidden="false" customHeight="false" outlineLevel="0" collapsed="false">
      <c r="K347" s="13"/>
    </row>
    <row r="348" customFormat="false" ht="15" hidden="false" customHeight="false" outlineLevel="0" collapsed="false">
      <c r="K348" s="13"/>
    </row>
    <row r="349" customFormat="false" ht="15" hidden="false" customHeight="false" outlineLevel="0" collapsed="false">
      <c r="K349" s="13"/>
    </row>
    <row r="350" customFormat="false" ht="15" hidden="false" customHeight="false" outlineLevel="0" collapsed="false">
      <c r="K350" s="13"/>
    </row>
    <row r="351" customFormat="false" ht="15" hidden="false" customHeight="false" outlineLevel="0" collapsed="false">
      <c r="K351" s="13"/>
    </row>
    <row r="352" customFormat="false" ht="15" hidden="false" customHeight="false" outlineLevel="0" collapsed="false">
      <c r="K352" s="13"/>
    </row>
    <row r="353" customFormat="false" ht="15" hidden="false" customHeight="false" outlineLevel="0" collapsed="false">
      <c r="K353" s="13"/>
    </row>
    <row r="354" customFormat="false" ht="15" hidden="false" customHeight="false" outlineLevel="0" collapsed="false">
      <c r="K354" s="13"/>
    </row>
    <row r="355" customFormat="false" ht="15" hidden="false" customHeight="false" outlineLevel="0" collapsed="false">
      <c r="K355" s="13"/>
    </row>
    <row r="356" customFormat="false" ht="15" hidden="false" customHeight="false" outlineLevel="0" collapsed="false">
      <c r="K356" s="13"/>
    </row>
    <row r="357" customFormat="false" ht="15" hidden="false" customHeight="false" outlineLevel="0" collapsed="false">
      <c r="K357" s="13"/>
    </row>
    <row r="358" customFormat="false" ht="15" hidden="false" customHeight="false" outlineLevel="0" collapsed="false">
      <c r="K358" s="13"/>
    </row>
    <row r="359" customFormat="false" ht="15" hidden="false" customHeight="false" outlineLevel="0" collapsed="false">
      <c r="K359" s="13"/>
    </row>
    <row r="360" customFormat="false" ht="15" hidden="false" customHeight="false" outlineLevel="0" collapsed="false">
      <c r="K360" s="13"/>
    </row>
    <row r="361" customFormat="false" ht="15" hidden="false" customHeight="false" outlineLevel="0" collapsed="false">
      <c r="K361" s="13"/>
    </row>
    <row r="362" customFormat="false" ht="15" hidden="false" customHeight="false" outlineLevel="0" collapsed="false">
      <c r="K362" s="13"/>
    </row>
    <row r="363" customFormat="false" ht="15" hidden="false" customHeight="false" outlineLevel="0" collapsed="false">
      <c r="K363" s="13"/>
    </row>
    <row r="364" customFormat="false" ht="15" hidden="false" customHeight="false" outlineLevel="0" collapsed="false">
      <c r="K364" s="13"/>
    </row>
    <row r="365" customFormat="false" ht="15" hidden="false" customHeight="false" outlineLevel="0" collapsed="false">
      <c r="K365" s="13"/>
    </row>
    <row r="366" customFormat="false" ht="15" hidden="false" customHeight="false" outlineLevel="0" collapsed="false">
      <c r="K366" s="13"/>
    </row>
    <row r="367" customFormat="false" ht="15" hidden="false" customHeight="false" outlineLevel="0" collapsed="false">
      <c r="K367" s="13"/>
    </row>
    <row r="368" customFormat="false" ht="15" hidden="false" customHeight="false" outlineLevel="0" collapsed="false">
      <c r="K368" s="13"/>
    </row>
    <row r="369" customFormat="false" ht="15" hidden="false" customHeight="false" outlineLevel="0" collapsed="false">
      <c r="K369" s="13"/>
    </row>
    <row r="370" customFormat="false" ht="15" hidden="false" customHeight="false" outlineLevel="0" collapsed="false">
      <c r="K370" s="13"/>
    </row>
    <row r="371" customFormat="false" ht="15" hidden="false" customHeight="false" outlineLevel="0" collapsed="false">
      <c r="K371" s="13"/>
    </row>
    <row r="372" customFormat="false" ht="15" hidden="false" customHeight="false" outlineLevel="0" collapsed="false">
      <c r="K372" s="13"/>
    </row>
    <row r="373" customFormat="false" ht="15" hidden="false" customHeight="false" outlineLevel="0" collapsed="false">
      <c r="K373" s="13"/>
    </row>
    <row r="374" customFormat="false" ht="15" hidden="false" customHeight="false" outlineLevel="0" collapsed="false">
      <c r="K374" s="13"/>
    </row>
    <row r="375" customFormat="false" ht="15" hidden="false" customHeight="false" outlineLevel="0" collapsed="false">
      <c r="K375" s="13"/>
    </row>
    <row r="376" customFormat="false" ht="15" hidden="false" customHeight="false" outlineLevel="0" collapsed="false">
      <c r="K376" s="13"/>
    </row>
    <row r="377" customFormat="false" ht="15" hidden="false" customHeight="false" outlineLevel="0" collapsed="false">
      <c r="K377" s="13"/>
    </row>
    <row r="378" customFormat="false" ht="15" hidden="false" customHeight="false" outlineLevel="0" collapsed="false">
      <c r="K378" s="13"/>
    </row>
    <row r="379" customFormat="false" ht="15" hidden="false" customHeight="false" outlineLevel="0" collapsed="false">
      <c r="K379" s="13"/>
    </row>
    <row r="380" customFormat="false" ht="15" hidden="false" customHeight="false" outlineLevel="0" collapsed="false">
      <c r="K380" s="13"/>
    </row>
    <row r="381" customFormat="false" ht="15" hidden="false" customHeight="false" outlineLevel="0" collapsed="false">
      <c r="K381" s="13"/>
    </row>
    <row r="382" customFormat="false" ht="15" hidden="false" customHeight="false" outlineLevel="0" collapsed="false">
      <c r="K382" s="13"/>
    </row>
    <row r="383" customFormat="false" ht="15" hidden="false" customHeight="false" outlineLevel="0" collapsed="false">
      <c r="K383" s="13"/>
    </row>
    <row r="384" customFormat="false" ht="15" hidden="false" customHeight="false" outlineLevel="0" collapsed="false">
      <c r="K384" s="13"/>
    </row>
    <row r="385" customFormat="false" ht="15" hidden="false" customHeight="false" outlineLevel="0" collapsed="false">
      <c r="K385" s="13"/>
    </row>
    <row r="386" customFormat="false" ht="15" hidden="false" customHeight="false" outlineLevel="0" collapsed="false">
      <c r="K386" s="13"/>
    </row>
    <row r="387" customFormat="false" ht="15" hidden="false" customHeight="false" outlineLevel="0" collapsed="false">
      <c r="K387" s="13"/>
    </row>
    <row r="388" customFormat="false" ht="15" hidden="false" customHeight="false" outlineLevel="0" collapsed="false">
      <c r="K388" s="13"/>
    </row>
    <row r="389" customFormat="false" ht="15" hidden="false" customHeight="false" outlineLevel="0" collapsed="false">
      <c r="K389" s="13"/>
    </row>
    <row r="390" customFormat="false" ht="15" hidden="false" customHeight="false" outlineLevel="0" collapsed="false">
      <c r="K390" s="13"/>
    </row>
    <row r="391" customFormat="false" ht="15" hidden="false" customHeight="false" outlineLevel="0" collapsed="false">
      <c r="K391" s="13"/>
    </row>
    <row r="392" customFormat="false" ht="15" hidden="false" customHeight="false" outlineLevel="0" collapsed="false">
      <c r="K392" s="13"/>
    </row>
    <row r="393" customFormat="false" ht="15" hidden="false" customHeight="false" outlineLevel="0" collapsed="false">
      <c r="K393" s="13"/>
    </row>
    <row r="394" customFormat="false" ht="15" hidden="false" customHeight="false" outlineLevel="0" collapsed="false">
      <c r="K394" s="13"/>
    </row>
    <row r="395" customFormat="false" ht="15" hidden="false" customHeight="false" outlineLevel="0" collapsed="false">
      <c r="K395" s="13"/>
    </row>
    <row r="396" customFormat="false" ht="15" hidden="false" customHeight="false" outlineLevel="0" collapsed="false">
      <c r="K396" s="13"/>
    </row>
    <row r="397" customFormat="false" ht="15" hidden="false" customHeight="false" outlineLevel="0" collapsed="false">
      <c r="K397" s="13"/>
    </row>
    <row r="398" customFormat="false" ht="15" hidden="false" customHeight="false" outlineLevel="0" collapsed="false">
      <c r="K398" s="13"/>
    </row>
    <row r="399" customFormat="false" ht="15" hidden="false" customHeight="false" outlineLevel="0" collapsed="false">
      <c r="K399" s="13"/>
    </row>
    <row r="400" customFormat="false" ht="15" hidden="false" customHeight="false" outlineLevel="0" collapsed="false">
      <c r="K400" s="13"/>
    </row>
    <row r="401" customFormat="false" ht="15" hidden="false" customHeight="false" outlineLevel="0" collapsed="false">
      <c r="K401" s="13"/>
    </row>
    <row r="402" customFormat="false" ht="15" hidden="false" customHeight="false" outlineLevel="0" collapsed="false">
      <c r="K402" s="13"/>
    </row>
    <row r="403" customFormat="false" ht="15" hidden="false" customHeight="false" outlineLevel="0" collapsed="false">
      <c r="K403" s="13"/>
    </row>
    <row r="404" customFormat="false" ht="15" hidden="false" customHeight="false" outlineLevel="0" collapsed="false">
      <c r="K404" s="13"/>
    </row>
    <row r="405" customFormat="false" ht="15" hidden="false" customHeight="false" outlineLevel="0" collapsed="false">
      <c r="K405" s="13"/>
    </row>
    <row r="406" customFormat="false" ht="15" hidden="false" customHeight="false" outlineLevel="0" collapsed="false">
      <c r="K406" s="13"/>
    </row>
    <row r="407" customFormat="false" ht="15" hidden="false" customHeight="false" outlineLevel="0" collapsed="false">
      <c r="K407" s="13"/>
    </row>
    <row r="408" customFormat="false" ht="15" hidden="false" customHeight="false" outlineLevel="0" collapsed="false">
      <c r="K408" s="13"/>
    </row>
    <row r="409" customFormat="false" ht="15" hidden="false" customHeight="false" outlineLevel="0" collapsed="false">
      <c r="K409" s="13"/>
    </row>
    <row r="410" customFormat="false" ht="15" hidden="false" customHeight="false" outlineLevel="0" collapsed="false">
      <c r="K410" s="13"/>
    </row>
    <row r="411" customFormat="false" ht="15" hidden="false" customHeight="false" outlineLevel="0" collapsed="false">
      <c r="K411" s="13"/>
    </row>
    <row r="412" customFormat="false" ht="15" hidden="false" customHeight="false" outlineLevel="0" collapsed="false">
      <c r="K412" s="13"/>
    </row>
    <row r="413" customFormat="false" ht="15" hidden="false" customHeight="false" outlineLevel="0" collapsed="false">
      <c r="K413" s="13"/>
    </row>
    <row r="414" customFormat="false" ht="15" hidden="false" customHeight="false" outlineLevel="0" collapsed="false">
      <c r="K414" s="13"/>
    </row>
    <row r="415" customFormat="false" ht="15" hidden="false" customHeight="false" outlineLevel="0" collapsed="false">
      <c r="K415" s="13"/>
    </row>
    <row r="416" customFormat="false" ht="15" hidden="false" customHeight="false" outlineLevel="0" collapsed="false">
      <c r="K416" s="13"/>
    </row>
    <row r="417" customFormat="false" ht="15" hidden="false" customHeight="false" outlineLevel="0" collapsed="false">
      <c r="K417" s="13"/>
    </row>
    <row r="418" customFormat="false" ht="15" hidden="false" customHeight="false" outlineLevel="0" collapsed="false">
      <c r="K418" s="13"/>
    </row>
    <row r="419" customFormat="false" ht="15" hidden="false" customHeight="false" outlineLevel="0" collapsed="false">
      <c r="K419" s="13"/>
    </row>
    <row r="420" customFormat="false" ht="15" hidden="false" customHeight="false" outlineLevel="0" collapsed="false">
      <c r="K420" s="13"/>
    </row>
    <row r="421" customFormat="false" ht="15" hidden="false" customHeight="false" outlineLevel="0" collapsed="false">
      <c r="K421" s="13"/>
    </row>
    <row r="422" customFormat="false" ht="15" hidden="false" customHeight="false" outlineLevel="0" collapsed="false">
      <c r="K422" s="13"/>
    </row>
    <row r="423" customFormat="false" ht="15" hidden="false" customHeight="false" outlineLevel="0" collapsed="false">
      <c r="K423" s="13"/>
    </row>
    <row r="424" customFormat="false" ht="15" hidden="false" customHeight="false" outlineLevel="0" collapsed="false">
      <c r="K424" s="13"/>
    </row>
    <row r="425" customFormat="false" ht="15" hidden="false" customHeight="false" outlineLevel="0" collapsed="false">
      <c r="K425" s="13"/>
    </row>
    <row r="426" customFormat="false" ht="15" hidden="false" customHeight="false" outlineLevel="0" collapsed="false">
      <c r="K426" s="13"/>
    </row>
    <row r="427" customFormat="false" ht="15" hidden="false" customHeight="false" outlineLevel="0" collapsed="false">
      <c r="K427" s="13"/>
    </row>
    <row r="428" customFormat="false" ht="15" hidden="false" customHeight="false" outlineLevel="0" collapsed="false">
      <c r="K428" s="13"/>
    </row>
    <row r="429" customFormat="false" ht="15" hidden="false" customHeight="false" outlineLevel="0" collapsed="false">
      <c r="K429" s="13"/>
    </row>
    <row r="430" customFormat="false" ht="15" hidden="false" customHeight="false" outlineLevel="0" collapsed="false">
      <c r="K430" s="13"/>
    </row>
    <row r="431" customFormat="false" ht="15" hidden="false" customHeight="false" outlineLevel="0" collapsed="false">
      <c r="K431" s="13"/>
    </row>
    <row r="432" customFormat="false" ht="15" hidden="false" customHeight="false" outlineLevel="0" collapsed="false">
      <c r="K432" s="13"/>
    </row>
    <row r="433" customFormat="false" ht="15" hidden="false" customHeight="false" outlineLevel="0" collapsed="false">
      <c r="K433" s="13"/>
    </row>
    <row r="434" customFormat="false" ht="15" hidden="false" customHeight="false" outlineLevel="0" collapsed="false">
      <c r="K434" s="13"/>
    </row>
    <row r="435" customFormat="false" ht="15" hidden="false" customHeight="false" outlineLevel="0" collapsed="false">
      <c r="K435" s="13"/>
    </row>
    <row r="436" customFormat="false" ht="15" hidden="false" customHeight="false" outlineLevel="0" collapsed="false">
      <c r="K436" s="13"/>
    </row>
    <row r="437" customFormat="false" ht="15" hidden="false" customHeight="false" outlineLevel="0" collapsed="false">
      <c r="K437" s="13"/>
    </row>
    <row r="438" customFormat="false" ht="15" hidden="false" customHeight="false" outlineLevel="0" collapsed="false">
      <c r="K438" s="13"/>
    </row>
    <row r="439" customFormat="false" ht="15" hidden="false" customHeight="false" outlineLevel="0" collapsed="false">
      <c r="K439" s="13"/>
    </row>
    <row r="440" customFormat="false" ht="15" hidden="false" customHeight="false" outlineLevel="0" collapsed="false">
      <c r="K440" s="13"/>
    </row>
    <row r="441" customFormat="false" ht="15" hidden="false" customHeight="false" outlineLevel="0" collapsed="false">
      <c r="K441" s="13"/>
    </row>
    <row r="442" customFormat="false" ht="15" hidden="false" customHeight="false" outlineLevel="0" collapsed="false">
      <c r="K442" s="13"/>
    </row>
    <row r="443" customFormat="false" ht="15" hidden="false" customHeight="false" outlineLevel="0" collapsed="false">
      <c r="K443" s="13"/>
    </row>
    <row r="444" customFormat="false" ht="15" hidden="false" customHeight="false" outlineLevel="0" collapsed="false">
      <c r="K444" s="13"/>
    </row>
    <row r="445" customFormat="false" ht="15" hidden="false" customHeight="false" outlineLevel="0" collapsed="false">
      <c r="K445" s="13"/>
    </row>
    <row r="446" customFormat="false" ht="15" hidden="false" customHeight="false" outlineLevel="0" collapsed="false">
      <c r="K446" s="13"/>
    </row>
    <row r="447" customFormat="false" ht="15" hidden="false" customHeight="false" outlineLevel="0" collapsed="false">
      <c r="K447" s="13"/>
    </row>
    <row r="448" customFormat="false" ht="15" hidden="false" customHeight="false" outlineLevel="0" collapsed="false">
      <c r="K448" s="13"/>
    </row>
    <row r="449" customFormat="false" ht="15" hidden="false" customHeight="false" outlineLevel="0" collapsed="false">
      <c r="K449" s="13"/>
    </row>
    <row r="450" customFormat="false" ht="15" hidden="false" customHeight="false" outlineLevel="0" collapsed="false">
      <c r="K450" s="13"/>
    </row>
    <row r="451" customFormat="false" ht="15" hidden="false" customHeight="false" outlineLevel="0" collapsed="false">
      <c r="K451" s="13"/>
    </row>
    <row r="452" customFormat="false" ht="15" hidden="false" customHeight="false" outlineLevel="0" collapsed="false">
      <c r="K452" s="13"/>
    </row>
    <row r="453" customFormat="false" ht="15" hidden="false" customHeight="false" outlineLevel="0" collapsed="false">
      <c r="K453" s="13"/>
    </row>
    <row r="454" customFormat="false" ht="15" hidden="false" customHeight="false" outlineLevel="0" collapsed="false">
      <c r="K454" s="13"/>
    </row>
    <row r="455" customFormat="false" ht="15" hidden="false" customHeight="false" outlineLevel="0" collapsed="false">
      <c r="K455" s="13"/>
    </row>
    <row r="456" customFormat="false" ht="15" hidden="false" customHeight="false" outlineLevel="0" collapsed="false">
      <c r="K456" s="13"/>
    </row>
    <row r="457" customFormat="false" ht="15" hidden="false" customHeight="false" outlineLevel="0" collapsed="false">
      <c r="K457" s="13"/>
    </row>
    <row r="458" customFormat="false" ht="15" hidden="false" customHeight="false" outlineLevel="0" collapsed="false">
      <c r="K458" s="13"/>
    </row>
    <row r="459" customFormat="false" ht="15" hidden="false" customHeight="false" outlineLevel="0" collapsed="false">
      <c r="K459" s="13"/>
    </row>
    <row r="460" customFormat="false" ht="15" hidden="false" customHeight="false" outlineLevel="0" collapsed="false">
      <c r="K460" s="13"/>
    </row>
    <row r="461" customFormat="false" ht="15" hidden="false" customHeight="false" outlineLevel="0" collapsed="false">
      <c r="K461" s="13"/>
    </row>
    <row r="462" customFormat="false" ht="15" hidden="false" customHeight="false" outlineLevel="0" collapsed="false">
      <c r="K462" s="13"/>
    </row>
    <row r="463" customFormat="false" ht="15" hidden="false" customHeight="false" outlineLevel="0" collapsed="false">
      <c r="K463" s="13"/>
    </row>
    <row r="464" customFormat="false" ht="15" hidden="false" customHeight="false" outlineLevel="0" collapsed="false">
      <c r="K464" s="13"/>
    </row>
    <row r="465" customFormat="false" ht="15" hidden="false" customHeight="false" outlineLevel="0" collapsed="false">
      <c r="K465" s="13"/>
    </row>
    <row r="466" customFormat="false" ht="15" hidden="false" customHeight="false" outlineLevel="0" collapsed="false">
      <c r="K466" s="13"/>
    </row>
    <row r="467" customFormat="false" ht="15" hidden="false" customHeight="false" outlineLevel="0" collapsed="false">
      <c r="K467" s="13"/>
    </row>
    <row r="468" customFormat="false" ht="15" hidden="false" customHeight="false" outlineLevel="0" collapsed="false">
      <c r="K468" s="13"/>
    </row>
    <row r="469" customFormat="false" ht="15" hidden="false" customHeight="false" outlineLevel="0" collapsed="false">
      <c r="K469" s="13"/>
    </row>
    <row r="470" customFormat="false" ht="15" hidden="false" customHeight="false" outlineLevel="0" collapsed="false">
      <c r="K470" s="13"/>
    </row>
    <row r="471" customFormat="false" ht="15" hidden="false" customHeight="false" outlineLevel="0" collapsed="false">
      <c r="K471" s="13"/>
    </row>
    <row r="472" customFormat="false" ht="15" hidden="false" customHeight="false" outlineLevel="0" collapsed="false">
      <c r="K472" s="13"/>
    </row>
    <row r="473" customFormat="false" ht="15" hidden="false" customHeight="false" outlineLevel="0" collapsed="false">
      <c r="K473" s="13"/>
    </row>
    <row r="474" customFormat="false" ht="15" hidden="false" customHeight="false" outlineLevel="0" collapsed="false">
      <c r="K474" s="13"/>
    </row>
    <row r="475" customFormat="false" ht="15" hidden="false" customHeight="false" outlineLevel="0" collapsed="false">
      <c r="K475" s="13"/>
    </row>
    <row r="476" customFormat="false" ht="15" hidden="false" customHeight="false" outlineLevel="0" collapsed="false">
      <c r="K476" s="13"/>
    </row>
    <row r="477" customFormat="false" ht="15" hidden="false" customHeight="false" outlineLevel="0" collapsed="false">
      <c r="K477" s="13"/>
    </row>
    <row r="478" customFormat="false" ht="15" hidden="false" customHeight="false" outlineLevel="0" collapsed="false">
      <c r="K478" s="13"/>
    </row>
    <row r="479" customFormat="false" ht="15" hidden="false" customHeight="false" outlineLevel="0" collapsed="false">
      <c r="K479" s="13"/>
    </row>
    <row r="480" customFormat="false" ht="15" hidden="false" customHeight="false" outlineLevel="0" collapsed="false">
      <c r="K480" s="13"/>
    </row>
    <row r="481" customFormat="false" ht="15" hidden="false" customHeight="false" outlineLevel="0" collapsed="false">
      <c r="K481" s="13"/>
    </row>
    <row r="482" customFormat="false" ht="15" hidden="false" customHeight="false" outlineLevel="0" collapsed="false">
      <c r="K482" s="13"/>
    </row>
    <row r="483" customFormat="false" ht="15" hidden="false" customHeight="false" outlineLevel="0" collapsed="false">
      <c r="K483" s="13"/>
    </row>
    <row r="484" customFormat="false" ht="15" hidden="false" customHeight="false" outlineLevel="0" collapsed="false">
      <c r="K484" s="13"/>
    </row>
    <row r="485" customFormat="false" ht="15" hidden="false" customHeight="false" outlineLevel="0" collapsed="false">
      <c r="K485" s="13"/>
    </row>
    <row r="486" customFormat="false" ht="15" hidden="false" customHeight="false" outlineLevel="0" collapsed="false">
      <c r="K486" s="13"/>
    </row>
    <row r="487" customFormat="false" ht="15" hidden="false" customHeight="false" outlineLevel="0" collapsed="false">
      <c r="K487" s="13"/>
    </row>
    <row r="488" customFormat="false" ht="15" hidden="false" customHeight="false" outlineLevel="0" collapsed="false">
      <c r="K488" s="13"/>
    </row>
    <row r="489" customFormat="false" ht="15" hidden="false" customHeight="false" outlineLevel="0" collapsed="false">
      <c r="K489" s="13"/>
    </row>
    <row r="490" customFormat="false" ht="15" hidden="false" customHeight="false" outlineLevel="0" collapsed="false">
      <c r="K490" s="13"/>
    </row>
    <row r="491" customFormat="false" ht="15" hidden="false" customHeight="false" outlineLevel="0" collapsed="false">
      <c r="K491" s="13"/>
    </row>
    <row r="492" customFormat="false" ht="15" hidden="false" customHeight="false" outlineLevel="0" collapsed="false">
      <c r="K492" s="13"/>
    </row>
    <row r="493" customFormat="false" ht="15" hidden="false" customHeight="false" outlineLevel="0" collapsed="false">
      <c r="K493" s="13"/>
    </row>
    <row r="494" customFormat="false" ht="15" hidden="false" customHeight="false" outlineLevel="0" collapsed="false">
      <c r="K494" s="13"/>
    </row>
    <row r="495" customFormat="false" ht="15" hidden="false" customHeight="false" outlineLevel="0" collapsed="false">
      <c r="K495" s="13"/>
    </row>
    <row r="496" customFormat="false" ht="15" hidden="false" customHeight="false" outlineLevel="0" collapsed="false">
      <c r="K496" s="13"/>
    </row>
    <row r="497" customFormat="false" ht="15" hidden="false" customHeight="false" outlineLevel="0" collapsed="false">
      <c r="K497" s="13"/>
    </row>
    <row r="498" customFormat="false" ht="15" hidden="false" customHeight="false" outlineLevel="0" collapsed="false">
      <c r="K498" s="13"/>
    </row>
    <row r="499" customFormat="false" ht="15" hidden="false" customHeight="false" outlineLevel="0" collapsed="false">
      <c r="K499" s="13"/>
    </row>
    <row r="500" customFormat="false" ht="15" hidden="false" customHeight="false" outlineLevel="0" collapsed="false">
      <c r="K500" s="13"/>
    </row>
  </sheetData>
  <dataValidations count="1">
    <dataValidation allowBlank="false" errorStyle="stop" operator="between" showDropDown="false" showErrorMessage="false" showInputMessage="false" sqref="K2:K500" type="list">
      <formula1>"Thấp,Trung bình,Cao"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8"/>
    <col collapsed="false" customWidth="true" hidden="false" outlineLevel="0" max="3" min="3" style="1" width="14"/>
    <col collapsed="false" customWidth="true" hidden="false" outlineLevel="0" max="4" min="4" style="1" width="8"/>
    <col collapsed="false" customWidth="true" hidden="false" outlineLevel="0" max="5" min="5" style="1" width="58"/>
    <col collapsed="false" customWidth="true" hidden="false" outlineLevel="0" max="6" min="6" style="1" width="25"/>
    <col collapsed="false" customWidth="true" hidden="false" outlineLevel="0" max="7" min="7" style="1" width="14"/>
    <col collapsed="false" customWidth="true" hidden="false" outlineLevel="0" max="8" min="8" style="1" width="46"/>
    <col collapsed="false" customWidth="true" hidden="false" outlineLevel="0" max="9" min="9" style="1" width="16"/>
    <col collapsed="false" customWidth="true" hidden="false" outlineLevel="0" max="10" min="10" style="1" width="20"/>
    <col collapsed="false" customWidth="true" hidden="false" outlineLevel="0" max="11" min="11" style="1" width="18"/>
    <col collapsed="false" customWidth="true" hidden="false" outlineLevel="0" max="12" min="12" style="1" width="22"/>
    <col collapsed="false" customWidth="true" hidden="false" outlineLevel="0" max="13" min="13" style="1" width="58"/>
    <col collapsed="false" customWidth="true" hidden="false" outlineLevel="0" max="14" min="14" style="1" width="48"/>
    <col collapsed="false" customWidth="true" hidden="false" outlineLevel="0" max="15" min="15" style="1" width="34"/>
  </cols>
  <sheetData>
    <row r="1" customFormat="false" ht="28.35" hidden="false" customHeight="false" outlineLevel="0" collapsed="false">
      <c r="A1" s="3" t="s">
        <v>526</v>
      </c>
      <c r="B1" s="3" t="s">
        <v>296</v>
      </c>
      <c r="C1" s="3" t="s">
        <v>56</v>
      </c>
      <c r="D1" s="3" t="s">
        <v>297</v>
      </c>
      <c r="E1" s="3" t="s">
        <v>527</v>
      </c>
      <c r="F1" s="3" t="s">
        <v>299</v>
      </c>
      <c r="G1" s="3" t="s">
        <v>528</v>
      </c>
      <c r="H1" s="3" t="s">
        <v>304</v>
      </c>
      <c r="I1" s="3" t="s">
        <v>529</v>
      </c>
      <c r="J1" s="3" t="s">
        <v>530</v>
      </c>
      <c r="K1" s="3" t="s">
        <v>531</v>
      </c>
      <c r="L1" s="3" t="s">
        <v>532</v>
      </c>
      <c r="M1" s="3" t="s">
        <v>533</v>
      </c>
      <c r="N1" s="3" t="s">
        <v>72</v>
      </c>
      <c r="O1" s="3" t="s">
        <v>302</v>
      </c>
    </row>
    <row r="2" customFormat="false" ht="15" hidden="false" customHeight="false" outlineLevel="0" collapsed="false">
      <c r="A2" s="1" t="s">
        <v>534</v>
      </c>
      <c r="B2" s="1" t="s">
        <v>336</v>
      </c>
      <c r="C2" s="1" t="s">
        <v>114</v>
      </c>
      <c r="D2" s="1" t="n">
        <v>2022</v>
      </c>
      <c r="E2" s="1" t="s">
        <v>337</v>
      </c>
      <c r="F2" s="1" t="s">
        <v>338</v>
      </c>
      <c r="G2" s="1" t="s">
        <v>341</v>
      </c>
      <c r="H2" s="1" t="s">
        <v>340</v>
      </c>
      <c r="I2" s="1" t="s">
        <v>120</v>
      </c>
      <c r="J2" s="1" t="s">
        <v>535</v>
      </c>
      <c r="K2" s="1" t="s">
        <v>535</v>
      </c>
      <c r="L2" s="1" t="s">
        <v>535</v>
      </c>
      <c r="M2" s="1" t="s">
        <v>536</v>
      </c>
      <c r="N2" s="1" t="s">
        <v>106</v>
      </c>
      <c r="O2" s="1" t="s">
        <v>315</v>
      </c>
    </row>
    <row r="3" customFormat="false" ht="15" hidden="false" customHeight="false" outlineLevel="0" collapsed="false">
      <c r="A3" s="1" t="s">
        <v>537</v>
      </c>
      <c r="B3" s="1" t="s">
        <v>343</v>
      </c>
      <c r="C3" s="1" t="s">
        <v>122</v>
      </c>
      <c r="D3" s="1" t="n">
        <v>2022</v>
      </c>
      <c r="E3" s="1" t="s">
        <v>344</v>
      </c>
      <c r="F3" s="1" t="s">
        <v>345</v>
      </c>
      <c r="G3" s="1" t="s">
        <v>341</v>
      </c>
      <c r="H3" s="1" t="s">
        <v>347</v>
      </c>
      <c r="I3" s="1" t="s">
        <v>120</v>
      </c>
      <c r="J3" s="1" t="s">
        <v>535</v>
      </c>
      <c r="K3" s="1" t="s">
        <v>535</v>
      </c>
      <c r="L3" s="1" t="s">
        <v>535</v>
      </c>
      <c r="M3" s="1" t="s">
        <v>538</v>
      </c>
      <c r="N3" s="1" t="s">
        <v>106</v>
      </c>
      <c r="O3" s="1" t="s">
        <v>315</v>
      </c>
    </row>
    <row r="4" customFormat="false" ht="15" hidden="false" customHeight="false" outlineLevel="0" collapsed="false">
      <c r="A4" s="1" t="s">
        <v>539</v>
      </c>
      <c r="B4" s="1" t="s">
        <v>353</v>
      </c>
      <c r="C4" s="1" t="s">
        <v>145</v>
      </c>
      <c r="D4" s="1" t="n">
        <v>2022</v>
      </c>
      <c r="E4" s="1" t="s">
        <v>354</v>
      </c>
      <c r="F4" s="1" t="s">
        <v>355</v>
      </c>
      <c r="G4" s="1" t="s">
        <v>358</v>
      </c>
      <c r="H4" s="1" t="s">
        <v>357</v>
      </c>
      <c r="I4" s="1" t="s">
        <v>120</v>
      </c>
      <c r="J4" s="1" t="s">
        <v>535</v>
      </c>
      <c r="K4" s="1" t="s">
        <v>535</v>
      </c>
      <c r="L4" s="1" t="s">
        <v>535</v>
      </c>
      <c r="M4" s="1" t="s">
        <v>540</v>
      </c>
      <c r="N4" s="1" t="s">
        <v>136</v>
      </c>
      <c r="O4" s="1" t="s">
        <v>315</v>
      </c>
    </row>
    <row r="5" customFormat="false" ht="15" hidden="false" customHeight="false" outlineLevel="0" collapsed="false">
      <c r="A5" s="1" t="s">
        <v>541</v>
      </c>
      <c r="B5" s="1" t="s">
        <v>360</v>
      </c>
      <c r="C5" s="1" t="s">
        <v>153</v>
      </c>
      <c r="D5" s="1" t="n">
        <v>2022</v>
      </c>
      <c r="E5" s="1" t="s">
        <v>361</v>
      </c>
      <c r="F5" s="1" t="s">
        <v>362</v>
      </c>
      <c r="G5" s="1" t="s">
        <v>358</v>
      </c>
      <c r="H5" s="1" t="s">
        <v>364</v>
      </c>
      <c r="I5" s="1" t="s">
        <v>120</v>
      </c>
      <c r="J5" s="1" t="s">
        <v>535</v>
      </c>
      <c r="K5" s="1" t="s">
        <v>535</v>
      </c>
      <c r="L5" s="1" t="s">
        <v>535</v>
      </c>
      <c r="M5" s="1" t="s">
        <v>540</v>
      </c>
      <c r="N5" s="1" t="s">
        <v>136</v>
      </c>
      <c r="O5" s="1" t="s">
        <v>315</v>
      </c>
    </row>
    <row r="6" customFormat="false" ht="15" hidden="false" customHeight="false" outlineLevel="0" collapsed="false">
      <c r="A6" s="1" t="s">
        <v>542</v>
      </c>
      <c r="B6" s="1" t="s">
        <v>366</v>
      </c>
      <c r="C6" s="1" t="s">
        <v>160</v>
      </c>
      <c r="D6" s="1" t="n">
        <v>2022</v>
      </c>
      <c r="E6" s="1" t="s">
        <v>367</v>
      </c>
      <c r="F6" s="1" t="s">
        <v>368</v>
      </c>
      <c r="G6" s="1" t="s">
        <v>341</v>
      </c>
      <c r="H6" s="1" t="s">
        <v>370</v>
      </c>
      <c r="I6" s="1" t="s">
        <v>120</v>
      </c>
      <c r="J6" s="1" t="s">
        <v>535</v>
      </c>
      <c r="K6" s="1" t="s">
        <v>535</v>
      </c>
      <c r="L6" s="1" t="s">
        <v>535</v>
      </c>
      <c r="M6" s="1" t="s">
        <v>543</v>
      </c>
      <c r="N6" s="1" t="s">
        <v>136</v>
      </c>
      <c r="O6" s="1" t="s">
        <v>315</v>
      </c>
    </row>
    <row r="7" customFormat="false" ht="15" hidden="false" customHeight="false" outlineLevel="0" collapsed="false">
      <c r="A7" s="1" t="s">
        <v>544</v>
      </c>
      <c r="B7" s="1" t="s">
        <v>378</v>
      </c>
      <c r="C7" s="1" t="s">
        <v>172</v>
      </c>
      <c r="D7" s="1" t="n">
        <v>2023</v>
      </c>
      <c r="E7" s="1" t="s">
        <v>379</v>
      </c>
      <c r="F7" s="1" t="s">
        <v>380</v>
      </c>
      <c r="G7" s="1" t="s">
        <v>341</v>
      </c>
      <c r="H7" s="1" t="s">
        <v>383</v>
      </c>
      <c r="I7" s="1" t="s">
        <v>120</v>
      </c>
      <c r="J7" s="1" t="s">
        <v>535</v>
      </c>
      <c r="K7" s="1" t="s">
        <v>535</v>
      </c>
      <c r="L7" s="1" t="s">
        <v>535</v>
      </c>
      <c r="M7" s="1" t="s">
        <v>538</v>
      </c>
      <c r="N7" s="1" t="s">
        <v>171</v>
      </c>
      <c r="O7" s="1" t="s">
        <v>382</v>
      </c>
    </row>
    <row r="8" customFormat="false" ht="15" hidden="false" customHeight="false" outlineLevel="0" collapsed="false">
      <c r="A8" s="1" t="s">
        <v>545</v>
      </c>
      <c r="B8" s="1" t="s">
        <v>388</v>
      </c>
      <c r="C8" s="1" t="s">
        <v>180</v>
      </c>
      <c r="D8" s="1" t="n">
        <v>2023</v>
      </c>
      <c r="E8" s="1" t="s">
        <v>389</v>
      </c>
      <c r="F8" s="1" t="s">
        <v>380</v>
      </c>
      <c r="G8" s="1" t="s">
        <v>341</v>
      </c>
      <c r="H8" s="1" t="s">
        <v>390</v>
      </c>
      <c r="I8" s="1" t="s">
        <v>120</v>
      </c>
      <c r="J8" s="1" t="s">
        <v>535</v>
      </c>
      <c r="K8" s="1" t="s">
        <v>535</v>
      </c>
      <c r="L8" s="1" t="s">
        <v>535</v>
      </c>
      <c r="M8" s="1" t="s">
        <v>538</v>
      </c>
      <c r="N8" s="1" t="s">
        <v>171</v>
      </c>
      <c r="O8" s="1" t="s">
        <v>382</v>
      </c>
    </row>
    <row r="9" customFormat="false" ht="15" hidden="false" customHeight="false" outlineLevel="0" collapsed="false">
      <c r="A9" s="1" t="s">
        <v>546</v>
      </c>
      <c r="B9" s="1" t="s">
        <v>396</v>
      </c>
      <c r="C9" s="1" t="s">
        <v>185</v>
      </c>
      <c r="D9" s="1" t="n">
        <v>2023</v>
      </c>
      <c r="E9" s="1" t="s">
        <v>397</v>
      </c>
      <c r="F9" s="1" t="s">
        <v>380</v>
      </c>
      <c r="G9" s="1" t="s">
        <v>341</v>
      </c>
      <c r="H9" s="1" t="s">
        <v>383</v>
      </c>
      <c r="I9" s="1" t="s">
        <v>120</v>
      </c>
      <c r="J9" s="1" t="s">
        <v>535</v>
      </c>
      <c r="K9" s="1" t="s">
        <v>535</v>
      </c>
      <c r="L9" s="1" t="s">
        <v>535</v>
      </c>
      <c r="M9" s="1" t="s">
        <v>538</v>
      </c>
      <c r="N9" s="1" t="s">
        <v>188</v>
      </c>
      <c r="O9" s="1" t="s">
        <v>382</v>
      </c>
    </row>
    <row r="10" customFormat="false" ht="15" hidden="false" customHeight="false" outlineLevel="0" collapsed="false">
      <c r="A10" s="1" t="s">
        <v>547</v>
      </c>
      <c r="B10" s="1" t="s">
        <v>400</v>
      </c>
      <c r="C10" s="1" t="s">
        <v>190</v>
      </c>
      <c r="D10" s="1" t="n">
        <v>2023</v>
      </c>
      <c r="E10" s="1" t="s">
        <v>401</v>
      </c>
      <c r="F10" s="1" t="s">
        <v>380</v>
      </c>
      <c r="G10" s="1" t="s">
        <v>341</v>
      </c>
      <c r="H10" s="1" t="s">
        <v>383</v>
      </c>
      <c r="I10" s="1" t="s">
        <v>120</v>
      </c>
      <c r="J10" s="1" t="s">
        <v>535</v>
      </c>
      <c r="K10" s="1" t="s">
        <v>535</v>
      </c>
      <c r="L10" s="1" t="s">
        <v>535</v>
      </c>
      <c r="M10" s="1" t="s">
        <v>538</v>
      </c>
      <c r="N10" s="1" t="s">
        <v>188</v>
      </c>
      <c r="O10" s="1" t="s">
        <v>382</v>
      </c>
    </row>
    <row r="11" customFormat="false" ht="15" hidden="false" customHeight="false" outlineLevel="0" collapsed="false">
      <c r="A11" s="1" t="s">
        <v>548</v>
      </c>
      <c r="B11" s="1" t="s">
        <v>404</v>
      </c>
      <c r="C11" s="1" t="s">
        <v>193</v>
      </c>
      <c r="D11" s="1" t="n">
        <v>2023</v>
      </c>
      <c r="E11" s="1" t="s">
        <v>405</v>
      </c>
      <c r="F11" s="1" t="s">
        <v>380</v>
      </c>
      <c r="G11" s="1" t="s">
        <v>341</v>
      </c>
      <c r="H11" s="1" t="s">
        <v>407</v>
      </c>
      <c r="I11" s="1" t="s">
        <v>120</v>
      </c>
      <c r="J11" s="1" t="s">
        <v>535</v>
      </c>
      <c r="K11" s="1" t="s">
        <v>535</v>
      </c>
      <c r="L11" s="1" t="s">
        <v>535</v>
      </c>
      <c r="M11" s="1" t="s">
        <v>538</v>
      </c>
      <c r="N11" s="1" t="s">
        <v>199</v>
      </c>
      <c r="O11" s="1" t="s">
        <v>406</v>
      </c>
    </row>
    <row r="12" customFormat="false" ht="15" hidden="false" customHeight="false" outlineLevel="0" collapsed="false">
      <c r="A12" s="1" t="s">
        <v>549</v>
      </c>
      <c r="B12" s="1" t="s">
        <v>410</v>
      </c>
      <c r="C12" s="1" t="s">
        <v>201</v>
      </c>
      <c r="D12" s="1" t="n">
        <v>2023</v>
      </c>
      <c r="E12" s="1" t="s">
        <v>411</v>
      </c>
      <c r="F12" s="1" t="s">
        <v>380</v>
      </c>
      <c r="G12" s="1" t="s">
        <v>341</v>
      </c>
      <c r="H12" s="1" t="s">
        <v>412</v>
      </c>
      <c r="I12" s="1" t="s">
        <v>120</v>
      </c>
      <c r="J12" s="1" t="s">
        <v>535</v>
      </c>
      <c r="K12" s="1" t="s">
        <v>535</v>
      </c>
      <c r="L12" s="1" t="s">
        <v>535</v>
      </c>
      <c r="M12" s="1" t="s">
        <v>538</v>
      </c>
      <c r="N12" s="1" t="s">
        <v>199</v>
      </c>
      <c r="O12" s="1" t="s">
        <v>382</v>
      </c>
    </row>
    <row r="13" customFormat="false" ht="15" hidden="false" customHeight="false" outlineLevel="0" collapsed="false">
      <c r="A13" s="1" t="s">
        <v>550</v>
      </c>
      <c r="B13" s="1" t="s">
        <v>415</v>
      </c>
      <c r="C13" s="1" t="s">
        <v>207</v>
      </c>
      <c r="D13" s="1" t="n">
        <v>2023</v>
      </c>
      <c r="E13" s="1" t="s">
        <v>416</v>
      </c>
      <c r="F13" s="1" t="s">
        <v>362</v>
      </c>
      <c r="G13" s="1" t="s">
        <v>358</v>
      </c>
      <c r="H13" s="1" t="s">
        <v>418</v>
      </c>
      <c r="I13" s="1" t="s">
        <v>120</v>
      </c>
      <c r="J13" s="1" t="s">
        <v>535</v>
      </c>
      <c r="K13" s="1" t="s">
        <v>535</v>
      </c>
      <c r="L13" s="1" t="s">
        <v>535</v>
      </c>
      <c r="M13" s="1" t="s">
        <v>540</v>
      </c>
      <c r="N13" s="1" t="s">
        <v>212</v>
      </c>
      <c r="O13" s="1" t="s">
        <v>315</v>
      </c>
    </row>
    <row r="14" customFormat="false" ht="15" hidden="false" customHeight="false" outlineLevel="0" collapsed="false">
      <c r="A14" s="1" t="s">
        <v>551</v>
      </c>
      <c r="B14" s="1" t="s">
        <v>419</v>
      </c>
      <c r="C14" s="1" t="s">
        <v>207</v>
      </c>
      <c r="D14" s="1" t="n">
        <v>2023</v>
      </c>
      <c r="E14" s="1" t="s">
        <v>420</v>
      </c>
      <c r="F14" s="1" t="s">
        <v>421</v>
      </c>
      <c r="G14" s="1" t="s">
        <v>358</v>
      </c>
      <c r="H14" s="1" t="s">
        <v>423</v>
      </c>
      <c r="I14" s="1" t="s">
        <v>120</v>
      </c>
      <c r="J14" s="1" t="s">
        <v>535</v>
      </c>
      <c r="K14" s="1" t="s">
        <v>535</v>
      </c>
      <c r="L14" s="1" t="s">
        <v>535</v>
      </c>
      <c r="M14" s="1" t="s">
        <v>552</v>
      </c>
      <c r="N14" s="1" t="s">
        <v>212</v>
      </c>
      <c r="O14" s="1" t="s">
        <v>327</v>
      </c>
    </row>
    <row r="15" customFormat="false" ht="15" hidden="false" customHeight="false" outlineLevel="0" collapsed="false">
      <c r="A15" s="1" t="s">
        <v>553</v>
      </c>
      <c r="B15" s="1" t="s">
        <v>426</v>
      </c>
      <c r="C15" s="1" t="s">
        <v>214</v>
      </c>
      <c r="D15" s="1" t="n">
        <v>2024</v>
      </c>
      <c r="E15" s="1" t="s">
        <v>427</v>
      </c>
      <c r="F15" s="1" t="s">
        <v>362</v>
      </c>
      <c r="G15" s="1" t="s">
        <v>358</v>
      </c>
      <c r="H15" s="1" t="s">
        <v>429</v>
      </c>
      <c r="I15" s="1" t="s">
        <v>120</v>
      </c>
      <c r="J15" s="1" t="s">
        <v>535</v>
      </c>
      <c r="K15" s="1" t="s">
        <v>535</v>
      </c>
      <c r="L15" s="1" t="s">
        <v>535</v>
      </c>
      <c r="M15" s="1" t="s">
        <v>540</v>
      </c>
      <c r="N15" s="1" t="s">
        <v>212</v>
      </c>
      <c r="O15" s="1" t="s">
        <v>315</v>
      </c>
    </row>
    <row r="16" customFormat="false" ht="15" hidden="false" customHeight="false" outlineLevel="0" collapsed="false">
      <c r="A16" s="1" t="s">
        <v>554</v>
      </c>
      <c r="B16" s="1" t="s">
        <v>430</v>
      </c>
      <c r="C16" s="1" t="s">
        <v>214</v>
      </c>
      <c r="D16" s="1" t="n">
        <v>2024</v>
      </c>
      <c r="E16" s="1" t="s">
        <v>431</v>
      </c>
      <c r="F16" s="1" t="s">
        <v>432</v>
      </c>
      <c r="G16" s="1" t="s">
        <v>358</v>
      </c>
      <c r="H16" s="1" t="s">
        <v>433</v>
      </c>
      <c r="I16" s="1" t="s">
        <v>120</v>
      </c>
      <c r="J16" s="1" t="s">
        <v>535</v>
      </c>
      <c r="K16" s="1" t="s">
        <v>535</v>
      </c>
      <c r="L16" s="1" t="s">
        <v>535</v>
      </c>
      <c r="M16" s="1" t="s">
        <v>540</v>
      </c>
      <c r="N16" s="1" t="s">
        <v>212</v>
      </c>
      <c r="O16" s="1" t="s">
        <v>315</v>
      </c>
    </row>
    <row r="17" customFormat="false" ht="15" hidden="false" customHeight="false" outlineLevel="0" collapsed="false">
      <c r="A17" s="1" t="s">
        <v>555</v>
      </c>
      <c r="B17" s="1" t="s">
        <v>436</v>
      </c>
      <c r="C17" s="1" t="s">
        <v>218</v>
      </c>
      <c r="D17" s="1" t="n">
        <v>2024</v>
      </c>
      <c r="E17" s="1" t="s">
        <v>437</v>
      </c>
      <c r="F17" s="1" t="s">
        <v>368</v>
      </c>
      <c r="G17" s="1" t="s">
        <v>341</v>
      </c>
      <c r="H17" s="1" t="s">
        <v>439</v>
      </c>
      <c r="I17" s="1" t="s">
        <v>120</v>
      </c>
      <c r="J17" s="1" t="s">
        <v>535</v>
      </c>
      <c r="K17" s="1" t="s">
        <v>535</v>
      </c>
      <c r="L17" s="1" t="s">
        <v>535</v>
      </c>
      <c r="M17" s="1" t="s">
        <v>543</v>
      </c>
      <c r="N17" s="1" t="s">
        <v>212</v>
      </c>
      <c r="O17" s="1" t="s">
        <v>315</v>
      </c>
    </row>
    <row r="18" customFormat="false" ht="15" hidden="false" customHeight="false" outlineLevel="0" collapsed="false">
      <c r="A18" s="1" t="s">
        <v>556</v>
      </c>
      <c r="B18" s="1" t="s">
        <v>440</v>
      </c>
      <c r="C18" s="1" t="s">
        <v>218</v>
      </c>
      <c r="D18" s="1" t="n">
        <v>2024</v>
      </c>
      <c r="E18" s="1" t="s">
        <v>441</v>
      </c>
      <c r="F18" s="1" t="s">
        <v>442</v>
      </c>
      <c r="G18" s="1" t="s">
        <v>341</v>
      </c>
      <c r="H18" s="1" t="s">
        <v>316</v>
      </c>
      <c r="I18" s="1" t="s">
        <v>120</v>
      </c>
      <c r="J18" s="1" t="s">
        <v>535</v>
      </c>
      <c r="K18" s="1" t="s">
        <v>535</v>
      </c>
      <c r="L18" s="1" t="s">
        <v>535</v>
      </c>
      <c r="M18" s="1" t="s">
        <v>543</v>
      </c>
      <c r="N18" s="1" t="s">
        <v>212</v>
      </c>
      <c r="O18" s="1" t="s">
        <v>315</v>
      </c>
    </row>
    <row r="19" customFormat="false" ht="15" hidden="false" customHeight="false" outlineLevel="0" collapsed="false">
      <c r="A19" s="1" t="s">
        <v>557</v>
      </c>
      <c r="B19" s="1" t="s">
        <v>451</v>
      </c>
      <c r="C19" s="1" t="s">
        <v>223</v>
      </c>
      <c r="D19" s="1" t="n">
        <v>2024</v>
      </c>
      <c r="E19" s="1" t="s">
        <v>452</v>
      </c>
      <c r="F19" s="1" t="s">
        <v>362</v>
      </c>
      <c r="G19" s="1" t="s">
        <v>358</v>
      </c>
      <c r="H19" s="1" t="s">
        <v>454</v>
      </c>
      <c r="I19" s="1" t="s">
        <v>120</v>
      </c>
      <c r="J19" s="1" t="s">
        <v>535</v>
      </c>
      <c r="K19" s="1" t="s">
        <v>535</v>
      </c>
      <c r="L19" s="1" t="s">
        <v>535</v>
      </c>
      <c r="M19" s="1" t="s">
        <v>540</v>
      </c>
      <c r="N19" s="1" t="s">
        <v>228</v>
      </c>
      <c r="O19" s="1" t="s">
        <v>315</v>
      </c>
    </row>
    <row r="20" customFormat="false" ht="15" hidden="false" customHeight="false" outlineLevel="0" collapsed="false">
      <c r="A20" s="1" t="s">
        <v>558</v>
      </c>
      <c r="B20" s="1" t="s">
        <v>457</v>
      </c>
      <c r="C20" s="1" t="s">
        <v>223</v>
      </c>
      <c r="D20" s="1" t="n">
        <v>2024</v>
      </c>
      <c r="E20" s="1" t="s">
        <v>458</v>
      </c>
      <c r="F20" s="1" t="s">
        <v>432</v>
      </c>
      <c r="G20" s="1" t="s">
        <v>358</v>
      </c>
      <c r="H20" s="1" t="s">
        <v>433</v>
      </c>
      <c r="I20" s="1" t="s">
        <v>120</v>
      </c>
      <c r="J20" s="1" t="s">
        <v>535</v>
      </c>
      <c r="K20" s="1" t="s">
        <v>535</v>
      </c>
      <c r="L20" s="1" t="s">
        <v>535</v>
      </c>
      <c r="M20" s="1" t="s">
        <v>540</v>
      </c>
      <c r="N20" s="1" t="s">
        <v>228</v>
      </c>
      <c r="O20" s="1" t="s">
        <v>315</v>
      </c>
    </row>
    <row r="21" customFormat="false" ht="15" hidden="false" customHeight="false" outlineLevel="0" collapsed="false">
      <c r="A21" s="1" t="s">
        <v>559</v>
      </c>
      <c r="B21" s="1" t="s">
        <v>462</v>
      </c>
      <c r="C21" s="1" t="s">
        <v>229</v>
      </c>
      <c r="D21" s="1" t="n">
        <v>2024</v>
      </c>
      <c r="E21" s="1" t="s">
        <v>463</v>
      </c>
      <c r="F21" s="1" t="s">
        <v>362</v>
      </c>
      <c r="G21" s="1" t="s">
        <v>358</v>
      </c>
      <c r="H21" s="1" t="s">
        <v>465</v>
      </c>
      <c r="I21" s="1" t="s">
        <v>120</v>
      </c>
      <c r="J21" s="1" t="s">
        <v>535</v>
      </c>
      <c r="K21" s="1" t="s">
        <v>535</v>
      </c>
      <c r="L21" s="1" t="s">
        <v>535</v>
      </c>
      <c r="M21" s="1" t="s">
        <v>540</v>
      </c>
      <c r="N21" s="1" t="s">
        <v>228</v>
      </c>
      <c r="O21" s="1" t="s">
        <v>315</v>
      </c>
    </row>
    <row r="22" customFormat="false" ht="15" hidden="false" customHeight="false" outlineLevel="0" collapsed="false">
      <c r="A22" s="1" t="s">
        <v>560</v>
      </c>
      <c r="B22" s="1" t="s">
        <v>466</v>
      </c>
      <c r="C22" s="1" t="s">
        <v>229</v>
      </c>
      <c r="D22" s="1" t="n">
        <v>2024</v>
      </c>
      <c r="E22" s="1" t="s">
        <v>467</v>
      </c>
      <c r="F22" s="1" t="s">
        <v>432</v>
      </c>
      <c r="G22" s="1" t="s">
        <v>358</v>
      </c>
      <c r="H22" s="1" t="s">
        <v>433</v>
      </c>
      <c r="I22" s="1" t="s">
        <v>120</v>
      </c>
      <c r="J22" s="1" t="s">
        <v>535</v>
      </c>
      <c r="K22" s="1" t="s">
        <v>535</v>
      </c>
      <c r="L22" s="1" t="s">
        <v>535</v>
      </c>
      <c r="M22" s="1" t="s">
        <v>540</v>
      </c>
      <c r="N22" s="1" t="s">
        <v>228</v>
      </c>
      <c r="O22" s="1" t="s">
        <v>315</v>
      </c>
    </row>
    <row r="23" customFormat="false" ht="15" hidden="false" customHeight="false" outlineLevel="0" collapsed="false">
      <c r="A23" s="1" t="s">
        <v>561</v>
      </c>
      <c r="B23" s="1" t="s">
        <v>495</v>
      </c>
      <c r="C23" s="1" t="s">
        <v>277</v>
      </c>
      <c r="D23" s="1" t="n">
        <v>2025</v>
      </c>
      <c r="E23" s="1" t="s">
        <v>496</v>
      </c>
      <c r="F23" s="1" t="s">
        <v>432</v>
      </c>
      <c r="G23" s="1" t="s">
        <v>358</v>
      </c>
      <c r="H23" s="1" t="s">
        <v>499</v>
      </c>
      <c r="I23" s="1" t="s">
        <v>120</v>
      </c>
      <c r="J23" s="1" t="s">
        <v>535</v>
      </c>
      <c r="K23" s="1" t="s">
        <v>535</v>
      </c>
      <c r="L23" s="1" t="s">
        <v>535</v>
      </c>
      <c r="M23" s="1" t="s">
        <v>540</v>
      </c>
      <c r="N23" s="1" t="s">
        <v>260</v>
      </c>
      <c r="O23" s="1" t="s">
        <v>498</v>
      </c>
    </row>
    <row r="24" customFormat="false" ht="15" hidden="false" customHeight="false" outlineLevel="0" collapsed="false">
      <c r="A24" s="1" t="s">
        <v>562</v>
      </c>
      <c r="B24" s="1" t="s">
        <v>500</v>
      </c>
      <c r="C24" s="1" t="s">
        <v>277</v>
      </c>
      <c r="D24" s="1" t="n">
        <v>2025</v>
      </c>
      <c r="E24" s="1" t="s">
        <v>501</v>
      </c>
      <c r="F24" s="1" t="s">
        <v>362</v>
      </c>
      <c r="G24" s="1" t="s">
        <v>358</v>
      </c>
      <c r="H24" s="1" t="s">
        <v>503</v>
      </c>
      <c r="I24" s="1" t="s">
        <v>120</v>
      </c>
      <c r="J24" s="1" t="s">
        <v>535</v>
      </c>
      <c r="K24" s="1" t="s">
        <v>535</v>
      </c>
      <c r="L24" s="1" t="s">
        <v>535</v>
      </c>
      <c r="M24" s="1" t="s">
        <v>540</v>
      </c>
      <c r="N24" s="1" t="s">
        <v>260</v>
      </c>
      <c r="O24" s="1" t="s">
        <v>315</v>
      </c>
    </row>
    <row r="25" customFormat="false" ht="15" hidden="false" customHeight="false" outlineLevel="0" collapsed="false">
      <c r="A25" s="1" t="s">
        <v>563</v>
      </c>
      <c r="B25" s="1" t="s">
        <v>507</v>
      </c>
      <c r="C25" s="1" t="s">
        <v>283</v>
      </c>
      <c r="D25" s="1" t="n">
        <v>2025</v>
      </c>
      <c r="E25" s="1" t="s">
        <v>508</v>
      </c>
      <c r="F25" s="1" t="s">
        <v>432</v>
      </c>
      <c r="G25" s="1" t="s">
        <v>358</v>
      </c>
      <c r="H25" s="1" t="s">
        <v>499</v>
      </c>
      <c r="I25" s="1" t="s">
        <v>120</v>
      </c>
      <c r="J25" s="1" t="s">
        <v>535</v>
      </c>
      <c r="K25" s="1" t="s">
        <v>535</v>
      </c>
      <c r="L25" s="1" t="s">
        <v>535</v>
      </c>
      <c r="M25" s="1" t="s">
        <v>540</v>
      </c>
      <c r="N25" s="1" t="s">
        <v>260</v>
      </c>
      <c r="O25" s="1" t="s">
        <v>509</v>
      </c>
    </row>
    <row r="26" customFormat="false" ht="15" hidden="false" customHeight="false" outlineLevel="0" collapsed="false">
      <c r="A26" s="1" t="s">
        <v>564</v>
      </c>
      <c r="B26" s="1" t="s">
        <v>510</v>
      </c>
      <c r="C26" s="1" t="s">
        <v>283</v>
      </c>
      <c r="D26" s="1" t="n">
        <v>2025</v>
      </c>
      <c r="E26" s="1" t="s">
        <v>511</v>
      </c>
      <c r="F26" s="1" t="s">
        <v>362</v>
      </c>
      <c r="G26" s="1" t="s">
        <v>358</v>
      </c>
      <c r="H26" s="1" t="s">
        <v>513</v>
      </c>
      <c r="I26" s="1" t="s">
        <v>120</v>
      </c>
      <c r="J26" s="1" t="s">
        <v>535</v>
      </c>
      <c r="K26" s="1" t="s">
        <v>535</v>
      </c>
      <c r="L26" s="1" t="s">
        <v>535</v>
      </c>
      <c r="M26" s="1" t="s">
        <v>540</v>
      </c>
      <c r="N26" s="1" t="s">
        <v>260</v>
      </c>
      <c r="O26" s="1" t="s">
        <v>315</v>
      </c>
    </row>
    <row r="27" customFormat="false" ht="15" hidden="false" customHeight="false" outlineLevel="0" collapsed="false">
      <c r="A27" s="1" t="s">
        <v>565</v>
      </c>
      <c r="B27" s="1" t="s">
        <v>519</v>
      </c>
      <c r="C27" s="1" t="s">
        <v>288</v>
      </c>
      <c r="D27" s="1" t="n">
        <v>2025</v>
      </c>
      <c r="E27" s="1" t="s">
        <v>520</v>
      </c>
      <c r="F27" s="1" t="s">
        <v>521</v>
      </c>
      <c r="G27" s="1" t="s">
        <v>358</v>
      </c>
      <c r="H27" s="1" t="s">
        <v>524</v>
      </c>
      <c r="I27" s="1" t="s">
        <v>525</v>
      </c>
      <c r="J27" s="1" t="s">
        <v>535</v>
      </c>
      <c r="K27" s="1" t="s">
        <v>535</v>
      </c>
      <c r="L27" s="1" t="s">
        <v>535</v>
      </c>
      <c r="M27" s="1" t="s">
        <v>540</v>
      </c>
      <c r="N27" s="1" t="s">
        <v>260</v>
      </c>
      <c r="O27" s="1" t="s">
        <v>523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64"/>
    <col collapsed="false" customWidth="true" hidden="false" outlineLevel="0" max="4" min="4" style="1" width="22"/>
    <col collapsed="false" customWidth="true" hidden="false" outlineLevel="0" max="5" min="5" style="1" width="8"/>
    <col collapsed="false" customWidth="true" hidden="false" outlineLevel="0" max="6" min="6" style="1" width="34"/>
    <col collapsed="false" customWidth="true" hidden="false" outlineLevel="0" max="7" min="7" style="1" width="28"/>
    <col collapsed="false" customWidth="true" hidden="false" outlineLevel="0" max="8" min="8" style="1" width="26"/>
    <col collapsed="false" customWidth="true" hidden="false" outlineLevel="0" max="9" min="9" style="1" width="38"/>
    <col collapsed="false" customWidth="true" hidden="false" outlineLevel="0" max="10" min="10" style="1" width="28"/>
    <col collapsed="false" customWidth="true" hidden="false" outlineLevel="0" max="12" min="11" style="1" width="16"/>
    <col collapsed="false" customWidth="true" hidden="false" outlineLevel="0" max="13" min="13" style="1" width="58"/>
  </cols>
  <sheetData>
    <row r="1" customFormat="false" ht="28.35" hidden="false" customHeight="false" outlineLevel="0" collapsed="false">
      <c r="A1" s="3" t="s">
        <v>566</v>
      </c>
      <c r="B1" s="3" t="s">
        <v>567</v>
      </c>
      <c r="C1" s="3" t="s">
        <v>568</v>
      </c>
      <c r="D1" s="3" t="s">
        <v>569</v>
      </c>
      <c r="E1" s="3" t="s">
        <v>297</v>
      </c>
      <c r="F1" s="3" t="s">
        <v>570</v>
      </c>
      <c r="G1" s="3" t="s">
        <v>571</v>
      </c>
      <c r="H1" s="3" t="s">
        <v>572</v>
      </c>
      <c r="I1" s="3" t="s">
        <v>573</v>
      </c>
      <c r="J1" s="3" t="s">
        <v>574</v>
      </c>
      <c r="K1" s="3" t="s">
        <v>575</v>
      </c>
      <c r="L1" s="3" t="s">
        <v>576</v>
      </c>
      <c r="M1" s="3" t="s">
        <v>577</v>
      </c>
    </row>
    <row r="2" customFormat="false" ht="15" hidden="false" customHeight="false" outlineLevel="0" collapsed="false">
      <c r="A2" s="1" t="s">
        <v>578</v>
      </c>
      <c r="B2" s="1" t="s">
        <v>579</v>
      </c>
      <c r="C2" s="1" t="s">
        <v>580</v>
      </c>
      <c r="D2" s="1" t="s">
        <v>581</v>
      </c>
      <c r="E2" s="1" t="n">
        <v>2021</v>
      </c>
      <c r="F2" s="1" t="s">
        <v>582</v>
      </c>
      <c r="G2" s="1" t="s">
        <v>583</v>
      </c>
      <c r="H2" s="1" t="s">
        <v>584</v>
      </c>
      <c r="I2" s="1" t="s">
        <v>585</v>
      </c>
      <c r="J2" s="1" t="s">
        <v>586</v>
      </c>
    </row>
    <row r="3" customFormat="false" ht="15" hidden="false" customHeight="false" outlineLevel="0" collapsed="false">
      <c r="A3" s="1" t="s">
        <v>587</v>
      </c>
      <c r="B3" s="1" t="s">
        <v>579</v>
      </c>
      <c r="C3" s="1" t="s">
        <v>588</v>
      </c>
      <c r="D3" s="1" t="s">
        <v>589</v>
      </c>
      <c r="E3" s="1" t="n">
        <v>2022</v>
      </c>
      <c r="F3" s="1" t="s">
        <v>582</v>
      </c>
      <c r="G3" s="1" t="s">
        <v>583</v>
      </c>
      <c r="H3" s="1" t="s">
        <v>590</v>
      </c>
      <c r="I3" s="1" t="s">
        <v>585</v>
      </c>
      <c r="J3" s="1" t="s">
        <v>591</v>
      </c>
      <c r="M3" s="1" t="s">
        <v>592</v>
      </c>
    </row>
    <row r="4" customFormat="false" ht="15" hidden="false" customHeight="false" outlineLevel="0" collapsed="false">
      <c r="A4" s="1" t="s">
        <v>593</v>
      </c>
      <c r="B4" s="1" t="s">
        <v>579</v>
      </c>
      <c r="C4" s="1" t="s">
        <v>594</v>
      </c>
      <c r="D4" s="1" t="s">
        <v>595</v>
      </c>
      <c r="E4" s="1" t="n">
        <v>2023</v>
      </c>
      <c r="F4" s="1" t="s">
        <v>582</v>
      </c>
      <c r="G4" s="1" t="s">
        <v>583</v>
      </c>
      <c r="H4" s="1" t="s">
        <v>584</v>
      </c>
      <c r="I4" s="1" t="s">
        <v>585</v>
      </c>
      <c r="J4" s="1" t="s">
        <v>586</v>
      </c>
    </row>
    <row r="5" customFormat="false" ht="15" hidden="false" customHeight="false" outlineLevel="0" collapsed="false">
      <c r="A5" s="1" t="s">
        <v>596</v>
      </c>
      <c r="B5" s="1" t="s">
        <v>579</v>
      </c>
      <c r="C5" s="1" t="s">
        <v>597</v>
      </c>
      <c r="D5" s="1" t="s">
        <v>598</v>
      </c>
      <c r="E5" s="1" t="n">
        <v>2025</v>
      </c>
      <c r="F5" s="1" t="s">
        <v>582</v>
      </c>
      <c r="G5" s="1" t="s">
        <v>583</v>
      </c>
      <c r="H5" s="1" t="s">
        <v>599</v>
      </c>
      <c r="I5" s="1" t="s">
        <v>585</v>
      </c>
      <c r="J5" s="1" t="s">
        <v>591</v>
      </c>
      <c r="M5" s="1" t="s">
        <v>600</v>
      </c>
    </row>
    <row r="6" customFormat="false" ht="15" hidden="false" customHeight="false" outlineLevel="0" collapsed="false">
      <c r="A6" s="1" t="s">
        <v>601</v>
      </c>
      <c r="B6" s="1" t="s">
        <v>602</v>
      </c>
      <c r="C6" s="1" t="s">
        <v>603</v>
      </c>
      <c r="D6" s="1" t="s">
        <v>604</v>
      </c>
      <c r="E6" s="1" t="n">
        <v>2020</v>
      </c>
      <c r="F6" s="1" t="s">
        <v>605</v>
      </c>
      <c r="G6" s="1" t="s">
        <v>606</v>
      </c>
      <c r="H6" s="1" t="s">
        <v>99</v>
      </c>
      <c r="I6" s="1" t="s">
        <v>607</v>
      </c>
      <c r="J6" s="1" t="s">
        <v>591</v>
      </c>
      <c r="M6" s="1" t="s">
        <v>608</v>
      </c>
    </row>
    <row r="7" customFormat="false" ht="15" hidden="false" customHeight="false" outlineLevel="0" collapsed="false">
      <c r="A7" s="1" t="s">
        <v>609</v>
      </c>
      <c r="B7" s="1" t="s">
        <v>602</v>
      </c>
      <c r="C7" s="1" t="s">
        <v>610</v>
      </c>
      <c r="D7" s="1" t="s">
        <v>611</v>
      </c>
      <c r="E7" s="1" t="n">
        <v>2023</v>
      </c>
      <c r="F7" s="1" t="s">
        <v>605</v>
      </c>
      <c r="G7" s="1" t="s">
        <v>583</v>
      </c>
      <c r="H7" s="1" t="s">
        <v>584</v>
      </c>
      <c r="I7" s="1" t="s">
        <v>607</v>
      </c>
      <c r="J7" s="1" t="s">
        <v>586</v>
      </c>
    </row>
    <row r="8" customFormat="false" ht="15" hidden="false" customHeight="false" outlineLevel="0" collapsed="false">
      <c r="A8" s="1" t="s">
        <v>612</v>
      </c>
      <c r="B8" s="1" t="s">
        <v>602</v>
      </c>
      <c r="C8" s="1" t="s">
        <v>613</v>
      </c>
      <c r="D8" s="1" t="s">
        <v>614</v>
      </c>
      <c r="E8" s="1" t="n">
        <v>2025</v>
      </c>
      <c r="F8" s="1" t="s">
        <v>605</v>
      </c>
      <c r="G8" s="1" t="s">
        <v>583</v>
      </c>
      <c r="H8" s="1" t="s">
        <v>584</v>
      </c>
      <c r="I8" s="1" t="s">
        <v>607</v>
      </c>
      <c r="J8" s="1" t="s">
        <v>586</v>
      </c>
    </row>
    <row r="9" customFormat="false" ht="15" hidden="false" customHeight="false" outlineLevel="0" collapsed="false">
      <c r="A9" s="1" t="s">
        <v>615</v>
      </c>
      <c r="B9" s="1" t="s">
        <v>602</v>
      </c>
      <c r="C9" s="1" t="s">
        <v>616</v>
      </c>
      <c r="D9" s="1" t="s">
        <v>617</v>
      </c>
      <c r="E9" s="1" t="n">
        <v>2023</v>
      </c>
      <c r="F9" s="1" t="s">
        <v>605</v>
      </c>
      <c r="G9" s="1" t="s">
        <v>618</v>
      </c>
      <c r="H9" s="1" t="s">
        <v>619</v>
      </c>
      <c r="I9" s="1" t="s">
        <v>620</v>
      </c>
      <c r="J9" s="1" t="s">
        <v>586</v>
      </c>
      <c r="M9" s="1" t="s">
        <v>621</v>
      </c>
    </row>
    <row r="10" customFormat="false" ht="15" hidden="false" customHeight="false" outlineLevel="0" collapsed="false">
      <c r="A10" s="1" t="s">
        <v>622</v>
      </c>
      <c r="B10" s="1" t="s">
        <v>602</v>
      </c>
      <c r="C10" s="1" t="s">
        <v>623</v>
      </c>
      <c r="D10" s="1" t="s">
        <v>624</v>
      </c>
      <c r="E10" s="1" t="n">
        <v>2025</v>
      </c>
      <c r="F10" s="1" t="s">
        <v>605</v>
      </c>
      <c r="G10" s="1" t="s">
        <v>606</v>
      </c>
      <c r="H10" s="1" t="s">
        <v>99</v>
      </c>
      <c r="I10" s="1" t="s">
        <v>625</v>
      </c>
      <c r="J10" s="1" t="s">
        <v>591</v>
      </c>
    </row>
    <row r="11" customFormat="false" ht="15" hidden="false" customHeight="false" outlineLevel="0" collapsed="false">
      <c r="A11" s="1" t="s">
        <v>626</v>
      </c>
      <c r="B11" s="1" t="s">
        <v>627</v>
      </c>
      <c r="C11" s="1" t="s">
        <v>628</v>
      </c>
      <c r="D11" s="1" t="s">
        <v>629</v>
      </c>
      <c r="E11" s="1" t="n">
        <v>2024</v>
      </c>
      <c r="F11" s="1" t="s">
        <v>605</v>
      </c>
      <c r="G11" s="1" t="s">
        <v>618</v>
      </c>
      <c r="H11" s="1" t="s">
        <v>619</v>
      </c>
      <c r="I11" s="1" t="s">
        <v>630</v>
      </c>
      <c r="J11" s="1" t="s">
        <v>586</v>
      </c>
    </row>
    <row r="12" customFormat="false" ht="15" hidden="false" customHeight="false" outlineLevel="0" collapsed="false">
      <c r="A12" s="1" t="s">
        <v>631</v>
      </c>
      <c r="B12" s="1" t="s">
        <v>627</v>
      </c>
      <c r="C12" s="1" t="s">
        <v>632</v>
      </c>
      <c r="D12" s="1" t="s">
        <v>633</v>
      </c>
      <c r="E12" s="1" t="n">
        <v>2024</v>
      </c>
      <c r="F12" s="1" t="s">
        <v>605</v>
      </c>
      <c r="G12" s="1" t="s">
        <v>618</v>
      </c>
      <c r="H12" s="1" t="s">
        <v>619</v>
      </c>
      <c r="I12" s="1" t="s">
        <v>630</v>
      </c>
      <c r="J12" s="1" t="s">
        <v>586</v>
      </c>
      <c r="K12" s="1" t="s">
        <v>207</v>
      </c>
      <c r="L12" s="1" t="s">
        <v>358</v>
      </c>
      <c r="M12" s="1" t="s">
        <v>634</v>
      </c>
    </row>
    <row r="13" customFormat="false" ht="15" hidden="false" customHeight="false" outlineLevel="0" collapsed="false">
      <c r="A13" s="1" t="s">
        <v>635</v>
      </c>
      <c r="B13" s="1" t="s">
        <v>627</v>
      </c>
      <c r="C13" s="1" t="s">
        <v>636</v>
      </c>
      <c r="D13" s="1" t="s">
        <v>637</v>
      </c>
      <c r="E13" s="1" t="n">
        <v>2024</v>
      </c>
      <c r="F13" s="1" t="s">
        <v>605</v>
      </c>
      <c r="G13" s="1" t="s">
        <v>618</v>
      </c>
      <c r="H13" s="1" t="s">
        <v>619</v>
      </c>
      <c r="I13" s="1" t="s">
        <v>630</v>
      </c>
      <c r="J13" s="1" t="s">
        <v>586</v>
      </c>
      <c r="M13" s="1" t="s">
        <v>638</v>
      </c>
    </row>
    <row r="14" customFormat="false" ht="15" hidden="false" customHeight="false" outlineLevel="0" collapsed="false">
      <c r="A14" s="1" t="s">
        <v>639</v>
      </c>
      <c r="B14" s="1" t="s">
        <v>627</v>
      </c>
      <c r="C14" s="1" t="s">
        <v>640</v>
      </c>
      <c r="D14" s="1" t="s">
        <v>641</v>
      </c>
      <c r="E14" s="1" t="n">
        <v>2024</v>
      </c>
      <c r="F14" s="1" t="s">
        <v>605</v>
      </c>
      <c r="G14" s="1" t="s">
        <v>618</v>
      </c>
      <c r="H14" s="1" t="s">
        <v>619</v>
      </c>
      <c r="I14" s="1" t="s">
        <v>630</v>
      </c>
      <c r="J14" s="1" t="s">
        <v>586</v>
      </c>
      <c r="M14" s="1" t="s">
        <v>638</v>
      </c>
    </row>
    <row r="15" customFormat="false" ht="15" hidden="false" customHeight="false" outlineLevel="0" collapsed="false">
      <c r="A15" s="1" t="s">
        <v>642</v>
      </c>
      <c r="B15" s="1" t="s">
        <v>627</v>
      </c>
      <c r="C15" s="1" t="s">
        <v>643</v>
      </c>
      <c r="D15" s="1" t="s">
        <v>644</v>
      </c>
      <c r="E15" s="1" t="n">
        <v>2024</v>
      </c>
      <c r="F15" s="1" t="s">
        <v>605</v>
      </c>
      <c r="G15" s="1" t="s">
        <v>618</v>
      </c>
      <c r="H15" s="1" t="s">
        <v>619</v>
      </c>
      <c r="I15" s="1" t="s">
        <v>630</v>
      </c>
      <c r="J15" s="1" t="s">
        <v>586</v>
      </c>
      <c r="M15" s="1" t="s">
        <v>638</v>
      </c>
    </row>
    <row r="16" customFormat="false" ht="15" hidden="false" customHeight="false" outlineLevel="0" collapsed="false">
      <c r="A16" s="1" t="s">
        <v>645</v>
      </c>
      <c r="B16" s="1" t="s">
        <v>646</v>
      </c>
      <c r="C16" s="1" t="s">
        <v>647</v>
      </c>
      <c r="E16" s="1" t="n">
        <v>2025</v>
      </c>
      <c r="F16" s="1" t="s">
        <v>605</v>
      </c>
      <c r="G16" s="1" t="s">
        <v>648</v>
      </c>
      <c r="H16" s="1" t="s">
        <v>584</v>
      </c>
      <c r="I16" s="1" t="s">
        <v>649</v>
      </c>
      <c r="J16" s="1" t="s">
        <v>586</v>
      </c>
      <c r="K16" s="1" t="s">
        <v>288</v>
      </c>
      <c r="L16" s="1" t="s">
        <v>650</v>
      </c>
      <c r="M16" s="1" t="s">
        <v>651</v>
      </c>
    </row>
    <row r="17" customFormat="false" ht="15" hidden="false" customHeight="false" outlineLevel="0" collapsed="false">
      <c r="A17" s="1" t="s">
        <v>652</v>
      </c>
      <c r="B17" s="1" t="s">
        <v>646</v>
      </c>
      <c r="C17" s="1" t="s">
        <v>653</v>
      </c>
      <c r="E17" s="1" t="n">
        <v>2026</v>
      </c>
      <c r="F17" s="1" t="s">
        <v>605</v>
      </c>
      <c r="G17" s="1" t="s">
        <v>648</v>
      </c>
      <c r="H17" s="1" t="s">
        <v>584</v>
      </c>
      <c r="I17" s="1" t="s">
        <v>649</v>
      </c>
      <c r="J17" s="1" t="s">
        <v>586</v>
      </c>
      <c r="M17" s="1" t="s">
        <v>654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4" min="3" style="1" width="12"/>
    <col collapsed="false" customWidth="true" hidden="false" outlineLevel="0" max="5" min="5" style="1" width="14"/>
    <col collapsed="false" customWidth="true" hidden="false" outlineLevel="0" max="6" min="6" style="1" width="52"/>
  </cols>
  <sheetData>
    <row r="1" customFormat="false" ht="16.15" hidden="false" customHeight="false" outlineLevel="0" collapsed="false">
      <c r="A1" s="7" t="s">
        <v>655</v>
      </c>
    </row>
    <row r="2" customFormat="false" ht="15" hidden="false" customHeight="false" outlineLevel="0" collapsed="false">
      <c r="A2" s="8" t="s">
        <v>656</v>
      </c>
    </row>
    <row r="4" customFormat="false" ht="15" hidden="false" customHeight="false" outlineLevel="0" collapsed="false">
      <c r="A4" s="9" t="s">
        <v>657</v>
      </c>
      <c r="B4" s="9" t="s">
        <v>658</v>
      </c>
      <c r="C4" s="9" t="s">
        <v>659</v>
      </c>
      <c r="D4" s="9" t="s">
        <v>660</v>
      </c>
      <c r="E4" s="9" t="s">
        <v>661</v>
      </c>
      <c r="F4" s="9" t="s">
        <v>662</v>
      </c>
    </row>
    <row r="5" customFormat="false" ht="15" hidden="false" customHeight="false" outlineLevel="0" collapsed="false">
      <c r="A5" s="15" t="s">
        <v>663</v>
      </c>
      <c r="B5" s="10" t="s">
        <v>664</v>
      </c>
      <c r="C5" s="10"/>
      <c r="D5" s="10"/>
      <c r="E5" s="10" t="n">
        <f aca="false">COUNTA(01_PROJECT_ALL!$A$2:$A$39)</f>
        <v>38</v>
      </c>
      <c r="F5" s="10" t="s">
        <v>665</v>
      </c>
    </row>
    <row r="6" customFormat="false" ht="15" hidden="false" customHeight="false" outlineLevel="0" collapsed="false">
      <c r="A6" s="15" t="s">
        <v>666</v>
      </c>
      <c r="B6" s="10" t="s">
        <v>667</v>
      </c>
      <c r="C6" s="10"/>
      <c r="D6" s="10"/>
      <c r="E6" s="10" t="n">
        <f aca="false">COUNTA(02_OUTPUT_ALL!$A$2:$A$91)</f>
        <v>90</v>
      </c>
      <c r="F6" s="10" t="s">
        <v>668</v>
      </c>
    </row>
    <row r="7" customFormat="false" ht="15" hidden="false" customHeight="false" outlineLevel="0" collapsed="false">
      <c r="A7" s="15" t="s">
        <v>669</v>
      </c>
      <c r="B7" s="10" t="s">
        <v>670</v>
      </c>
      <c r="C7" s="10"/>
      <c r="D7" s="10"/>
      <c r="E7" s="10" t="n">
        <f aca="false">COUNTIF(02_OUTPUT_ALL!$Q$2:$Q$91,"Bắt buộc hành chính")</f>
        <v>34</v>
      </c>
      <c r="F7" s="10" t="s">
        <v>671</v>
      </c>
    </row>
    <row r="8" customFormat="false" ht="15" hidden="false" customHeight="false" outlineLevel="0" collapsed="false">
      <c r="A8" s="15" t="s">
        <v>672</v>
      </c>
      <c r="B8" s="10" t="s">
        <v>673</v>
      </c>
      <c r="C8" s="10"/>
      <c r="D8" s="10"/>
      <c r="E8" s="10" t="n">
        <f aca="false">COUNTIF(02_OUTPUT_ALL!$Q$2:$Q$91,"Công bố")</f>
        <v>30</v>
      </c>
      <c r="F8" s="10" t="s">
        <v>674</v>
      </c>
    </row>
    <row r="9" customFormat="false" ht="15" hidden="false" customHeight="false" outlineLevel="0" collapsed="false">
      <c r="A9" s="15" t="s">
        <v>675</v>
      </c>
      <c r="B9" s="10" t="s">
        <v>676</v>
      </c>
      <c r="C9" s="10"/>
      <c r="D9" s="10"/>
      <c r="E9" s="10" t="n">
        <f aca="false">COUNTIF(02_OUTPUT_ALL!$Q$2:$Q$91,"Ứng viên TSTT")</f>
        <v>24</v>
      </c>
      <c r="F9" s="10" t="s">
        <v>677</v>
      </c>
    </row>
    <row r="10" customFormat="false" ht="15" hidden="false" customHeight="false" outlineLevel="0" collapsed="false">
      <c r="A10" s="15" t="s">
        <v>678</v>
      </c>
      <c r="B10" s="10" t="s">
        <v>679</v>
      </c>
      <c r="C10" s="10"/>
      <c r="D10" s="10"/>
      <c r="E10" s="10" t="n">
        <f aca="false">COUNTIF(02_OUTPUT_ALL!$Q$2:$Q$91,"Khác/quản trị")</f>
        <v>2</v>
      </c>
      <c r="F10" s="10" t="s">
        <v>680</v>
      </c>
    </row>
    <row r="11" customFormat="false" ht="15" hidden="false" customHeight="false" outlineLevel="0" collapsed="false">
      <c r="A11" s="15" t="s">
        <v>681</v>
      </c>
      <c r="B11" s="10" t="s">
        <v>682</v>
      </c>
      <c r="C11" s="10"/>
      <c r="D11" s="10"/>
      <c r="E11" s="10" t="n">
        <f aca="false">E6-E7</f>
        <v>56</v>
      </c>
      <c r="F11" s="10" t="s">
        <v>683</v>
      </c>
    </row>
    <row r="12" customFormat="false" ht="15" hidden="false" customHeight="false" outlineLevel="0" collapsed="false">
      <c r="A12" s="15" t="s">
        <v>684</v>
      </c>
      <c r="B12" s="10" t="s">
        <v>685</v>
      </c>
      <c r="C12" s="10" t="n">
        <f aca="false">E9</f>
        <v>24</v>
      </c>
      <c r="D12" s="10" t="n">
        <f aca="false">E11</f>
        <v>56</v>
      </c>
      <c r="E12" s="16" t="n">
        <f aca="false">IFERROR(C12/D12,"")</f>
        <v>0.428571428571429</v>
      </c>
      <c r="F12" s="10" t="s">
        <v>686</v>
      </c>
    </row>
    <row r="13" customFormat="false" ht="15" hidden="false" customHeight="false" outlineLevel="0" collapsed="false">
      <c r="A13" s="15" t="s">
        <v>687</v>
      </c>
      <c r="B13" s="10" t="s">
        <v>688</v>
      </c>
      <c r="C13" s="10"/>
      <c r="D13" s="10"/>
      <c r="E13" s="10" t="n">
        <f aca="false">SUMPRODUCT(--(COUNTIFS(02_OUTPUT_ALL!$B$2:$B$91,01_PROJECT_ALL!$A$2:$A$39,02_OUTPUT_ALL!$Q$2:$Q$91,"Ứng viên TSTT")&gt;0))</f>
        <v>17</v>
      </c>
      <c r="F13" s="10" t="s">
        <v>689</v>
      </c>
    </row>
    <row r="14" customFormat="false" ht="15" hidden="false" customHeight="false" outlineLevel="0" collapsed="false">
      <c r="A14" s="15" t="s">
        <v>690</v>
      </c>
      <c r="B14" s="10" t="s">
        <v>691</v>
      </c>
      <c r="C14" s="10" t="n">
        <f aca="false">E13</f>
        <v>17</v>
      </c>
      <c r="D14" s="10" t="n">
        <f aca="false">E5</f>
        <v>38</v>
      </c>
      <c r="E14" s="16" t="n">
        <f aca="false">IFERROR(C14/D14,"")</f>
        <v>0.447368421052632</v>
      </c>
      <c r="F14" s="10" t="s">
        <v>692</v>
      </c>
    </row>
    <row r="15" customFormat="false" ht="15" hidden="false" customHeight="false" outlineLevel="0" collapsed="false">
      <c r="A15" s="15" t="s">
        <v>693</v>
      </c>
      <c r="B15" s="10" t="s">
        <v>694</v>
      </c>
      <c r="C15" s="10"/>
      <c r="D15" s="10"/>
      <c r="E15" s="10" t="n">
        <f aca="false">COUNTIF(01_PROJECT_ALL!$O$2:$O$39,"Có")</f>
        <v>18</v>
      </c>
      <c r="F15" s="10" t="s">
        <v>695</v>
      </c>
    </row>
    <row r="16" customFormat="false" ht="23.85" hidden="false" customHeight="false" outlineLevel="0" collapsed="false">
      <c r="A16" s="15" t="s">
        <v>696</v>
      </c>
      <c r="B16" s="10" t="s">
        <v>697</v>
      </c>
      <c r="C16" s="10" t="n">
        <f aca="false">E15</f>
        <v>18</v>
      </c>
      <c r="D16" s="10" t="n">
        <f aca="false">E5</f>
        <v>38</v>
      </c>
      <c r="E16" s="16" t="n">
        <f aca="false">IFERROR(C16/D16,"")</f>
        <v>0.473684210526316</v>
      </c>
      <c r="F16" s="10" t="s">
        <v>698</v>
      </c>
    </row>
    <row r="17" customFormat="false" ht="23.85" hidden="false" customHeight="false" outlineLevel="0" collapsed="false">
      <c r="A17" s="15" t="s">
        <v>699</v>
      </c>
      <c r="B17" s="10" t="s">
        <v>700</v>
      </c>
      <c r="C17" s="10"/>
      <c r="D17" s="10"/>
      <c r="E17" s="10" t="n">
        <f aca="false">COUNTIFS(13B_PROTECTION_FULL!$J$2:$J$17,"Trực tiếp ĐHTĐ",13B_PROTECTION_FULL!$E$2:$E$17,"&lt;=2025")</f>
        <v>11</v>
      </c>
      <c r="F17" s="10" t="s">
        <v>701</v>
      </c>
    </row>
    <row r="18" customFormat="false" ht="15" hidden="false" customHeight="false" outlineLevel="0" collapsed="false">
      <c r="A18" s="15" t="s">
        <v>702</v>
      </c>
      <c r="B18" s="10" t="s">
        <v>703</v>
      </c>
      <c r="C18" s="10"/>
      <c r="D18" s="10"/>
      <c r="E18" s="10" t="n">
        <f aca="false">COUNTIFS(13B_PROTECTION_FULL!$J$2:$J$17,"Trực tiếp ĐHTĐ",13B_PROTECTION_FULL!$E$2:$E$17,"&lt;=2025",13B_PROTECTION_FULL!$I$2:$I$17,"Đã có*")</f>
        <v>9</v>
      </c>
      <c r="F18" s="10" t="s">
        <v>704</v>
      </c>
    </row>
    <row r="19" customFormat="false" ht="15" hidden="false" customHeight="false" outlineLevel="0" collapsed="false">
      <c r="A19" s="15" t="s">
        <v>705</v>
      </c>
      <c r="B19" s="10" t="s">
        <v>706</v>
      </c>
      <c r="C19" s="10" t="n">
        <f aca="false">E18</f>
        <v>9</v>
      </c>
      <c r="D19" s="10" t="n">
        <f aca="false">E17</f>
        <v>11</v>
      </c>
      <c r="E19" s="16" t="n">
        <f aca="false">IFERROR(C19/D19,"")</f>
        <v>0.818181818181818</v>
      </c>
      <c r="F19" s="10" t="s">
        <v>707</v>
      </c>
    </row>
    <row r="21" customFormat="false" ht="15" hidden="false" customHeight="false" outlineLevel="0" collapsed="false">
      <c r="A21" s="8" t="s">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6"/>
    <col collapsed="false" customWidth="true" hidden="false" outlineLevel="0" max="4" min="3" style="1" width="12"/>
    <col collapsed="false" customWidth="true" hidden="false" outlineLevel="0" max="5" min="5" style="1" width="16"/>
  </cols>
  <sheetData>
    <row r="1" customFormat="false" ht="16.15" hidden="false" customHeight="false" outlineLevel="0" collapsed="false">
      <c r="A1" s="7" t="s">
        <v>709</v>
      </c>
    </row>
    <row r="2" customFormat="false" ht="15" hidden="false" customHeight="false" outlineLevel="0" collapsed="false">
      <c r="A2" s="8" t="s">
        <v>710</v>
      </c>
    </row>
    <row r="4" customFormat="false" ht="15" hidden="false" customHeight="false" outlineLevel="0" collapsed="false">
      <c r="A4" s="9" t="s">
        <v>657</v>
      </c>
      <c r="B4" s="9" t="s">
        <v>711</v>
      </c>
      <c r="C4" s="9" t="s">
        <v>712</v>
      </c>
      <c r="D4" s="9" t="s">
        <v>713</v>
      </c>
      <c r="E4" s="9" t="s">
        <v>714</v>
      </c>
    </row>
    <row r="5" customFormat="false" ht="15" hidden="false" customHeight="false" outlineLevel="0" collapsed="false">
      <c r="A5" s="15" t="s">
        <v>715</v>
      </c>
      <c r="B5" s="10" t="s">
        <v>716</v>
      </c>
      <c r="C5" s="10" t="n">
        <v>0</v>
      </c>
      <c r="D5" s="10" t="n">
        <f aca="false">COUNTA(01_PROJECT_ALL!$A$2:$A$39)-SUMPRODUCT(1/COUNTIF(01_PROJECT_ALL!$A$2:$A$39,01_PROJECT_ALL!$A$2:$A$39))</f>
        <v>0</v>
      </c>
      <c r="E5" s="15" t="str">
        <f aca="false">IF(D5=C5,"OK","CẦN XỬ LÝ")</f>
        <v>OK</v>
      </c>
    </row>
    <row r="6" customFormat="false" ht="15" hidden="false" customHeight="false" outlineLevel="0" collapsed="false">
      <c r="A6" s="15" t="s">
        <v>717</v>
      </c>
      <c r="B6" s="10" t="s">
        <v>718</v>
      </c>
      <c r="C6" s="10" t="n">
        <v>0</v>
      </c>
      <c r="D6" s="10" t="n">
        <f aca="false">COUNTA(02_OUTPUT_ALL!$A$2:$A$91)-SUMPRODUCT(1/COUNTIF(02_OUTPUT_ALL!$A$2:$A$91,02_OUTPUT_ALL!$A$2:$A$91))</f>
        <v>0</v>
      </c>
      <c r="E6" s="15" t="str">
        <f aca="false">IF(D6=C6,"OK","CẦN XỬ LÝ")</f>
        <v>OK</v>
      </c>
    </row>
    <row r="7" customFormat="false" ht="15" hidden="false" customHeight="false" outlineLevel="0" collapsed="false">
      <c r="A7" s="15" t="s">
        <v>719</v>
      </c>
      <c r="B7" s="10" t="s">
        <v>720</v>
      </c>
      <c r="C7" s="10" t="n">
        <v>0</v>
      </c>
      <c r="D7" s="10" t="n">
        <f aca="false">SUMPRODUCT(--(COUNTIF(01_PROJECT_ALL!$A$2:$A$39,02_OUTPUT_ALL!$B$2:$B$91)=0))</f>
        <v>0</v>
      </c>
      <c r="E7" s="15" t="str">
        <f aca="false">IF(D7=C7,"OK","CẦN XỬ LÝ")</f>
        <v>OK</v>
      </c>
    </row>
    <row r="8" customFormat="false" ht="15" hidden="false" customHeight="false" outlineLevel="0" collapsed="false">
      <c r="A8" s="15" t="s">
        <v>721</v>
      </c>
      <c r="B8" s="10" t="s">
        <v>722</v>
      </c>
      <c r="C8" s="10" t="n">
        <v>0</v>
      </c>
      <c r="D8" s="10" t="n">
        <f aca="false">SUMPRODUCT(--(COUNTIF(02_OUTPUT_ALL!$A$2:$A$91,03_IP_PRIORITY_ALL!$B$2:$B$27)=0))</f>
        <v>0</v>
      </c>
      <c r="E8" s="15" t="str">
        <f aca="false">IF(D8=C8,"OK","CẦN XỬ LÝ")</f>
        <v>OK</v>
      </c>
    </row>
    <row r="9" customFormat="false" ht="15" hidden="false" customHeight="false" outlineLevel="0" collapsed="false">
      <c r="A9" s="15" t="s">
        <v>723</v>
      </c>
      <c r="B9" s="10" t="s">
        <v>724</v>
      </c>
      <c r="C9" s="10" t="n">
        <v>0</v>
      </c>
      <c r="D9" s="10" t="n">
        <f aca="false">SUMPRODUCT(--(COUNTIF(09B_MAP_LOAI_DAURA!$A$5:$A$18,02_OUTPUT_ALL!$E$2:$E$91)=0))</f>
        <v>0</v>
      </c>
      <c r="E9" s="15" t="str">
        <f aca="false">IF(D9=C9,"OK","CẦN XỬ LÝ")</f>
        <v>OK</v>
      </c>
    </row>
    <row r="10" customFormat="false" ht="15" hidden="false" customHeight="false" outlineLevel="0" collapsed="false">
      <c r="A10" s="15" t="s">
        <v>725</v>
      </c>
      <c r="B10" s="10" t="s">
        <v>726</v>
      </c>
      <c r="C10" s="10" t="n">
        <v>0</v>
      </c>
      <c r="D10" s="10" t="n">
        <f aca="false">COUNTA(02_OUTPUT_ALL!$A$2:$A$91)-COUNTIF(02_OUTPUT_ALL!$Q$2:$Q$91,"Bắt buộc hành chính")-COUNTIF(02_OUTPUT_ALL!$Q$2:$Q$91,"Công bố")-COUNTIF(02_OUTPUT_ALL!$Q$2:$Q$91,"Ứng viên TSTT")-COUNTIF(02_OUTPUT_ALL!$Q$2:$Q$91,"Khác/quản trị")</f>
        <v>0</v>
      </c>
      <c r="E10" s="15" t="str">
        <f aca="false">IF(D10=C10,"OK","CẦN XỬ LÝ")</f>
        <v>OK</v>
      </c>
    </row>
    <row r="11" customFormat="false" ht="15" hidden="false" customHeight="false" outlineLevel="0" collapsed="false">
      <c r="A11" s="15" t="s">
        <v>727</v>
      </c>
      <c r="B11" s="10" t="s">
        <v>728</v>
      </c>
      <c r="C11" s="10" t="n">
        <v>0</v>
      </c>
      <c r="D11" s="10" t="n">
        <f aca="false">SUMPRODUCT(--(COUNTIF(02_OUTPUT_ALL!$B$2:$B$91,01_PROJECT_ALL!$A$2:$A$39)=0))</f>
        <v>0</v>
      </c>
      <c r="E11" s="15" t="str">
        <f aca="false">IF(D11=C11,"OK","CẦN XỬ LÝ")</f>
        <v>OK</v>
      </c>
    </row>
    <row r="12" customFormat="false" ht="15" hidden="false" customHeight="false" outlineLevel="0" collapsed="false">
      <c r="A12" s="15" t="s">
        <v>729</v>
      </c>
      <c r="B12" s="10" t="s">
        <v>730</v>
      </c>
      <c r="C12" s="10" t="n">
        <v>0</v>
      </c>
      <c r="D12" s="10" t="n">
        <f aca="false">SUMPRODUCT(--((13B_PROTECTION_FULL!$D$2:$D$17="")*(13B_PROTECTION_FULL!$I$2:$I$17="")))</f>
        <v>0</v>
      </c>
      <c r="E12" s="15" t="str">
        <f aca="false">IF(D12=C12,"OK","CẦN XỬ LÝ")</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32"/>
    <col collapsed="false" customWidth="true" hidden="false" outlineLevel="0" max="3" min="3" style="1" width="24"/>
  </cols>
  <sheetData>
    <row r="1" customFormat="false" ht="16.15" hidden="false" customHeight="false" outlineLevel="0" collapsed="false">
      <c r="A1" s="7" t="s">
        <v>731</v>
      </c>
    </row>
    <row r="2" customFormat="false" ht="15" hidden="false" customHeight="false" outlineLevel="0" collapsed="false">
      <c r="A2" s="8" t="s">
        <v>732</v>
      </c>
    </row>
    <row r="4" customFormat="false" ht="15" hidden="false" customHeight="false" outlineLevel="0" collapsed="false">
      <c r="A4" s="9" t="s">
        <v>733</v>
      </c>
      <c r="B4" s="9" t="s">
        <v>734</v>
      </c>
      <c r="C4" s="9" t="s">
        <v>735</v>
      </c>
    </row>
    <row r="5" customFormat="false" ht="15" hidden="false" customHeight="false" outlineLevel="0" collapsed="false">
      <c r="A5" s="10" t="s">
        <v>313</v>
      </c>
      <c r="B5" s="10" t="s">
        <v>312</v>
      </c>
      <c r="C5" s="10" t="s">
        <v>736</v>
      </c>
    </row>
    <row r="6" customFormat="false" ht="15" hidden="false" customHeight="false" outlineLevel="0" collapsed="false">
      <c r="A6" s="10" t="s">
        <v>325</v>
      </c>
      <c r="B6" s="10" t="s">
        <v>449</v>
      </c>
      <c r="C6" s="10" t="s">
        <v>737</v>
      </c>
    </row>
    <row r="7" customFormat="false" ht="15" hidden="false" customHeight="false" outlineLevel="0" collapsed="false">
      <c r="A7" s="10" t="s">
        <v>449</v>
      </c>
      <c r="B7" s="10" t="s">
        <v>449</v>
      </c>
      <c r="C7" s="10" t="s">
        <v>737</v>
      </c>
    </row>
    <row r="8" customFormat="false" ht="15" hidden="false" customHeight="false" outlineLevel="0" collapsed="false">
      <c r="A8" s="10" t="s">
        <v>386</v>
      </c>
      <c r="B8" s="10" t="s">
        <v>449</v>
      </c>
      <c r="C8" s="10" t="s">
        <v>737</v>
      </c>
    </row>
    <row r="9" customFormat="false" ht="15" hidden="false" customHeight="false" outlineLevel="0" collapsed="false">
      <c r="A9" s="10" t="s">
        <v>362</v>
      </c>
      <c r="B9" s="10" t="s">
        <v>738</v>
      </c>
      <c r="C9" s="10" t="s">
        <v>739</v>
      </c>
    </row>
    <row r="10" customFormat="false" ht="15" hidden="false" customHeight="false" outlineLevel="0" collapsed="false">
      <c r="A10" s="10" t="s">
        <v>355</v>
      </c>
      <c r="B10" s="10" t="s">
        <v>738</v>
      </c>
      <c r="C10" s="10" t="s">
        <v>739</v>
      </c>
    </row>
    <row r="11" customFormat="false" ht="15" hidden="false" customHeight="false" outlineLevel="0" collapsed="false">
      <c r="A11" s="10" t="s">
        <v>432</v>
      </c>
      <c r="B11" s="10" t="s">
        <v>740</v>
      </c>
      <c r="C11" s="10" t="s">
        <v>739</v>
      </c>
    </row>
    <row r="12" customFormat="false" ht="15" hidden="false" customHeight="false" outlineLevel="0" collapsed="false">
      <c r="A12" s="10" t="s">
        <v>380</v>
      </c>
      <c r="B12" s="10" t="s">
        <v>740</v>
      </c>
      <c r="C12" s="10" t="s">
        <v>739</v>
      </c>
    </row>
    <row r="13" customFormat="false" ht="15" hidden="false" customHeight="false" outlineLevel="0" collapsed="false">
      <c r="A13" s="10" t="s">
        <v>368</v>
      </c>
      <c r="B13" s="10" t="s">
        <v>741</v>
      </c>
      <c r="C13" s="10" t="s">
        <v>739</v>
      </c>
    </row>
    <row r="14" customFormat="false" ht="15" hidden="false" customHeight="false" outlineLevel="0" collapsed="false">
      <c r="A14" s="10" t="s">
        <v>442</v>
      </c>
      <c r="B14" s="10" t="s">
        <v>741</v>
      </c>
      <c r="C14" s="10" t="s">
        <v>739</v>
      </c>
    </row>
    <row r="15" customFormat="false" ht="15" hidden="false" customHeight="false" outlineLevel="0" collapsed="false">
      <c r="A15" s="10" t="s">
        <v>521</v>
      </c>
      <c r="B15" s="10" t="s">
        <v>742</v>
      </c>
      <c r="C15" s="10" t="s">
        <v>739</v>
      </c>
    </row>
    <row r="16" customFormat="false" ht="15" hidden="false" customHeight="false" outlineLevel="0" collapsed="false">
      <c r="A16" s="10" t="s">
        <v>421</v>
      </c>
      <c r="B16" s="10" t="s">
        <v>743</v>
      </c>
      <c r="C16" s="10" t="s">
        <v>739</v>
      </c>
    </row>
    <row r="17" customFormat="false" ht="15" hidden="false" customHeight="false" outlineLevel="0" collapsed="false">
      <c r="A17" s="10" t="s">
        <v>338</v>
      </c>
      <c r="B17" s="10" t="s">
        <v>744</v>
      </c>
      <c r="C17" s="10" t="s">
        <v>745</v>
      </c>
    </row>
    <row r="18" customFormat="false" ht="15" hidden="false" customHeight="false" outlineLevel="0" collapsed="false">
      <c r="A18" s="10" t="s">
        <v>345</v>
      </c>
      <c r="B18" s="10" t="s">
        <v>744</v>
      </c>
      <c r="C18" s="10"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58"/>
    <col collapsed="false" customWidth="true" hidden="false" outlineLevel="0" max="4" min="4" style="1" width="32"/>
    <col collapsed="false" customWidth="true" hidden="false" outlineLevel="0" max="6" min="5" style="1" width="45"/>
    <col collapsed="false" customWidth="true" hidden="false" outlineLevel="0" max="7" min="7" style="1" width="16"/>
    <col collapsed="false" customWidth="true" hidden="false" outlineLevel="0" max="8" min="8" style="1" width="15"/>
    <col collapsed="false" customWidth="true" hidden="false" outlineLevel="0" max="9" min="9" style="1" width="45"/>
    <col collapsed="false" customWidth="true" hidden="false" outlineLevel="0" max="10" min="10" style="1" width="38"/>
    <col collapsed="false" customWidth="true" hidden="false" outlineLevel="0" max="11" min="11" style="1" width="48"/>
  </cols>
  <sheetData>
    <row r="1" customFormat="false" ht="28.35" hidden="false" customHeight="false" outlineLevel="0" collapsed="false">
      <c r="A1" s="3" t="s">
        <v>746</v>
      </c>
      <c r="B1" s="3" t="s">
        <v>747</v>
      </c>
      <c r="C1" s="3" t="s">
        <v>748</v>
      </c>
      <c r="D1" s="3" t="s">
        <v>749</v>
      </c>
      <c r="E1" s="3" t="s">
        <v>750</v>
      </c>
      <c r="F1" s="3" t="s">
        <v>751</v>
      </c>
      <c r="G1" s="3" t="s">
        <v>752</v>
      </c>
      <c r="H1" s="3" t="s">
        <v>753</v>
      </c>
      <c r="I1" s="3" t="s">
        <v>754</v>
      </c>
      <c r="J1" s="3" t="s">
        <v>755</v>
      </c>
      <c r="K1" s="3" t="s">
        <v>756</v>
      </c>
    </row>
    <row r="2" customFormat="false" ht="15" hidden="false" customHeight="false" outlineLevel="0" collapsed="false">
      <c r="A2" s="1" t="s">
        <v>757</v>
      </c>
      <c r="B2" s="1" t="s">
        <v>758</v>
      </c>
      <c r="C2" s="1" t="s">
        <v>759</v>
      </c>
      <c r="D2" s="1" t="s">
        <v>760</v>
      </c>
      <c r="E2" s="1" t="s">
        <v>761</v>
      </c>
      <c r="F2" s="1" t="s">
        <v>762</v>
      </c>
      <c r="H2" s="13" t="s">
        <v>358</v>
      </c>
      <c r="I2" s="1" t="s">
        <v>763</v>
      </c>
      <c r="J2" s="1" t="s">
        <v>764</v>
      </c>
      <c r="K2" s="1" t="s">
        <v>765</v>
      </c>
    </row>
    <row r="3" customFormat="false" ht="15" hidden="false" customHeight="false" outlineLevel="0" collapsed="false">
      <c r="A3" s="1" t="s">
        <v>766</v>
      </c>
      <c r="B3" s="1" t="s">
        <v>767</v>
      </c>
      <c r="C3" s="1" t="s">
        <v>768</v>
      </c>
      <c r="D3" s="1" t="s">
        <v>769</v>
      </c>
      <c r="E3" s="1" t="s">
        <v>770</v>
      </c>
      <c r="F3" s="1" t="s">
        <v>771</v>
      </c>
      <c r="H3" s="13" t="s">
        <v>358</v>
      </c>
      <c r="I3" s="1" t="s">
        <v>772</v>
      </c>
      <c r="J3" s="1" t="s">
        <v>773</v>
      </c>
      <c r="K3" s="1" t="s">
        <v>774</v>
      </c>
    </row>
    <row r="4" customFormat="false" ht="15" hidden="false" customHeight="false" outlineLevel="0" collapsed="false">
      <c r="A4" s="1" t="s">
        <v>775</v>
      </c>
      <c r="B4" s="1" t="s">
        <v>776</v>
      </c>
      <c r="C4" s="1" t="s">
        <v>777</v>
      </c>
      <c r="D4" s="1" t="s">
        <v>769</v>
      </c>
      <c r="E4" s="1" t="s">
        <v>778</v>
      </c>
      <c r="F4" s="1" t="s">
        <v>779</v>
      </c>
      <c r="H4" s="13" t="s">
        <v>358</v>
      </c>
      <c r="I4" s="1" t="s">
        <v>780</v>
      </c>
      <c r="J4" s="1" t="s">
        <v>781</v>
      </c>
      <c r="K4" s="1" t="s">
        <v>782</v>
      </c>
    </row>
    <row r="5" customFormat="false" ht="15" hidden="false" customHeight="false" outlineLevel="0" collapsed="false">
      <c r="A5" s="1" t="s">
        <v>783</v>
      </c>
      <c r="B5" s="1" t="s">
        <v>784</v>
      </c>
      <c r="C5" s="1" t="s">
        <v>785</v>
      </c>
      <c r="D5" s="1" t="s">
        <v>786</v>
      </c>
      <c r="E5" s="1" t="s">
        <v>787</v>
      </c>
      <c r="F5" s="1" t="s">
        <v>788</v>
      </c>
      <c r="H5" s="13" t="s">
        <v>358</v>
      </c>
      <c r="I5" s="1" t="s">
        <v>789</v>
      </c>
      <c r="J5" s="1" t="s">
        <v>790</v>
      </c>
      <c r="K5" s="1" t="s">
        <v>791</v>
      </c>
    </row>
    <row r="6" customFormat="false" ht="15" hidden="false" customHeight="false" outlineLevel="0" collapsed="false">
      <c r="A6" s="1" t="s">
        <v>792</v>
      </c>
      <c r="B6" s="1" t="s">
        <v>793</v>
      </c>
      <c r="C6" s="1" t="s">
        <v>794</v>
      </c>
      <c r="D6" s="1" t="s">
        <v>769</v>
      </c>
      <c r="E6" s="1" t="s">
        <v>795</v>
      </c>
      <c r="F6" s="1" t="s">
        <v>796</v>
      </c>
      <c r="H6" s="13" t="s">
        <v>358</v>
      </c>
      <c r="I6" s="1" t="s">
        <v>797</v>
      </c>
      <c r="J6" s="1" t="s">
        <v>798</v>
      </c>
      <c r="K6" s="1" t="s">
        <v>799</v>
      </c>
    </row>
    <row r="7" customFormat="false" ht="15" hidden="false" customHeight="false" outlineLevel="0" collapsed="false">
      <c r="A7" s="1" t="s">
        <v>800</v>
      </c>
      <c r="B7" s="1" t="s">
        <v>801</v>
      </c>
      <c r="C7" s="1" t="s">
        <v>802</v>
      </c>
      <c r="D7" s="1" t="s">
        <v>769</v>
      </c>
      <c r="E7" s="1" t="s">
        <v>803</v>
      </c>
      <c r="F7" s="1" t="s">
        <v>804</v>
      </c>
      <c r="H7" s="13" t="s">
        <v>341</v>
      </c>
      <c r="I7" s="1" t="s">
        <v>805</v>
      </c>
      <c r="J7" s="1" t="s">
        <v>806</v>
      </c>
      <c r="K7" s="1" t="s">
        <v>807</v>
      </c>
    </row>
    <row r="8" customFormat="false" ht="15" hidden="false" customHeight="false" outlineLevel="0" collapsed="false">
      <c r="A8" s="1" t="s">
        <v>808</v>
      </c>
      <c r="B8" s="1" t="s">
        <v>809</v>
      </c>
      <c r="C8" s="1" t="s">
        <v>810</v>
      </c>
      <c r="D8" s="1" t="s">
        <v>811</v>
      </c>
      <c r="E8" s="1" t="s">
        <v>812</v>
      </c>
      <c r="F8" s="1" t="s">
        <v>804</v>
      </c>
      <c r="H8" s="13" t="s">
        <v>341</v>
      </c>
      <c r="I8" s="1" t="s">
        <v>813</v>
      </c>
      <c r="J8" s="1" t="s">
        <v>814</v>
      </c>
      <c r="K8" s="1" t="s">
        <v>815</v>
      </c>
    </row>
    <row r="9" customFormat="false" ht="15" hidden="false" customHeight="false" outlineLevel="0" collapsed="false">
      <c r="A9" s="1" t="s">
        <v>816</v>
      </c>
      <c r="B9" s="1" t="s">
        <v>817</v>
      </c>
      <c r="C9" s="1" t="s">
        <v>818</v>
      </c>
      <c r="D9" s="1" t="s">
        <v>760</v>
      </c>
      <c r="E9" s="1" t="s">
        <v>819</v>
      </c>
      <c r="F9" s="1" t="s">
        <v>820</v>
      </c>
      <c r="H9" s="13" t="s">
        <v>341</v>
      </c>
      <c r="I9" s="1" t="s">
        <v>821</v>
      </c>
      <c r="J9" s="1" t="s">
        <v>822</v>
      </c>
      <c r="K9" s="1" t="s">
        <v>823</v>
      </c>
    </row>
    <row r="10" customFormat="false" ht="15" hidden="false" customHeight="false" outlineLevel="0" collapsed="false">
      <c r="A10" s="1" t="s">
        <v>824</v>
      </c>
      <c r="B10" s="1" t="s">
        <v>825</v>
      </c>
      <c r="C10" s="1" t="s">
        <v>826</v>
      </c>
      <c r="D10" s="1" t="s">
        <v>769</v>
      </c>
      <c r="E10" s="1" t="s">
        <v>827</v>
      </c>
      <c r="F10" s="1" t="s">
        <v>828</v>
      </c>
      <c r="H10" s="13" t="s">
        <v>341</v>
      </c>
      <c r="I10" s="1" t="s">
        <v>829</v>
      </c>
      <c r="J10" s="1" t="s">
        <v>830</v>
      </c>
      <c r="K10" s="1" t="s">
        <v>831</v>
      </c>
    </row>
    <row r="11" customFormat="false" ht="15" hidden="false" customHeight="false" outlineLevel="0" collapsed="false">
      <c r="A11" s="1" t="s">
        <v>832</v>
      </c>
      <c r="B11" s="1" t="s">
        <v>833</v>
      </c>
      <c r="C11" s="1" t="s">
        <v>834</v>
      </c>
      <c r="D11" s="1" t="s">
        <v>769</v>
      </c>
      <c r="E11" s="1" t="s">
        <v>835</v>
      </c>
      <c r="F11" s="1" t="s">
        <v>836</v>
      </c>
      <c r="H11" s="13" t="s">
        <v>341</v>
      </c>
      <c r="I11" s="1" t="s">
        <v>837</v>
      </c>
      <c r="J11" s="1" t="s">
        <v>838</v>
      </c>
      <c r="K11" s="1" t="s">
        <v>839</v>
      </c>
    </row>
    <row r="12" customFormat="false" ht="15" hidden="false" customHeight="false" outlineLevel="0" collapsed="false">
      <c r="A12" s="1" t="s">
        <v>840</v>
      </c>
      <c r="B12" s="1" t="s">
        <v>841</v>
      </c>
      <c r="C12" s="1" t="s">
        <v>842</v>
      </c>
      <c r="D12" s="1" t="s">
        <v>843</v>
      </c>
      <c r="E12" s="1" t="s">
        <v>844</v>
      </c>
      <c r="F12" s="1" t="s">
        <v>845</v>
      </c>
      <c r="H12" s="13" t="s">
        <v>341</v>
      </c>
      <c r="I12" s="1" t="s">
        <v>805</v>
      </c>
      <c r="J12" s="1" t="s">
        <v>846</v>
      </c>
      <c r="K12" s="1" t="s">
        <v>847</v>
      </c>
    </row>
    <row r="13" customFormat="false" ht="15" hidden="false" customHeight="false" outlineLevel="0" collapsed="false">
      <c r="A13" s="1" t="s">
        <v>848</v>
      </c>
      <c r="B13" s="1" t="s">
        <v>849</v>
      </c>
      <c r="C13" s="1" t="s">
        <v>850</v>
      </c>
      <c r="D13" s="1" t="s">
        <v>851</v>
      </c>
      <c r="E13" s="1" t="s">
        <v>852</v>
      </c>
      <c r="F13" s="1" t="s">
        <v>853</v>
      </c>
      <c r="H13" s="13" t="s">
        <v>341</v>
      </c>
      <c r="I13" s="1" t="s">
        <v>805</v>
      </c>
      <c r="J13" s="1" t="s">
        <v>854</v>
      </c>
      <c r="K13" s="1" t="s">
        <v>855</v>
      </c>
    </row>
    <row r="14" customFormat="false" ht="15" hidden="false" customHeight="false" outlineLevel="0" collapsed="false">
      <c r="H14" s="13"/>
    </row>
    <row r="15" customFormat="false" ht="15" hidden="false" customHeight="false" outlineLevel="0" collapsed="false">
      <c r="H15" s="13"/>
    </row>
    <row r="16" customFormat="false" ht="15" hidden="false" customHeight="false" outlineLevel="0" collapsed="false">
      <c r="H16" s="13"/>
    </row>
    <row r="17" customFormat="false" ht="15" hidden="false" customHeight="false" outlineLevel="0" collapsed="false">
      <c r="H17" s="13"/>
    </row>
    <row r="18" customFormat="false" ht="15" hidden="false" customHeight="false" outlineLevel="0" collapsed="false">
      <c r="H18" s="13"/>
    </row>
    <row r="19" customFormat="false" ht="15" hidden="false" customHeight="false" outlineLevel="0" collapsed="false">
      <c r="H19" s="13"/>
    </row>
    <row r="20" customFormat="false" ht="15" hidden="false" customHeight="false" outlineLevel="0" collapsed="false">
      <c r="H20" s="13"/>
    </row>
    <row r="21" customFormat="false" ht="15" hidden="false" customHeight="false" outlineLevel="0" collapsed="false">
      <c r="H21" s="13"/>
    </row>
    <row r="22" customFormat="false" ht="15" hidden="false" customHeight="false" outlineLevel="0" collapsed="false">
      <c r="H22" s="13"/>
    </row>
    <row r="23" customFormat="false" ht="15" hidden="false" customHeight="false" outlineLevel="0" collapsed="false">
      <c r="H23" s="13"/>
    </row>
    <row r="24" customFormat="false" ht="15" hidden="false" customHeight="false" outlineLevel="0" collapsed="false">
      <c r="H24" s="13"/>
    </row>
    <row r="25" customFormat="false" ht="15" hidden="false" customHeight="false" outlineLevel="0" collapsed="false">
      <c r="H25" s="13"/>
    </row>
    <row r="26" customFormat="false" ht="15" hidden="false" customHeight="false" outlineLevel="0" collapsed="false">
      <c r="H26" s="13"/>
    </row>
    <row r="27" customFormat="false" ht="15" hidden="false" customHeight="false" outlineLevel="0" collapsed="false">
      <c r="H27" s="13"/>
    </row>
    <row r="28" customFormat="false" ht="15" hidden="false" customHeight="false" outlineLevel="0" collapsed="false">
      <c r="H28" s="13"/>
    </row>
    <row r="29" customFormat="false" ht="15" hidden="false" customHeight="false" outlineLevel="0" collapsed="false">
      <c r="H29" s="13"/>
    </row>
    <row r="30" customFormat="false" ht="15" hidden="false" customHeight="false" outlineLevel="0" collapsed="false">
      <c r="H30" s="13"/>
    </row>
    <row r="31" customFormat="false" ht="15" hidden="false" customHeight="false" outlineLevel="0" collapsed="false">
      <c r="H31" s="13"/>
    </row>
    <row r="32" customFormat="false" ht="15" hidden="false" customHeight="false" outlineLevel="0" collapsed="false">
      <c r="H32" s="13"/>
    </row>
    <row r="33" customFormat="false" ht="15" hidden="false" customHeight="false" outlineLevel="0" collapsed="false">
      <c r="H33" s="13"/>
    </row>
    <row r="34" customFormat="false" ht="15" hidden="false" customHeight="false" outlineLevel="0" collapsed="false">
      <c r="H34" s="13"/>
    </row>
    <row r="35" customFormat="false" ht="15" hidden="false" customHeight="false" outlineLevel="0" collapsed="false">
      <c r="H35" s="13"/>
    </row>
    <row r="36" customFormat="false" ht="15" hidden="false" customHeight="false" outlineLevel="0" collapsed="false">
      <c r="H36" s="13"/>
    </row>
    <row r="37" customFormat="false" ht="15" hidden="false" customHeight="false" outlineLevel="0" collapsed="false">
      <c r="H37" s="13"/>
    </row>
    <row r="38" customFormat="false" ht="15" hidden="false" customHeight="false" outlineLevel="0" collapsed="false">
      <c r="H38" s="13"/>
    </row>
    <row r="39" customFormat="false" ht="15" hidden="false" customHeight="false" outlineLevel="0" collapsed="false">
      <c r="H39" s="13"/>
    </row>
    <row r="40" customFormat="false" ht="15" hidden="false" customHeight="false" outlineLevel="0" collapsed="false">
      <c r="H40" s="13"/>
    </row>
    <row r="41" customFormat="false" ht="15" hidden="false" customHeight="false" outlineLevel="0" collapsed="false">
      <c r="H41" s="13"/>
    </row>
    <row r="42" customFormat="false" ht="15" hidden="false" customHeight="false" outlineLevel="0" collapsed="false">
      <c r="H42" s="13"/>
    </row>
    <row r="43" customFormat="false" ht="15" hidden="false" customHeight="false" outlineLevel="0" collapsed="false">
      <c r="H43" s="13"/>
    </row>
    <row r="44" customFormat="false" ht="15" hidden="false" customHeight="false" outlineLevel="0" collapsed="false">
      <c r="H44" s="13"/>
    </row>
    <row r="45" customFormat="false" ht="15" hidden="false" customHeight="false" outlineLevel="0" collapsed="false">
      <c r="H45" s="13"/>
    </row>
    <row r="46" customFormat="false" ht="15" hidden="false" customHeight="false" outlineLevel="0" collapsed="false">
      <c r="H46" s="13"/>
    </row>
    <row r="47" customFormat="false" ht="15" hidden="false" customHeight="false" outlineLevel="0" collapsed="false">
      <c r="H47" s="13"/>
    </row>
    <row r="48" customFormat="false" ht="15" hidden="false" customHeight="false" outlineLevel="0" collapsed="false">
      <c r="H48" s="13"/>
    </row>
    <row r="49" customFormat="false" ht="15" hidden="false" customHeight="false" outlineLevel="0" collapsed="false">
      <c r="H49" s="13"/>
    </row>
    <row r="50" customFormat="false" ht="15" hidden="false" customHeight="false" outlineLevel="0" collapsed="false">
      <c r="H50" s="13"/>
    </row>
    <row r="51" customFormat="false" ht="15" hidden="false" customHeight="false" outlineLevel="0" collapsed="false">
      <c r="H51" s="13"/>
    </row>
    <row r="52" customFormat="false" ht="15" hidden="false" customHeight="false" outlineLevel="0" collapsed="false">
      <c r="H52" s="13"/>
    </row>
    <row r="53" customFormat="false" ht="15" hidden="false" customHeight="false" outlineLevel="0" collapsed="false">
      <c r="H53" s="13"/>
    </row>
    <row r="54" customFormat="false" ht="15" hidden="false" customHeight="false" outlineLevel="0" collapsed="false">
      <c r="H54" s="13"/>
    </row>
    <row r="55" customFormat="false" ht="15" hidden="false" customHeight="false" outlineLevel="0" collapsed="false">
      <c r="H55" s="13"/>
    </row>
    <row r="56" customFormat="false" ht="15" hidden="false" customHeight="false" outlineLevel="0" collapsed="false">
      <c r="H56" s="13"/>
    </row>
    <row r="57" customFormat="false" ht="15" hidden="false" customHeight="false" outlineLevel="0" collapsed="false">
      <c r="H57" s="13"/>
    </row>
    <row r="58" customFormat="false" ht="15" hidden="false" customHeight="false" outlineLevel="0" collapsed="false">
      <c r="H58" s="13"/>
    </row>
    <row r="59" customFormat="false" ht="15" hidden="false" customHeight="false" outlineLevel="0" collapsed="false">
      <c r="H59" s="13"/>
    </row>
    <row r="60" customFormat="false" ht="15" hidden="false" customHeight="false" outlineLevel="0" collapsed="false">
      <c r="H60" s="13"/>
    </row>
    <row r="61" customFormat="false" ht="15" hidden="false" customHeight="false" outlineLevel="0" collapsed="false">
      <c r="H61" s="13"/>
    </row>
    <row r="62" customFormat="false" ht="15" hidden="false" customHeight="false" outlineLevel="0" collapsed="false">
      <c r="H62" s="13"/>
    </row>
    <row r="63" customFormat="false" ht="15" hidden="false" customHeight="false" outlineLevel="0" collapsed="false">
      <c r="H63" s="13"/>
    </row>
    <row r="64" customFormat="false" ht="15" hidden="false" customHeight="false" outlineLevel="0" collapsed="false">
      <c r="H64" s="13"/>
    </row>
    <row r="65" customFormat="false" ht="15" hidden="false" customHeight="false" outlineLevel="0" collapsed="false">
      <c r="H65" s="13"/>
    </row>
    <row r="66" customFormat="false" ht="15" hidden="false" customHeight="false" outlineLevel="0" collapsed="false">
      <c r="H66" s="13"/>
    </row>
    <row r="67" customFormat="false" ht="15" hidden="false" customHeight="false" outlineLevel="0" collapsed="false">
      <c r="H67" s="13"/>
    </row>
    <row r="68" customFormat="false" ht="15" hidden="false" customHeight="false" outlineLevel="0" collapsed="false">
      <c r="H68" s="13"/>
    </row>
    <row r="69" customFormat="false" ht="15" hidden="false" customHeight="false" outlineLevel="0" collapsed="false">
      <c r="H69" s="13"/>
    </row>
    <row r="70" customFormat="false" ht="15" hidden="false" customHeight="false" outlineLevel="0" collapsed="false">
      <c r="H70" s="13"/>
    </row>
    <row r="71" customFormat="false" ht="15" hidden="false" customHeight="false" outlineLevel="0" collapsed="false">
      <c r="H71" s="13"/>
    </row>
    <row r="72" customFormat="false" ht="15" hidden="false" customHeight="false" outlineLevel="0" collapsed="false">
      <c r="H72" s="13"/>
    </row>
    <row r="73" customFormat="false" ht="15" hidden="false" customHeight="false" outlineLevel="0" collapsed="false">
      <c r="H73" s="13"/>
    </row>
    <row r="74" customFormat="false" ht="15" hidden="false" customHeight="false" outlineLevel="0" collapsed="false">
      <c r="H74" s="13"/>
    </row>
    <row r="75" customFormat="false" ht="15" hidden="false" customHeight="false" outlineLevel="0" collapsed="false">
      <c r="H75" s="13"/>
    </row>
    <row r="76" customFormat="false" ht="15" hidden="false" customHeight="false" outlineLevel="0" collapsed="false">
      <c r="H76" s="13"/>
    </row>
    <row r="77" customFormat="false" ht="15" hidden="false" customHeight="false" outlineLevel="0" collapsed="false">
      <c r="H77" s="13"/>
    </row>
    <row r="78" customFormat="false" ht="15" hidden="false" customHeight="false" outlineLevel="0" collapsed="false">
      <c r="H78" s="13"/>
    </row>
    <row r="79" customFormat="false" ht="15" hidden="false" customHeight="false" outlineLevel="0" collapsed="false">
      <c r="H79" s="13"/>
    </row>
    <row r="80" customFormat="false" ht="15" hidden="false" customHeight="false" outlineLevel="0" collapsed="false">
      <c r="H80" s="13"/>
    </row>
    <row r="81" customFormat="false" ht="15" hidden="false" customHeight="false" outlineLevel="0" collapsed="false">
      <c r="H81" s="13"/>
    </row>
    <row r="82" customFormat="false" ht="15" hidden="false" customHeight="false" outlineLevel="0" collapsed="false">
      <c r="H82" s="13"/>
    </row>
    <row r="83" customFormat="false" ht="15" hidden="false" customHeight="false" outlineLevel="0" collapsed="false">
      <c r="H83" s="13"/>
    </row>
    <row r="84" customFormat="false" ht="15" hidden="false" customHeight="false" outlineLevel="0" collapsed="false">
      <c r="H84" s="13"/>
    </row>
    <row r="85" customFormat="false" ht="15" hidden="false" customHeight="false" outlineLevel="0" collapsed="false">
      <c r="H85" s="13"/>
    </row>
    <row r="86" customFormat="false" ht="15" hidden="false" customHeight="false" outlineLevel="0" collapsed="false">
      <c r="H86" s="13"/>
    </row>
    <row r="87" customFormat="false" ht="15" hidden="false" customHeight="false" outlineLevel="0" collapsed="false">
      <c r="H87" s="13"/>
    </row>
    <row r="88" customFormat="false" ht="15" hidden="false" customHeight="false" outlineLevel="0" collapsed="false">
      <c r="H88" s="13"/>
    </row>
    <row r="89" customFormat="false" ht="15" hidden="false" customHeight="false" outlineLevel="0" collapsed="false">
      <c r="H89" s="13"/>
    </row>
    <row r="90" customFormat="false" ht="15" hidden="false" customHeight="false" outlineLevel="0" collapsed="false">
      <c r="H90" s="13"/>
    </row>
    <row r="91" customFormat="false" ht="15" hidden="false" customHeight="false" outlineLevel="0" collapsed="false">
      <c r="H91" s="13"/>
    </row>
    <row r="92" customFormat="false" ht="15" hidden="false" customHeight="false" outlineLevel="0" collapsed="false">
      <c r="H92" s="13"/>
    </row>
    <row r="93" customFormat="false" ht="15" hidden="false" customHeight="false" outlineLevel="0" collapsed="false">
      <c r="H93" s="13"/>
    </row>
    <row r="94" customFormat="false" ht="15" hidden="false" customHeight="false" outlineLevel="0" collapsed="false">
      <c r="H94" s="13"/>
    </row>
    <row r="95" customFormat="false" ht="15" hidden="false" customHeight="false" outlineLevel="0" collapsed="false">
      <c r="H95" s="13"/>
    </row>
    <row r="96" customFormat="false" ht="15" hidden="false" customHeight="false" outlineLevel="0" collapsed="false">
      <c r="H96" s="13"/>
    </row>
    <row r="97" customFormat="false" ht="15" hidden="false" customHeight="false" outlineLevel="0" collapsed="false">
      <c r="H97" s="13"/>
    </row>
    <row r="98" customFormat="false" ht="15" hidden="false" customHeight="false" outlineLevel="0" collapsed="false">
      <c r="H98" s="13"/>
    </row>
    <row r="99" customFormat="false" ht="15" hidden="false" customHeight="false" outlineLevel="0" collapsed="false">
      <c r="H99" s="13"/>
    </row>
    <row r="100" customFormat="false" ht="15" hidden="false" customHeight="false" outlineLevel="0" collapsed="false">
      <c r="H100" s="13"/>
    </row>
  </sheetData>
  <conditionalFormatting sqref="H2:H100">
    <cfRule type="expression" priority="2" aboveAverage="0" equalAverage="0" bottom="0" percent="0" rank="0" text="" dxfId="4">
      <formula>H2="Cao"</formula>
    </cfRule>
  </conditionalFormatting>
  <dataValidations count="1">
    <dataValidation allowBlank="false" errorStyle="stop" operator="between" showDropDown="false" showErrorMessage="false" showInputMessage="false" sqref="G2:G100" type="list">
      <formula1>"0,1,2"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42"/>
    <col collapsed="false" customWidth="true" hidden="false" outlineLevel="0" max="4" min="4" style="1" width="15"/>
    <col collapsed="false" customWidth="true" hidden="false" outlineLevel="0" max="5" min="5" style="1" width="52"/>
    <col collapsed="false" customWidth="true" hidden="false" outlineLevel="0" max="6" min="6" style="1" width="12"/>
    <col collapsed="false" customWidth="true" hidden="false" outlineLevel="0" max="7" min="7" style="1" width="35"/>
    <col collapsed="false" customWidth="true" hidden="false" outlineLevel="0" max="8" min="8" style="1" width="45"/>
  </cols>
  <sheetData>
    <row r="1" customFormat="false" ht="15" hidden="false" customHeight="false" outlineLevel="0" collapsed="false">
      <c r="A1" s="3" t="s">
        <v>856</v>
      </c>
      <c r="B1" s="3" t="s">
        <v>857</v>
      </c>
      <c r="C1" s="3" t="s">
        <v>858</v>
      </c>
      <c r="D1" s="3" t="s">
        <v>859</v>
      </c>
      <c r="E1" s="3" t="s">
        <v>860</v>
      </c>
      <c r="F1" s="3" t="s">
        <v>861</v>
      </c>
      <c r="G1" s="3" t="s">
        <v>862</v>
      </c>
      <c r="H1" s="3" t="s">
        <v>308</v>
      </c>
    </row>
    <row r="2" customFormat="false" ht="15" hidden="false" customHeight="false" outlineLevel="0" collapsed="false">
      <c r="A2" s="1" t="s">
        <v>863</v>
      </c>
      <c r="B2" s="1" t="s">
        <v>56</v>
      </c>
      <c r="C2" s="1" t="s">
        <v>864</v>
      </c>
      <c r="D2" s="1" t="s">
        <v>865</v>
      </c>
      <c r="E2" s="1" t="s">
        <v>866</v>
      </c>
      <c r="F2" s="1" t="s">
        <v>120</v>
      </c>
      <c r="G2" s="1" t="s">
        <v>867</v>
      </c>
      <c r="H2" s="1" t="s">
        <v>868</v>
      </c>
    </row>
    <row r="3" customFormat="false" ht="15" hidden="false" customHeight="false" outlineLevel="0" collapsed="false">
      <c r="A3" s="1" t="s">
        <v>863</v>
      </c>
      <c r="B3" s="1" t="s">
        <v>297</v>
      </c>
      <c r="C3" s="1" t="s">
        <v>869</v>
      </c>
      <c r="D3" s="1" t="s">
        <v>870</v>
      </c>
      <c r="E3" s="1" t="s">
        <v>871</v>
      </c>
      <c r="F3" s="1" t="s">
        <v>120</v>
      </c>
      <c r="G3" s="1" t="s">
        <v>867</v>
      </c>
      <c r="H3" s="1" t="s">
        <v>872</v>
      </c>
    </row>
    <row r="4" customFormat="false" ht="15" hidden="false" customHeight="false" outlineLevel="0" collapsed="false">
      <c r="A4" s="1" t="s">
        <v>863</v>
      </c>
      <c r="B4" s="1" t="s">
        <v>58</v>
      </c>
      <c r="C4" s="1" t="s">
        <v>873</v>
      </c>
      <c r="D4" s="1" t="s">
        <v>865</v>
      </c>
      <c r="E4" s="1" t="s">
        <v>874</v>
      </c>
      <c r="F4" s="1" t="s">
        <v>120</v>
      </c>
      <c r="G4" s="1" t="s">
        <v>867</v>
      </c>
    </row>
    <row r="5" customFormat="false" ht="15" hidden="false" customHeight="false" outlineLevel="0" collapsed="false">
      <c r="A5" s="1" t="s">
        <v>863</v>
      </c>
      <c r="B5" s="1" t="s">
        <v>59</v>
      </c>
      <c r="C5" s="1" t="s">
        <v>875</v>
      </c>
      <c r="D5" s="1" t="s">
        <v>865</v>
      </c>
      <c r="E5" s="1" t="s">
        <v>876</v>
      </c>
      <c r="F5" s="1" t="s">
        <v>120</v>
      </c>
      <c r="G5" s="1" t="s">
        <v>867</v>
      </c>
      <c r="H5" s="1" t="s">
        <v>877</v>
      </c>
    </row>
    <row r="6" customFormat="false" ht="15" hidden="false" customHeight="false" outlineLevel="0" collapsed="false">
      <c r="A6" s="1" t="s">
        <v>863</v>
      </c>
      <c r="B6" s="1" t="s">
        <v>878</v>
      </c>
      <c r="C6" s="1" t="s">
        <v>879</v>
      </c>
      <c r="D6" s="1" t="s">
        <v>880</v>
      </c>
      <c r="E6" s="1" t="s">
        <v>881</v>
      </c>
      <c r="F6" s="1" t="s">
        <v>120</v>
      </c>
      <c r="G6" s="1" t="s">
        <v>882</v>
      </c>
    </row>
    <row r="7" customFormat="false" ht="15" hidden="false" customHeight="false" outlineLevel="0" collapsed="false">
      <c r="A7" s="1" t="s">
        <v>863</v>
      </c>
      <c r="B7" s="1" t="s">
        <v>61</v>
      </c>
      <c r="C7" s="1" t="s">
        <v>883</v>
      </c>
      <c r="D7" s="1" t="s">
        <v>865</v>
      </c>
      <c r="F7" s="1" t="s">
        <v>120</v>
      </c>
      <c r="G7" s="1" t="s">
        <v>882</v>
      </c>
    </row>
    <row r="8" customFormat="false" ht="15" hidden="false" customHeight="false" outlineLevel="0" collapsed="false">
      <c r="A8" s="1" t="s">
        <v>863</v>
      </c>
      <c r="B8" s="1" t="s">
        <v>62</v>
      </c>
      <c r="C8" s="1" t="s">
        <v>884</v>
      </c>
      <c r="D8" s="1" t="s">
        <v>880</v>
      </c>
      <c r="E8" s="1" t="s">
        <v>885</v>
      </c>
      <c r="F8" s="1" t="s">
        <v>120</v>
      </c>
      <c r="G8" s="1" t="s">
        <v>882</v>
      </c>
      <c r="H8" s="1" t="s">
        <v>886</v>
      </c>
    </row>
    <row r="9" customFormat="false" ht="15" hidden="false" customHeight="false" outlineLevel="0" collapsed="false">
      <c r="A9" s="1" t="s">
        <v>863</v>
      </c>
      <c r="B9" s="1" t="s">
        <v>63</v>
      </c>
      <c r="C9" s="1" t="s">
        <v>887</v>
      </c>
      <c r="D9" s="1" t="s">
        <v>880</v>
      </c>
      <c r="E9" s="1" t="s">
        <v>888</v>
      </c>
      <c r="F9" s="1" t="s">
        <v>318</v>
      </c>
      <c r="G9" s="1" t="s">
        <v>889</v>
      </c>
      <c r="H9" s="1" t="s">
        <v>890</v>
      </c>
    </row>
    <row r="10" customFormat="false" ht="15" hidden="false" customHeight="false" outlineLevel="0" collapsed="false">
      <c r="A10" s="1" t="s">
        <v>863</v>
      </c>
      <c r="B10" s="1" t="s">
        <v>64</v>
      </c>
      <c r="C10" s="1" t="s">
        <v>891</v>
      </c>
      <c r="D10" s="1" t="s">
        <v>880</v>
      </c>
      <c r="E10" s="1" t="s">
        <v>892</v>
      </c>
      <c r="F10" s="1" t="s">
        <v>318</v>
      </c>
      <c r="G10" s="1" t="s">
        <v>893</v>
      </c>
    </row>
    <row r="11" customFormat="false" ht="15" hidden="false" customHeight="false" outlineLevel="0" collapsed="false">
      <c r="A11" s="1" t="s">
        <v>863</v>
      </c>
      <c r="B11" s="1" t="s">
        <v>65</v>
      </c>
      <c r="C11" s="1" t="s">
        <v>65</v>
      </c>
      <c r="D11" s="1" t="s">
        <v>894</v>
      </c>
      <c r="E11" s="1" t="s">
        <v>895</v>
      </c>
      <c r="F11" s="1" t="s">
        <v>318</v>
      </c>
      <c r="G11" s="1" t="s">
        <v>896</v>
      </c>
    </row>
    <row r="12" customFormat="false" ht="15" hidden="false" customHeight="false" outlineLevel="0" collapsed="false">
      <c r="A12" s="1" t="s">
        <v>863</v>
      </c>
      <c r="B12" s="1" t="s">
        <v>66</v>
      </c>
      <c r="C12" s="1" t="s">
        <v>897</v>
      </c>
      <c r="D12" s="1" t="s">
        <v>880</v>
      </c>
      <c r="E12" s="1" t="s">
        <v>898</v>
      </c>
      <c r="F12" s="1" t="s">
        <v>318</v>
      </c>
      <c r="G12" s="1" t="s">
        <v>882</v>
      </c>
    </row>
    <row r="13" customFormat="false" ht="15" hidden="false" customHeight="false" outlineLevel="0" collapsed="false">
      <c r="A13" s="1" t="s">
        <v>863</v>
      </c>
      <c r="B13" s="1" t="s">
        <v>67</v>
      </c>
      <c r="C13" s="1" t="s">
        <v>899</v>
      </c>
      <c r="D13" s="1" t="s">
        <v>900</v>
      </c>
      <c r="E13" s="1" t="s">
        <v>901</v>
      </c>
      <c r="F13" s="1" t="s">
        <v>318</v>
      </c>
      <c r="G13" s="1" t="s">
        <v>882</v>
      </c>
      <c r="H13" s="1" t="s">
        <v>902</v>
      </c>
    </row>
    <row r="14" customFormat="false" ht="15" hidden="false" customHeight="false" outlineLevel="0" collapsed="false">
      <c r="A14" s="1" t="s">
        <v>863</v>
      </c>
      <c r="B14" s="1" t="s">
        <v>903</v>
      </c>
      <c r="C14" s="1" t="s">
        <v>904</v>
      </c>
      <c r="D14" s="1" t="s">
        <v>870</v>
      </c>
      <c r="E14" s="1" t="s">
        <v>905</v>
      </c>
      <c r="F14" s="1" t="s">
        <v>318</v>
      </c>
      <c r="G14" s="1" t="s">
        <v>882</v>
      </c>
      <c r="H14" s="1" t="s">
        <v>906</v>
      </c>
    </row>
    <row r="15" customFormat="false" ht="15" hidden="false" customHeight="false" outlineLevel="0" collapsed="false">
      <c r="A15" s="1" t="s">
        <v>863</v>
      </c>
      <c r="B15" s="1" t="s">
        <v>907</v>
      </c>
      <c r="C15" s="1" t="s">
        <v>908</v>
      </c>
      <c r="D15" s="1" t="s">
        <v>880</v>
      </c>
      <c r="E15" s="1" t="s">
        <v>909</v>
      </c>
      <c r="F15" s="1" t="s">
        <v>318</v>
      </c>
      <c r="G15" s="1" t="s">
        <v>910</v>
      </c>
      <c r="H15" s="1" t="s">
        <v>911</v>
      </c>
    </row>
    <row r="16" customFormat="false" ht="15" hidden="false" customHeight="false" outlineLevel="0" collapsed="false">
      <c r="A16" s="1" t="s">
        <v>863</v>
      </c>
      <c r="B16" s="1" t="s">
        <v>912</v>
      </c>
      <c r="C16" s="1" t="s">
        <v>913</v>
      </c>
      <c r="D16" s="1" t="s">
        <v>880</v>
      </c>
      <c r="E16" s="1" t="s">
        <v>909</v>
      </c>
      <c r="F16" s="1" t="s">
        <v>318</v>
      </c>
      <c r="G16" s="1" t="s">
        <v>882</v>
      </c>
    </row>
    <row r="17" customFormat="false" ht="15" hidden="false" customHeight="false" outlineLevel="0" collapsed="false">
      <c r="A17" s="1" t="s">
        <v>863</v>
      </c>
      <c r="B17" s="1" t="s">
        <v>914</v>
      </c>
      <c r="C17" s="1" t="s">
        <v>915</v>
      </c>
      <c r="D17" s="1" t="s">
        <v>916</v>
      </c>
      <c r="E17" s="1" t="s">
        <v>917</v>
      </c>
      <c r="F17" s="1" t="s">
        <v>918</v>
      </c>
      <c r="G17" s="1" t="s">
        <v>856</v>
      </c>
    </row>
    <row r="18" customFormat="false" ht="15" hidden="false" customHeight="false" outlineLevel="0" collapsed="false">
      <c r="A18" s="1" t="s">
        <v>919</v>
      </c>
      <c r="B18" s="1" t="s">
        <v>296</v>
      </c>
      <c r="C18" s="1" t="s">
        <v>920</v>
      </c>
      <c r="D18" s="1" t="s">
        <v>865</v>
      </c>
      <c r="E18" s="1" t="s">
        <v>921</v>
      </c>
      <c r="F18" s="1" t="s">
        <v>120</v>
      </c>
      <c r="G18" s="1" t="s">
        <v>856</v>
      </c>
    </row>
    <row r="19" customFormat="false" ht="15" hidden="false" customHeight="false" outlineLevel="0" collapsed="false">
      <c r="A19" s="1" t="s">
        <v>919</v>
      </c>
      <c r="B19" s="1" t="s">
        <v>56</v>
      </c>
      <c r="C19" s="1" t="s">
        <v>922</v>
      </c>
      <c r="D19" s="1" t="s">
        <v>865</v>
      </c>
      <c r="E19" s="1" t="s">
        <v>923</v>
      </c>
      <c r="F19" s="1" t="s">
        <v>120</v>
      </c>
      <c r="G19" s="1" t="s">
        <v>856</v>
      </c>
    </row>
    <row r="20" customFormat="false" ht="15" hidden="false" customHeight="false" outlineLevel="0" collapsed="false">
      <c r="A20" s="1" t="s">
        <v>919</v>
      </c>
      <c r="B20" s="1" t="s">
        <v>924</v>
      </c>
      <c r="C20" s="1" t="s">
        <v>925</v>
      </c>
      <c r="D20" s="1" t="s">
        <v>865</v>
      </c>
      <c r="E20" s="1" t="s">
        <v>926</v>
      </c>
      <c r="F20" s="1" t="s">
        <v>120</v>
      </c>
      <c r="G20" s="1" t="s">
        <v>927</v>
      </c>
    </row>
    <row r="21" customFormat="false" ht="15" hidden="false" customHeight="false" outlineLevel="0" collapsed="false">
      <c r="A21" s="1" t="s">
        <v>919</v>
      </c>
      <c r="B21" s="1" t="s">
        <v>299</v>
      </c>
      <c r="C21" s="1" t="s">
        <v>928</v>
      </c>
      <c r="D21" s="1" t="s">
        <v>880</v>
      </c>
      <c r="E21" s="1" t="s">
        <v>929</v>
      </c>
      <c r="F21" s="1" t="s">
        <v>120</v>
      </c>
      <c r="G21" s="1" t="s">
        <v>930</v>
      </c>
    </row>
    <row r="22" customFormat="false" ht="15" hidden="false" customHeight="false" outlineLevel="0" collapsed="false">
      <c r="A22" s="1" t="s">
        <v>919</v>
      </c>
      <c r="B22" s="1" t="s">
        <v>300</v>
      </c>
      <c r="C22" s="1" t="s">
        <v>931</v>
      </c>
      <c r="D22" s="1" t="s">
        <v>900</v>
      </c>
      <c r="E22" s="1" t="s">
        <v>932</v>
      </c>
      <c r="F22" s="1" t="s">
        <v>318</v>
      </c>
      <c r="G22" s="1" t="s">
        <v>882</v>
      </c>
    </row>
    <row r="23" customFormat="false" ht="15" hidden="false" customHeight="false" outlineLevel="0" collapsed="false">
      <c r="A23" s="1" t="s">
        <v>919</v>
      </c>
      <c r="B23" s="1" t="s">
        <v>933</v>
      </c>
      <c r="C23" s="1" t="s">
        <v>934</v>
      </c>
      <c r="D23" s="1" t="s">
        <v>880</v>
      </c>
      <c r="E23" s="1" t="s">
        <v>935</v>
      </c>
      <c r="F23" s="1" t="s">
        <v>318</v>
      </c>
      <c r="G23" s="1" t="s">
        <v>882</v>
      </c>
    </row>
    <row r="24" customFormat="false" ht="15" hidden="false" customHeight="false" outlineLevel="0" collapsed="false">
      <c r="A24" s="1" t="s">
        <v>919</v>
      </c>
      <c r="B24" s="1" t="s">
        <v>303</v>
      </c>
      <c r="C24" s="1" t="s">
        <v>936</v>
      </c>
      <c r="D24" s="1" t="s">
        <v>880</v>
      </c>
      <c r="E24" s="1" t="s">
        <v>909</v>
      </c>
      <c r="F24" s="1" t="s">
        <v>120</v>
      </c>
      <c r="G24" s="1" t="s">
        <v>930</v>
      </c>
      <c r="H24" s="1" t="s">
        <v>937</v>
      </c>
    </row>
    <row r="25" customFormat="false" ht="15" hidden="false" customHeight="false" outlineLevel="0" collapsed="false">
      <c r="A25" s="1" t="s">
        <v>919</v>
      </c>
      <c r="B25" s="1" t="s">
        <v>938</v>
      </c>
      <c r="C25" s="1" t="s">
        <v>939</v>
      </c>
      <c r="D25" s="1" t="s">
        <v>880</v>
      </c>
      <c r="E25" s="1" t="s">
        <v>940</v>
      </c>
      <c r="F25" s="1" t="s">
        <v>318</v>
      </c>
      <c r="G25" s="1" t="s">
        <v>930</v>
      </c>
    </row>
    <row r="26" customFormat="false" ht="15" hidden="false" customHeight="false" outlineLevel="0" collapsed="false">
      <c r="A26" s="1" t="s">
        <v>919</v>
      </c>
      <c r="B26" s="1" t="s">
        <v>941</v>
      </c>
      <c r="C26" s="1" t="s">
        <v>942</v>
      </c>
      <c r="D26" s="1" t="s">
        <v>943</v>
      </c>
      <c r="E26" s="1" t="s">
        <v>944</v>
      </c>
      <c r="F26" s="1" t="s">
        <v>318</v>
      </c>
      <c r="G26" s="1" t="s">
        <v>930</v>
      </c>
    </row>
    <row r="27" customFormat="false" ht="15" hidden="false" customHeight="false" outlineLevel="0" collapsed="false">
      <c r="A27" s="1" t="s">
        <v>919</v>
      </c>
      <c r="B27" s="1" t="s">
        <v>945</v>
      </c>
      <c r="C27" s="1" t="s">
        <v>946</v>
      </c>
      <c r="D27" s="1" t="s">
        <v>865</v>
      </c>
      <c r="E27" s="1" t="s">
        <v>947</v>
      </c>
      <c r="F27" s="1" t="s">
        <v>120</v>
      </c>
      <c r="G27" s="1" t="s">
        <v>948</v>
      </c>
    </row>
    <row r="28" customFormat="false" ht="15" hidden="false" customHeight="false" outlineLevel="0" collapsed="false">
      <c r="A28" s="1" t="s">
        <v>919</v>
      </c>
      <c r="B28" s="1" t="s">
        <v>949</v>
      </c>
      <c r="C28" s="1" t="s">
        <v>950</v>
      </c>
      <c r="D28" s="1" t="s">
        <v>880</v>
      </c>
      <c r="E28" s="1" t="s">
        <v>951</v>
      </c>
      <c r="F28" s="1" t="s">
        <v>120</v>
      </c>
      <c r="G28" s="1" t="s">
        <v>952</v>
      </c>
    </row>
    <row r="29" customFormat="false" ht="15" hidden="false" customHeight="false" outlineLevel="0" collapsed="false">
      <c r="A29" s="1" t="s">
        <v>953</v>
      </c>
      <c r="B29" s="1" t="s">
        <v>954</v>
      </c>
      <c r="C29" s="1" t="s">
        <v>955</v>
      </c>
      <c r="D29" s="1" t="s">
        <v>865</v>
      </c>
      <c r="E29" s="1" t="s">
        <v>956</v>
      </c>
      <c r="F29" s="1" t="s">
        <v>120</v>
      </c>
      <c r="G29" s="1" t="s">
        <v>856</v>
      </c>
    </row>
    <row r="30" customFormat="false" ht="15" hidden="false" customHeight="false" outlineLevel="0" collapsed="false">
      <c r="A30" s="1" t="s">
        <v>953</v>
      </c>
      <c r="B30" s="1" t="s">
        <v>957</v>
      </c>
      <c r="C30" s="1" t="s">
        <v>958</v>
      </c>
      <c r="D30" s="1" t="s">
        <v>865</v>
      </c>
      <c r="F30" s="1" t="s">
        <v>120</v>
      </c>
      <c r="G30" s="1" t="s">
        <v>959</v>
      </c>
    </row>
    <row r="31" customFormat="false" ht="15" hidden="false" customHeight="false" outlineLevel="0" collapsed="false">
      <c r="A31" s="1" t="s">
        <v>953</v>
      </c>
      <c r="B31" s="1" t="s">
        <v>960</v>
      </c>
      <c r="C31" s="1" t="s">
        <v>961</v>
      </c>
      <c r="D31" s="1" t="s">
        <v>880</v>
      </c>
      <c r="E31" s="1" t="s">
        <v>962</v>
      </c>
      <c r="F31" s="1" t="s">
        <v>120</v>
      </c>
      <c r="G31" s="1" t="s">
        <v>930</v>
      </c>
    </row>
    <row r="32" customFormat="false" ht="15" hidden="false" customHeight="false" outlineLevel="0" collapsed="false">
      <c r="A32" s="1" t="s">
        <v>953</v>
      </c>
      <c r="B32" s="1" t="s">
        <v>963</v>
      </c>
      <c r="C32" s="1" t="s">
        <v>964</v>
      </c>
      <c r="D32" s="1" t="s">
        <v>880</v>
      </c>
      <c r="E32" s="1" t="s">
        <v>965</v>
      </c>
      <c r="F32" s="1" t="s">
        <v>318</v>
      </c>
      <c r="G32" s="1" t="s">
        <v>966</v>
      </c>
      <c r="H32" s="1" t="s">
        <v>967</v>
      </c>
    </row>
    <row r="33" customFormat="false" ht="15" hidden="false" customHeight="false" outlineLevel="0" collapsed="false">
      <c r="A33" s="1" t="s">
        <v>953</v>
      </c>
      <c r="B33" s="1" t="s">
        <v>968</v>
      </c>
      <c r="C33" s="1" t="s">
        <v>969</v>
      </c>
      <c r="D33" s="1" t="s">
        <v>880</v>
      </c>
      <c r="E33" s="1" t="s">
        <v>909</v>
      </c>
      <c r="F33" s="1" t="s">
        <v>120</v>
      </c>
      <c r="G33" s="1" t="s">
        <v>882</v>
      </c>
    </row>
    <row r="34" customFormat="false" ht="15" hidden="false" customHeight="false" outlineLevel="0" collapsed="false">
      <c r="A34" s="1" t="s">
        <v>953</v>
      </c>
      <c r="B34" s="1" t="s">
        <v>970</v>
      </c>
      <c r="C34" s="1" t="s">
        <v>971</v>
      </c>
      <c r="D34" s="1" t="s">
        <v>880</v>
      </c>
      <c r="E34" s="1" t="s">
        <v>909</v>
      </c>
      <c r="F34" s="1" t="s">
        <v>120</v>
      </c>
      <c r="G34" s="1" t="s">
        <v>972</v>
      </c>
    </row>
    <row r="35" customFormat="false" ht="15" hidden="false" customHeight="false" outlineLevel="0" collapsed="false">
      <c r="A35" s="1" t="s">
        <v>953</v>
      </c>
      <c r="B35" s="1" t="s">
        <v>973</v>
      </c>
      <c r="C35" s="1" t="s">
        <v>974</v>
      </c>
      <c r="D35" s="1" t="s">
        <v>880</v>
      </c>
      <c r="E35" s="1" t="s">
        <v>975</v>
      </c>
      <c r="F35" s="1" t="s">
        <v>318</v>
      </c>
      <c r="G35" s="1" t="s">
        <v>882</v>
      </c>
    </row>
    <row r="36" customFormat="false" ht="15" hidden="false" customHeight="false" outlineLevel="0" collapsed="false">
      <c r="A36" s="1" t="s">
        <v>953</v>
      </c>
      <c r="B36" s="1" t="s">
        <v>976</v>
      </c>
      <c r="C36" s="1" t="s">
        <v>977</v>
      </c>
      <c r="D36" s="1" t="s">
        <v>880</v>
      </c>
      <c r="E36" s="1" t="s">
        <v>978</v>
      </c>
      <c r="F36" s="1" t="s">
        <v>318</v>
      </c>
      <c r="G36" s="1" t="s">
        <v>882</v>
      </c>
    </row>
    <row r="37" customFormat="false" ht="15" hidden="false" customHeight="false" outlineLevel="0" collapsed="false">
      <c r="A37" s="1" t="s">
        <v>953</v>
      </c>
      <c r="B37" s="1" t="s">
        <v>979</v>
      </c>
      <c r="C37" s="1" t="s">
        <v>980</v>
      </c>
      <c r="D37" s="1" t="s">
        <v>880</v>
      </c>
      <c r="E37" s="1" t="s">
        <v>909</v>
      </c>
      <c r="F37" s="1" t="s">
        <v>318</v>
      </c>
      <c r="G37" s="1" t="s">
        <v>981</v>
      </c>
    </row>
    <row r="38" customFormat="false" ht="15" hidden="false" customHeight="false" outlineLevel="0" collapsed="false">
      <c r="A38" s="1" t="s">
        <v>953</v>
      </c>
      <c r="B38" s="1" t="s">
        <v>982</v>
      </c>
      <c r="C38" s="1" t="s">
        <v>983</v>
      </c>
      <c r="D38" s="1" t="s">
        <v>880</v>
      </c>
      <c r="E38" s="1" t="s">
        <v>909</v>
      </c>
      <c r="F38" s="1" t="s">
        <v>120</v>
      </c>
      <c r="G38" s="1" t="s">
        <v>118</v>
      </c>
    </row>
    <row r="39" customFormat="false" ht="15" hidden="false" customHeight="false" outlineLevel="0" collapsed="false">
      <c r="A39" s="1" t="s">
        <v>953</v>
      </c>
      <c r="B39" s="1" t="s">
        <v>984</v>
      </c>
      <c r="C39" s="1" t="s">
        <v>985</v>
      </c>
      <c r="D39" s="1" t="s">
        <v>880</v>
      </c>
      <c r="E39" s="1" t="s">
        <v>909</v>
      </c>
      <c r="F39" s="1" t="s">
        <v>120</v>
      </c>
      <c r="G39" s="1" t="s">
        <v>118</v>
      </c>
    </row>
    <row r="40" customFormat="false" ht="15" hidden="false" customHeight="false" outlineLevel="0" collapsed="false">
      <c r="A40" s="1" t="s">
        <v>953</v>
      </c>
      <c r="B40" s="1" t="s">
        <v>986</v>
      </c>
      <c r="C40" s="1" t="s">
        <v>987</v>
      </c>
      <c r="D40" s="1" t="s">
        <v>870</v>
      </c>
      <c r="E40" s="1" t="s">
        <v>988</v>
      </c>
      <c r="F40" s="1" t="s">
        <v>318</v>
      </c>
      <c r="G40" s="1" t="s">
        <v>989</v>
      </c>
      <c r="H40" s="1" t="s">
        <v>990</v>
      </c>
    </row>
    <row r="41" customFormat="false" ht="15" hidden="false" customHeight="false" outlineLevel="0" collapsed="false">
      <c r="A41" s="1" t="s">
        <v>953</v>
      </c>
      <c r="B41" s="1" t="s">
        <v>991</v>
      </c>
      <c r="C41" s="1" t="s">
        <v>987</v>
      </c>
      <c r="D41" s="1" t="s">
        <v>870</v>
      </c>
      <c r="E41" s="1" t="s">
        <v>988</v>
      </c>
      <c r="F41" s="1" t="s">
        <v>318</v>
      </c>
      <c r="G41" s="1" t="s">
        <v>989</v>
      </c>
    </row>
    <row r="42" customFormat="false" ht="15" hidden="false" customHeight="false" outlineLevel="0" collapsed="false">
      <c r="A42" s="1" t="s">
        <v>953</v>
      </c>
      <c r="B42" s="1" t="s">
        <v>992</v>
      </c>
      <c r="C42" s="1" t="s">
        <v>993</v>
      </c>
      <c r="D42" s="1" t="s">
        <v>880</v>
      </c>
      <c r="E42" s="1" t="s">
        <v>994</v>
      </c>
      <c r="F42" s="1" t="s">
        <v>318</v>
      </c>
      <c r="G42" s="1" t="s">
        <v>995</v>
      </c>
    </row>
    <row r="43" customFormat="false" ht="15" hidden="false" customHeight="false" outlineLevel="0" collapsed="false">
      <c r="A43" s="1" t="s">
        <v>953</v>
      </c>
      <c r="B43" s="1" t="s">
        <v>996</v>
      </c>
      <c r="C43" s="1" t="s">
        <v>997</v>
      </c>
      <c r="D43" s="1" t="s">
        <v>880</v>
      </c>
      <c r="E43" s="1" t="s">
        <v>998</v>
      </c>
      <c r="F43" s="1" t="s">
        <v>120</v>
      </c>
      <c r="G43" s="1" t="s">
        <v>882</v>
      </c>
    </row>
    <row r="44" customFormat="false" ht="15" hidden="false" customHeight="false" outlineLevel="0" collapsed="false">
      <c r="A44" s="1" t="s">
        <v>999</v>
      </c>
      <c r="B44" s="1" t="s">
        <v>1000</v>
      </c>
      <c r="C44" s="1" t="s">
        <v>1001</v>
      </c>
      <c r="D44" s="1" t="s">
        <v>865</v>
      </c>
      <c r="F44" s="1" t="s">
        <v>120</v>
      </c>
      <c r="G44" s="1" t="s">
        <v>856</v>
      </c>
    </row>
    <row r="45" customFormat="false" ht="15" hidden="false" customHeight="false" outlineLevel="0" collapsed="false">
      <c r="A45" s="1" t="s">
        <v>999</v>
      </c>
      <c r="B45" s="1" t="s">
        <v>954</v>
      </c>
      <c r="C45" s="1" t="s">
        <v>1002</v>
      </c>
      <c r="D45" s="1" t="s">
        <v>865</v>
      </c>
      <c r="F45" s="1" t="s">
        <v>120</v>
      </c>
      <c r="G45" s="1" t="s">
        <v>856</v>
      </c>
    </row>
    <row r="46" customFormat="false" ht="15" hidden="false" customHeight="false" outlineLevel="0" collapsed="false">
      <c r="A46" s="1" t="s">
        <v>999</v>
      </c>
      <c r="B46" s="1" t="s">
        <v>1003</v>
      </c>
      <c r="C46" s="1" t="s">
        <v>1004</v>
      </c>
      <c r="D46" s="1" t="s">
        <v>880</v>
      </c>
      <c r="E46" s="1" t="s">
        <v>1005</v>
      </c>
      <c r="F46" s="1" t="s">
        <v>120</v>
      </c>
      <c r="G46" s="1" t="s">
        <v>882</v>
      </c>
    </row>
    <row r="47" customFormat="false" ht="15" hidden="false" customHeight="false" outlineLevel="0" collapsed="false">
      <c r="A47" s="1" t="s">
        <v>999</v>
      </c>
      <c r="B47" s="1" t="s">
        <v>1006</v>
      </c>
      <c r="C47" s="1" t="s">
        <v>1007</v>
      </c>
      <c r="D47" s="1" t="s">
        <v>894</v>
      </c>
      <c r="F47" s="1" t="s">
        <v>318</v>
      </c>
      <c r="G47" s="1" t="s">
        <v>882</v>
      </c>
    </row>
    <row r="48" customFormat="false" ht="15" hidden="false" customHeight="false" outlineLevel="0" collapsed="false">
      <c r="A48" s="1" t="s">
        <v>999</v>
      </c>
      <c r="B48" s="1" t="s">
        <v>1008</v>
      </c>
      <c r="C48" s="1" t="s">
        <v>1009</v>
      </c>
      <c r="D48" s="1" t="s">
        <v>894</v>
      </c>
      <c r="F48" s="1" t="s">
        <v>318</v>
      </c>
      <c r="G48" s="1" t="s">
        <v>1010</v>
      </c>
    </row>
    <row r="49" customFormat="false" ht="15" hidden="false" customHeight="false" outlineLevel="0" collapsed="false">
      <c r="A49" s="1" t="s">
        <v>999</v>
      </c>
      <c r="B49" s="1" t="s">
        <v>1011</v>
      </c>
      <c r="C49" s="1" t="s">
        <v>1012</v>
      </c>
      <c r="D49" s="1" t="s">
        <v>894</v>
      </c>
      <c r="F49" s="1" t="s">
        <v>318</v>
      </c>
      <c r="G49" s="1" t="s">
        <v>1013</v>
      </c>
    </row>
    <row r="50" customFormat="false" ht="15" hidden="false" customHeight="false" outlineLevel="0" collapsed="false">
      <c r="A50" s="1" t="s">
        <v>999</v>
      </c>
      <c r="B50" s="1" t="s">
        <v>1014</v>
      </c>
      <c r="C50" s="1" t="s">
        <v>1015</v>
      </c>
      <c r="D50" s="1" t="s">
        <v>894</v>
      </c>
      <c r="F50" s="1" t="s">
        <v>318</v>
      </c>
      <c r="G50" s="1" t="s">
        <v>1016</v>
      </c>
    </row>
    <row r="51" customFormat="false" ht="15" hidden="false" customHeight="false" outlineLevel="0" collapsed="false">
      <c r="A51" s="1" t="s">
        <v>999</v>
      </c>
      <c r="B51" s="1" t="s">
        <v>1017</v>
      </c>
      <c r="C51" s="1" t="s">
        <v>1018</v>
      </c>
      <c r="D51" s="1" t="s">
        <v>865</v>
      </c>
      <c r="F51" s="1" t="s">
        <v>318</v>
      </c>
      <c r="G51" s="1" t="s">
        <v>1016</v>
      </c>
    </row>
    <row r="52" customFormat="false" ht="15" hidden="false" customHeight="false" outlineLevel="0" collapsed="false">
      <c r="A52" s="1" t="s">
        <v>999</v>
      </c>
      <c r="B52" s="1" t="s">
        <v>1019</v>
      </c>
      <c r="C52" s="1" t="s">
        <v>1020</v>
      </c>
      <c r="D52" s="1" t="s">
        <v>865</v>
      </c>
      <c r="F52" s="1" t="s">
        <v>318</v>
      </c>
      <c r="G52" s="1" t="s">
        <v>1016</v>
      </c>
    </row>
    <row r="53" customFormat="false" ht="15" hidden="false" customHeight="false" outlineLevel="0" collapsed="false">
      <c r="A53" s="1" t="s">
        <v>999</v>
      </c>
      <c r="B53" s="1" t="s">
        <v>1021</v>
      </c>
      <c r="C53" s="1" t="s">
        <v>1022</v>
      </c>
      <c r="D53" s="1" t="s">
        <v>880</v>
      </c>
      <c r="E53" s="1" t="s">
        <v>1023</v>
      </c>
      <c r="F53" s="1" t="s">
        <v>120</v>
      </c>
      <c r="G53" s="1" t="s">
        <v>882</v>
      </c>
    </row>
    <row r="54" customFormat="false" ht="15" hidden="false" customHeight="false" outlineLevel="0" collapsed="false">
      <c r="A54" s="1" t="s">
        <v>999</v>
      </c>
      <c r="B54" s="1" t="s">
        <v>1024</v>
      </c>
      <c r="C54" s="1" t="s">
        <v>1025</v>
      </c>
      <c r="D54" s="1" t="s">
        <v>894</v>
      </c>
      <c r="F54" s="1" t="s">
        <v>318</v>
      </c>
      <c r="G54" s="1" t="s">
        <v>1026</v>
      </c>
    </row>
    <row r="55" customFormat="false" ht="15" hidden="false" customHeight="false" outlineLevel="0" collapsed="false">
      <c r="A55" s="1" t="s">
        <v>999</v>
      </c>
      <c r="B55" s="1" t="s">
        <v>1027</v>
      </c>
      <c r="C55" s="1" t="s">
        <v>1028</v>
      </c>
      <c r="D55" s="1" t="s">
        <v>865</v>
      </c>
      <c r="F55" s="1" t="s">
        <v>318</v>
      </c>
      <c r="G55" s="1" t="s">
        <v>1026</v>
      </c>
    </row>
    <row r="56" customFormat="false" ht="15" hidden="false" customHeight="false" outlineLevel="0" collapsed="false">
      <c r="A56" s="1" t="s">
        <v>999</v>
      </c>
      <c r="B56" s="1" t="s">
        <v>1029</v>
      </c>
      <c r="C56" s="1" t="s">
        <v>1030</v>
      </c>
      <c r="D56" s="1" t="s">
        <v>900</v>
      </c>
      <c r="E56" s="1" t="s">
        <v>901</v>
      </c>
      <c r="F56" s="1" t="s">
        <v>318</v>
      </c>
      <c r="G56" s="1" t="s">
        <v>1031</v>
      </c>
    </row>
    <row r="57" customFormat="false" ht="15" hidden="false" customHeight="false" outlineLevel="0" collapsed="false">
      <c r="A57" s="1" t="s">
        <v>999</v>
      </c>
      <c r="B57" s="1" t="s">
        <v>1032</v>
      </c>
      <c r="C57" s="1" t="s">
        <v>1033</v>
      </c>
      <c r="D57" s="1" t="s">
        <v>916</v>
      </c>
      <c r="E57" s="1" t="s">
        <v>1034</v>
      </c>
      <c r="F57" s="1" t="s">
        <v>918</v>
      </c>
      <c r="G57" s="1" t="s">
        <v>856</v>
      </c>
    </row>
    <row r="58" customFormat="false" ht="15" hidden="false" customHeight="false" outlineLevel="0" collapsed="false">
      <c r="A58" s="1" t="s">
        <v>1035</v>
      </c>
      <c r="B58" s="1" t="s">
        <v>1036</v>
      </c>
      <c r="C58" s="1" t="s">
        <v>1037</v>
      </c>
      <c r="D58" s="1" t="s">
        <v>865</v>
      </c>
      <c r="F58" s="1" t="s">
        <v>120</v>
      </c>
      <c r="G58" s="1" t="s">
        <v>856</v>
      </c>
    </row>
    <row r="59" customFormat="false" ht="15" hidden="false" customHeight="false" outlineLevel="0" collapsed="false">
      <c r="A59" s="1" t="s">
        <v>1035</v>
      </c>
      <c r="B59" s="1" t="s">
        <v>954</v>
      </c>
      <c r="C59" s="1" t="s">
        <v>1002</v>
      </c>
      <c r="D59" s="1" t="s">
        <v>865</v>
      </c>
      <c r="F59" s="1" t="s">
        <v>120</v>
      </c>
      <c r="G59" s="1" t="s">
        <v>856</v>
      </c>
    </row>
    <row r="60" customFormat="false" ht="15" hidden="false" customHeight="false" outlineLevel="0" collapsed="false">
      <c r="A60" s="1" t="s">
        <v>1035</v>
      </c>
      <c r="B60" s="1" t="s">
        <v>1038</v>
      </c>
      <c r="C60" s="1" t="s">
        <v>1039</v>
      </c>
      <c r="D60" s="1" t="s">
        <v>880</v>
      </c>
      <c r="E60" s="1" t="s">
        <v>1040</v>
      </c>
      <c r="F60" s="1" t="s">
        <v>120</v>
      </c>
      <c r="G60" s="1" t="s">
        <v>1041</v>
      </c>
    </row>
    <row r="61" customFormat="false" ht="15" hidden="false" customHeight="false" outlineLevel="0" collapsed="false">
      <c r="A61" s="1" t="s">
        <v>1035</v>
      </c>
      <c r="B61" s="1" t="s">
        <v>1042</v>
      </c>
      <c r="C61" s="1" t="s">
        <v>1043</v>
      </c>
      <c r="D61" s="1" t="s">
        <v>870</v>
      </c>
      <c r="E61" s="1" t="s">
        <v>1044</v>
      </c>
      <c r="F61" s="1" t="s">
        <v>120</v>
      </c>
      <c r="G61" s="1" t="s">
        <v>930</v>
      </c>
    </row>
    <row r="62" customFormat="false" ht="15" hidden="false" customHeight="false" outlineLevel="0" collapsed="false">
      <c r="A62" s="1" t="s">
        <v>1035</v>
      </c>
      <c r="B62" s="1" t="s">
        <v>1045</v>
      </c>
      <c r="C62" s="1" t="s">
        <v>1046</v>
      </c>
      <c r="D62" s="1" t="s">
        <v>865</v>
      </c>
      <c r="F62" s="1" t="s">
        <v>318</v>
      </c>
      <c r="G62" s="1" t="s">
        <v>1047</v>
      </c>
    </row>
    <row r="63" customFormat="false" ht="15" hidden="false" customHeight="false" outlineLevel="0" collapsed="false">
      <c r="A63" s="1" t="s">
        <v>1035</v>
      </c>
      <c r="B63" s="1" t="s">
        <v>1048</v>
      </c>
      <c r="C63" s="1" t="s">
        <v>1049</v>
      </c>
      <c r="D63" s="1" t="s">
        <v>865</v>
      </c>
      <c r="F63" s="1" t="s">
        <v>318</v>
      </c>
      <c r="G63" s="1" t="s">
        <v>981</v>
      </c>
    </row>
    <row r="64" customFormat="false" ht="15" hidden="false" customHeight="false" outlineLevel="0" collapsed="false">
      <c r="A64" s="1" t="s">
        <v>1035</v>
      </c>
      <c r="B64" s="1" t="s">
        <v>1050</v>
      </c>
      <c r="C64" s="1" t="s">
        <v>1051</v>
      </c>
      <c r="D64" s="1" t="s">
        <v>900</v>
      </c>
      <c r="E64" s="1" t="s">
        <v>901</v>
      </c>
      <c r="F64" s="1" t="s">
        <v>318</v>
      </c>
      <c r="G64" s="1" t="s">
        <v>1031</v>
      </c>
    </row>
    <row r="65" customFormat="false" ht="15" hidden="false" customHeight="false" outlineLevel="0" collapsed="false">
      <c r="A65" s="1" t="s">
        <v>1035</v>
      </c>
      <c r="B65" s="1" t="s">
        <v>1052</v>
      </c>
      <c r="C65" s="1" t="s">
        <v>1053</v>
      </c>
      <c r="D65" s="1" t="s">
        <v>900</v>
      </c>
      <c r="E65" s="1" t="s">
        <v>901</v>
      </c>
      <c r="F65" s="1" t="s">
        <v>318</v>
      </c>
      <c r="G65" s="1" t="s">
        <v>1031</v>
      </c>
    </row>
    <row r="66" customFormat="false" ht="15" hidden="false" customHeight="false" outlineLevel="0" collapsed="false">
      <c r="A66" s="1" t="s">
        <v>1035</v>
      </c>
      <c r="B66" s="1" t="s">
        <v>1054</v>
      </c>
      <c r="C66" s="1" t="s">
        <v>1055</v>
      </c>
      <c r="D66" s="1" t="s">
        <v>900</v>
      </c>
      <c r="E66" s="1" t="s">
        <v>932</v>
      </c>
      <c r="F66" s="1" t="s">
        <v>318</v>
      </c>
      <c r="G66" s="1" t="s">
        <v>1045</v>
      </c>
    </row>
    <row r="67" customFormat="false" ht="15" hidden="false" customHeight="false" outlineLevel="0" collapsed="false">
      <c r="A67" s="1" t="s">
        <v>1035</v>
      </c>
      <c r="B67" s="1" t="s">
        <v>1056</v>
      </c>
      <c r="C67" s="1" t="s">
        <v>1057</v>
      </c>
      <c r="D67" s="1" t="s">
        <v>870</v>
      </c>
      <c r="E67" s="1" t="s">
        <v>988</v>
      </c>
      <c r="F67" s="1" t="s">
        <v>318</v>
      </c>
      <c r="G67" s="1" t="s">
        <v>1058</v>
      </c>
    </row>
    <row r="68" customFormat="false" ht="15" hidden="false" customHeight="false" outlineLevel="0" collapsed="false">
      <c r="A68" s="1" t="s">
        <v>1035</v>
      </c>
      <c r="B68" s="1" t="s">
        <v>1059</v>
      </c>
      <c r="C68" s="1" t="s">
        <v>1057</v>
      </c>
      <c r="D68" s="1" t="s">
        <v>870</v>
      </c>
      <c r="E68" s="1" t="s">
        <v>988</v>
      </c>
      <c r="F68" s="1" t="s">
        <v>318</v>
      </c>
      <c r="G68" s="1" t="s">
        <v>1058</v>
      </c>
    </row>
    <row r="69" customFormat="false" ht="15" hidden="false" customHeight="false" outlineLevel="0" collapsed="false">
      <c r="A69" s="1" t="s">
        <v>1035</v>
      </c>
      <c r="B69" s="1" t="s">
        <v>1060</v>
      </c>
      <c r="C69" s="1" t="s">
        <v>1057</v>
      </c>
      <c r="D69" s="1" t="s">
        <v>870</v>
      </c>
      <c r="E69" s="1" t="s">
        <v>988</v>
      </c>
      <c r="F69" s="1" t="s">
        <v>318</v>
      </c>
      <c r="G69" s="1" t="s">
        <v>1058</v>
      </c>
    </row>
    <row r="70" customFormat="false" ht="15" hidden="false" customHeight="false" outlineLevel="0" collapsed="false">
      <c r="A70" s="1" t="s">
        <v>1035</v>
      </c>
      <c r="B70" s="1" t="s">
        <v>1061</v>
      </c>
      <c r="C70" s="1" t="s">
        <v>1057</v>
      </c>
      <c r="D70" s="1" t="s">
        <v>870</v>
      </c>
      <c r="E70" s="1" t="s">
        <v>988</v>
      </c>
      <c r="F70" s="1" t="s">
        <v>318</v>
      </c>
      <c r="G70" s="1" t="s">
        <v>1058</v>
      </c>
    </row>
    <row r="71" customFormat="false" ht="15" hidden="false" customHeight="false" outlineLevel="0" collapsed="false">
      <c r="A71" s="1" t="s">
        <v>1035</v>
      </c>
      <c r="B71" s="1" t="s">
        <v>1062</v>
      </c>
      <c r="C71" s="1" t="s">
        <v>1057</v>
      </c>
      <c r="D71" s="1" t="s">
        <v>870</v>
      </c>
      <c r="E71" s="1" t="s">
        <v>988</v>
      </c>
      <c r="F71" s="1" t="s">
        <v>318</v>
      </c>
      <c r="G71" s="1" t="s">
        <v>1063</v>
      </c>
    </row>
    <row r="72" customFormat="false" ht="15" hidden="false" customHeight="false" outlineLevel="0" collapsed="false">
      <c r="A72" s="1" t="s">
        <v>1035</v>
      </c>
      <c r="B72" s="1" t="s">
        <v>1064</v>
      </c>
      <c r="C72" s="1" t="s">
        <v>1065</v>
      </c>
      <c r="D72" s="1" t="s">
        <v>880</v>
      </c>
      <c r="E72" s="1" t="s">
        <v>1066</v>
      </c>
      <c r="F72" s="1" t="s">
        <v>318</v>
      </c>
      <c r="G72" s="1" t="s">
        <v>882</v>
      </c>
    </row>
    <row r="73" customFormat="false" ht="15" hidden="false" customHeight="false" outlineLevel="0" collapsed="false">
      <c r="A73" s="1" t="s">
        <v>1067</v>
      </c>
      <c r="B73" s="1" t="s">
        <v>747</v>
      </c>
      <c r="C73" s="1" t="s">
        <v>1068</v>
      </c>
      <c r="D73" s="1" t="s">
        <v>880</v>
      </c>
      <c r="E73" s="1" t="s">
        <v>1069</v>
      </c>
      <c r="F73" s="1" t="s">
        <v>120</v>
      </c>
      <c r="G73" s="1" t="s">
        <v>1070</v>
      </c>
    </row>
    <row r="74" customFormat="false" ht="15" hidden="false" customHeight="false" outlineLevel="0" collapsed="false">
      <c r="A74" s="1" t="s">
        <v>1067</v>
      </c>
      <c r="B74" s="1" t="s">
        <v>748</v>
      </c>
      <c r="C74" s="1" t="s">
        <v>1071</v>
      </c>
      <c r="D74" s="1" t="s">
        <v>865</v>
      </c>
      <c r="F74" s="1" t="s">
        <v>120</v>
      </c>
      <c r="G74" s="1" t="s">
        <v>1072</v>
      </c>
    </row>
    <row r="75" customFormat="false" ht="15" hidden="false" customHeight="false" outlineLevel="0" collapsed="false">
      <c r="A75" s="1" t="s">
        <v>1067</v>
      </c>
      <c r="B75" s="1" t="s">
        <v>750</v>
      </c>
      <c r="C75" s="1" t="s">
        <v>1073</v>
      </c>
      <c r="D75" s="1" t="s">
        <v>865</v>
      </c>
      <c r="F75" s="1" t="s">
        <v>120</v>
      </c>
      <c r="G75" s="1" t="s">
        <v>1074</v>
      </c>
    </row>
    <row r="76" customFormat="false" ht="15" hidden="false" customHeight="false" outlineLevel="0" collapsed="false">
      <c r="A76" s="1" t="s">
        <v>1067</v>
      </c>
      <c r="B76" s="1" t="s">
        <v>751</v>
      </c>
      <c r="C76" s="1" t="s">
        <v>1075</v>
      </c>
      <c r="D76" s="1" t="s">
        <v>865</v>
      </c>
      <c r="F76" s="1" t="s">
        <v>318</v>
      </c>
      <c r="G76" s="1" t="s">
        <v>856</v>
      </c>
    </row>
    <row r="77" customFormat="false" ht="15" hidden="false" customHeight="false" outlineLevel="0" collapsed="false">
      <c r="A77" s="1" t="s">
        <v>1067</v>
      </c>
      <c r="B77" s="1" t="s">
        <v>1076</v>
      </c>
      <c r="C77" s="1" t="s">
        <v>1077</v>
      </c>
      <c r="D77" s="1" t="s">
        <v>870</v>
      </c>
      <c r="E77" s="1" t="s">
        <v>1078</v>
      </c>
      <c r="F77" s="1" t="s">
        <v>318</v>
      </c>
      <c r="G77" s="1" t="s">
        <v>1079</v>
      </c>
    </row>
    <row r="78" customFormat="false" ht="15" hidden="false" customHeight="false" outlineLevel="0" collapsed="false">
      <c r="A78" s="1" t="s">
        <v>1067</v>
      </c>
      <c r="B78" s="1" t="s">
        <v>753</v>
      </c>
      <c r="C78" s="1" t="s">
        <v>1080</v>
      </c>
      <c r="D78" s="1" t="s">
        <v>880</v>
      </c>
      <c r="E78" s="1" t="s">
        <v>1081</v>
      </c>
      <c r="F78" s="1" t="s">
        <v>318</v>
      </c>
      <c r="G78" s="1" t="s">
        <v>1082</v>
      </c>
    </row>
    <row r="79" customFormat="false" ht="15" hidden="false" customHeight="false" outlineLevel="0" collapsed="false">
      <c r="A79" s="1" t="s">
        <v>1067</v>
      </c>
      <c r="B79" s="1" t="s">
        <v>754</v>
      </c>
      <c r="C79" s="1" t="s">
        <v>1083</v>
      </c>
      <c r="D79" s="1" t="s">
        <v>865</v>
      </c>
      <c r="F79" s="1" t="s">
        <v>318</v>
      </c>
      <c r="G79" s="1" t="s">
        <v>1084</v>
      </c>
      <c r="H79" s="1" t="s">
        <v>1085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28"/>
  </cols>
  <sheetData>
    <row r="1" customFormat="false" ht="15" hidden="false" customHeight="false" outlineLevel="0" collapsed="false">
      <c r="A1" s="3" t="s">
        <v>1086</v>
      </c>
      <c r="B1" s="3" t="s">
        <v>299</v>
      </c>
      <c r="C1" s="3" t="s">
        <v>960</v>
      </c>
      <c r="D1" s="3" t="s">
        <v>1087</v>
      </c>
      <c r="E1" s="3" t="s">
        <v>1042</v>
      </c>
      <c r="F1" s="3" t="s">
        <v>949</v>
      </c>
    </row>
    <row r="2" customFormat="false" ht="15" hidden="false" customHeight="false" outlineLevel="0" collapsed="false">
      <c r="A2" s="1" t="s">
        <v>151</v>
      </c>
      <c r="B2" s="1" t="s">
        <v>313</v>
      </c>
      <c r="C2" s="1" t="s">
        <v>1088</v>
      </c>
      <c r="D2" s="1" t="s">
        <v>1089</v>
      </c>
      <c r="E2" s="1" t="n">
        <v>0</v>
      </c>
      <c r="F2" s="1" t="s">
        <v>358</v>
      </c>
    </row>
    <row r="3" customFormat="false" ht="15" hidden="false" customHeight="false" outlineLevel="0" collapsed="false">
      <c r="A3" s="1" t="s">
        <v>113</v>
      </c>
      <c r="B3" s="1" t="s">
        <v>325</v>
      </c>
      <c r="C3" s="1" t="s">
        <v>1090</v>
      </c>
      <c r="D3" s="1" t="s">
        <v>1091</v>
      </c>
      <c r="E3" s="1" t="n">
        <v>1</v>
      </c>
      <c r="F3" s="1" t="s">
        <v>341</v>
      </c>
    </row>
    <row r="4" customFormat="false" ht="15" hidden="false" customHeight="false" outlineLevel="0" collapsed="false">
      <c r="A4" s="1" t="s">
        <v>81</v>
      </c>
      <c r="B4" s="1" t="s">
        <v>1092</v>
      </c>
      <c r="C4" s="1" t="s">
        <v>1093</v>
      </c>
      <c r="D4" s="1" t="s">
        <v>1094</v>
      </c>
      <c r="E4" s="1" t="n">
        <v>2</v>
      </c>
      <c r="F4" s="1" t="s">
        <v>317</v>
      </c>
    </row>
    <row r="5" customFormat="false" ht="15" hidden="false" customHeight="false" outlineLevel="0" collapsed="false">
      <c r="A5" s="1" t="s">
        <v>159</v>
      </c>
      <c r="B5" s="1" t="s">
        <v>1095</v>
      </c>
      <c r="C5" s="1" t="s">
        <v>1096</v>
      </c>
      <c r="D5" s="1" t="s">
        <v>1097</v>
      </c>
      <c r="E5" s="1" t="n">
        <v>3</v>
      </c>
    </row>
    <row r="6" customFormat="false" ht="15" hidden="false" customHeight="false" outlineLevel="0" collapsed="false">
      <c r="A6" s="1" t="s">
        <v>101</v>
      </c>
      <c r="B6" s="1" t="s">
        <v>1098</v>
      </c>
      <c r="C6" s="1" t="s">
        <v>1099</v>
      </c>
      <c r="D6" s="1" t="s">
        <v>1100</v>
      </c>
      <c r="E6" s="1" t="n">
        <v>4</v>
      </c>
    </row>
    <row r="7" customFormat="false" ht="15" hidden="false" customHeight="false" outlineLevel="0" collapsed="false">
      <c r="B7" s="1" t="s">
        <v>432</v>
      </c>
      <c r="C7" s="1" t="s">
        <v>1101</v>
      </c>
      <c r="D7" s="1" t="s">
        <v>1102</v>
      </c>
      <c r="E7" s="1" t="n">
        <v>5</v>
      </c>
    </row>
    <row r="8" customFormat="false" ht="15" hidden="false" customHeight="false" outlineLevel="0" collapsed="false">
      <c r="B8" s="1" t="s">
        <v>362</v>
      </c>
      <c r="E8" s="1" t="n">
        <v>6</v>
      </c>
    </row>
    <row r="9" customFormat="false" ht="15" hidden="false" customHeight="false" outlineLevel="0" collapsed="false">
      <c r="B9" s="1" t="s">
        <v>355</v>
      </c>
      <c r="E9" s="1" t="n">
        <v>7</v>
      </c>
    </row>
    <row r="10" customFormat="false" ht="15" hidden="false" customHeight="false" outlineLevel="0" collapsed="false">
      <c r="B10" s="1" t="s">
        <v>1103</v>
      </c>
    </row>
    <row r="11" customFormat="false" ht="15" hidden="false" customHeight="false" outlineLevel="0" collapsed="false">
      <c r="B11" s="1" t="s">
        <v>602</v>
      </c>
    </row>
    <row r="12" customFormat="false" ht="15" hidden="false" customHeight="false" outlineLevel="0" collapsed="false">
      <c r="B12" s="1" t="s">
        <v>1101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14"/>
    <col collapsed="false" customWidth="true" hidden="false" outlineLevel="0" max="4" min="4" style="1" width="8"/>
    <col collapsed="false" customWidth="true" hidden="false" outlineLevel="0" max="5" min="5" style="1" width="58"/>
    <col collapsed="false" customWidth="true" hidden="false" outlineLevel="0" max="6" min="6" style="1" width="26"/>
    <col collapsed="false" customWidth="true" hidden="false" outlineLevel="0" max="7" min="7" style="1" width="18"/>
    <col collapsed="false" customWidth="true" hidden="false" outlineLevel="0" max="8" min="8" style="1" width="56"/>
    <col collapsed="false" customWidth="true" hidden="false" outlineLevel="0" max="9" min="9" style="1" width="34"/>
    <col collapsed="false" customWidth="true" hidden="false" outlineLevel="0" max="10" min="10" style="1" width="18"/>
    <col collapsed="false" customWidth="true" hidden="false" outlineLevel="0" max="11" min="11" style="1" width="34"/>
    <col collapsed="false" customWidth="true" hidden="false" outlineLevel="0" max="12" min="12" style="1" width="48"/>
    <col collapsed="false" customWidth="true" hidden="false" outlineLevel="0" max="13" min="13" style="1" width="58"/>
  </cols>
  <sheetData>
    <row r="1" customFormat="false" ht="15" hidden="false" customHeight="false" outlineLevel="0" collapsed="false">
      <c r="A1" s="3" t="s">
        <v>1104</v>
      </c>
      <c r="B1" s="3" t="s">
        <v>296</v>
      </c>
      <c r="C1" s="3" t="s">
        <v>56</v>
      </c>
      <c r="D1" s="3" t="s">
        <v>297</v>
      </c>
      <c r="E1" s="3" t="s">
        <v>1105</v>
      </c>
      <c r="F1" s="3" t="s">
        <v>1106</v>
      </c>
      <c r="G1" s="3" t="s">
        <v>1107</v>
      </c>
      <c r="H1" s="3" t="s">
        <v>1108</v>
      </c>
      <c r="I1" s="3" t="s">
        <v>1109</v>
      </c>
      <c r="J1" s="3" t="s">
        <v>1110</v>
      </c>
      <c r="K1" s="3" t="s">
        <v>1111</v>
      </c>
      <c r="L1" s="3" t="s">
        <v>72</v>
      </c>
      <c r="M1" s="3" t="s">
        <v>1112</v>
      </c>
    </row>
    <row r="2" customFormat="false" ht="15" hidden="false" customHeight="false" outlineLevel="0" collapsed="false">
      <c r="A2" s="1" t="s">
        <v>1113</v>
      </c>
      <c r="B2" s="1" t="s">
        <v>323</v>
      </c>
      <c r="C2" s="1" t="s">
        <v>96</v>
      </c>
      <c r="D2" s="1" t="n">
        <v>2021</v>
      </c>
      <c r="E2" s="1" t="s">
        <v>324</v>
      </c>
      <c r="F2" s="1" t="s">
        <v>1114</v>
      </c>
      <c r="G2" s="1" t="s">
        <v>1115</v>
      </c>
      <c r="K2" s="1" t="s">
        <v>327</v>
      </c>
      <c r="L2" s="1" t="s">
        <v>85</v>
      </c>
      <c r="M2" s="1" t="s">
        <v>1116</v>
      </c>
    </row>
    <row r="3" customFormat="false" ht="15" hidden="false" customHeight="false" outlineLevel="0" collapsed="false">
      <c r="A3" s="1" t="s">
        <v>1117</v>
      </c>
      <c r="B3" s="1" t="s">
        <v>329</v>
      </c>
      <c r="C3" s="1" t="s">
        <v>96</v>
      </c>
      <c r="D3" s="1" t="n">
        <v>2021</v>
      </c>
      <c r="E3" s="1" t="s">
        <v>330</v>
      </c>
      <c r="F3" s="1" t="s">
        <v>1118</v>
      </c>
      <c r="G3" s="1" t="s">
        <v>1115</v>
      </c>
      <c r="K3" s="1" t="s">
        <v>327</v>
      </c>
      <c r="L3" s="1" t="s">
        <v>85</v>
      </c>
      <c r="M3" s="1" t="s">
        <v>1116</v>
      </c>
    </row>
    <row r="4" customFormat="false" ht="15" hidden="false" customHeight="false" outlineLevel="0" collapsed="false">
      <c r="A4" s="1" t="s">
        <v>1119</v>
      </c>
      <c r="B4" s="1" t="s">
        <v>332</v>
      </c>
      <c r="C4" s="1" t="s">
        <v>102</v>
      </c>
      <c r="D4" s="1" t="n">
        <v>2021</v>
      </c>
      <c r="E4" s="1" t="s">
        <v>324</v>
      </c>
      <c r="F4" s="1" t="s">
        <v>1114</v>
      </c>
      <c r="G4" s="1" t="s">
        <v>1115</v>
      </c>
      <c r="K4" s="1" t="s">
        <v>327</v>
      </c>
      <c r="L4" s="1" t="s">
        <v>106</v>
      </c>
      <c r="M4" s="1" t="s">
        <v>1116</v>
      </c>
    </row>
    <row r="5" customFormat="false" ht="15" hidden="false" customHeight="false" outlineLevel="0" collapsed="false">
      <c r="A5" s="1" t="s">
        <v>1120</v>
      </c>
      <c r="B5" s="1" t="s">
        <v>333</v>
      </c>
      <c r="C5" s="1" t="s">
        <v>102</v>
      </c>
      <c r="D5" s="1" t="n">
        <v>2021</v>
      </c>
      <c r="E5" s="1" t="s">
        <v>330</v>
      </c>
      <c r="F5" s="1" t="s">
        <v>1118</v>
      </c>
      <c r="G5" s="1" t="s">
        <v>1115</v>
      </c>
      <c r="K5" s="1" t="s">
        <v>327</v>
      </c>
      <c r="L5" s="1" t="s">
        <v>106</v>
      </c>
      <c r="M5" s="1" t="s">
        <v>1116</v>
      </c>
    </row>
    <row r="6" customFormat="false" ht="15" hidden="false" customHeight="false" outlineLevel="0" collapsed="false">
      <c r="A6" s="1" t="s">
        <v>1121</v>
      </c>
      <c r="B6" s="1" t="s">
        <v>335</v>
      </c>
      <c r="C6" s="1" t="s">
        <v>107</v>
      </c>
      <c r="D6" s="1" t="n">
        <v>2021</v>
      </c>
      <c r="E6" s="1" t="s">
        <v>330</v>
      </c>
      <c r="F6" s="1" t="s">
        <v>1118</v>
      </c>
      <c r="G6" s="1" t="s">
        <v>1115</v>
      </c>
      <c r="K6" s="1" t="s">
        <v>327</v>
      </c>
      <c r="L6" s="1" t="s">
        <v>106</v>
      </c>
      <c r="M6" s="1" t="s">
        <v>1116</v>
      </c>
    </row>
    <row r="7" customFormat="false" ht="15" hidden="false" customHeight="false" outlineLevel="0" collapsed="false">
      <c r="A7" s="1" t="s">
        <v>1122</v>
      </c>
      <c r="B7" s="1" t="s">
        <v>372</v>
      </c>
      <c r="C7" s="1" t="s">
        <v>165</v>
      </c>
      <c r="D7" s="1" t="n">
        <v>2022</v>
      </c>
      <c r="E7" s="1" t="s">
        <v>373</v>
      </c>
      <c r="F7" s="1" t="s">
        <v>1118</v>
      </c>
      <c r="G7" s="1" t="s">
        <v>1115</v>
      </c>
      <c r="K7" s="1" t="s">
        <v>327</v>
      </c>
      <c r="L7" s="1" t="s">
        <v>171</v>
      </c>
      <c r="M7" s="1" t="s">
        <v>1116</v>
      </c>
    </row>
    <row r="8" customFormat="false" ht="15" hidden="false" customHeight="false" outlineLevel="0" collapsed="false">
      <c r="A8" s="1" t="s">
        <v>1123</v>
      </c>
      <c r="B8" s="1" t="s">
        <v>374</v>
      </c>
      <c r="C8" s="1" t="s">
        <v>172</v>
      </c>
      <c r="D8" s="1" t="n">
        <v>2023</v>
      </c>
      <c r="E8" s="1" t="s">
        <v>375</v>
      </c>
      <c r="F8" s="1" t="s">
        <v>1118</v>
      </c>
      <c r="G8" s="1" t="s">
        <v>1115</v>
      </c>
      <c r="K8" s="1" t="s">
        <v>327</v>
      </c>
      <c r="L8" s="1" t="s">
        <v>171</v>
      </c>
      <c r="M8" s="1" t="s">
        <v>1116</v>
      </c>
    </row>
    <row r="9" customFormat="false" ht="15" hidden="false" customHeight="false" outlineLevel="0" collapsed="false">
      <c r="A9" s="1" t="s">
        <v>1124</v>
      </c>
      <c r="B9" s="1" t="s">
        <v>384</v>
      </c>
      <c r="C9" s="1" t="s">
        <v>180</v>
      </c>
      <c r="D9" s="1" t="n">
        <v>2023</v>
      </c>
      <c r="E9" s="1" t="s">
        <v>385</v>
      </c>
      <c r="F9" s="1" t="s">
        <v>1125</v>
      </c>
      <c r="G9" s="1" t="s">
        <v>1115</v>
      </c>
      <c r="K9" s="1" t="s">
        <v>327</v>
      </c>
      <c r="L9" s="1" t="s">
        <v>171</v>
      </c>
      <c r="M9" s="1" t="s">
        <v>1116</v>
      </c>
    </row>
    <row r="10" customFormat="false" ht="15" hidden="false" customHeight="false" outlineLevel="0" collapsed="false">
      <c r="A10" s="1" t="s">
        <v>1126</v>
      </c>
      <c r="B10" s="1" t="s">
        <v>391</v>
      </c>
      <c r="C10" s="1" t="s">
        <v>185</v>
      </c>
      <c r="D10" s="1" t="n">
        <v>2023</v>
      </c>
      <c r="E10" s="1" t="s">
        <v>375</v>
      </c>
      <c r="F10" s="1" t="s">
        <v>1118</v>
      </c>
      <c r="G10" s="1" t="s">
        <v>1115</v>
      </c>
      <c r="K10" s="1" t="s">
        <v>392</v>
      </c>
      <c r="L10" s="1" t="s">
        <v>188</v>
      </c>
      <c r="M10" s="1" t="s">
        <v>1116</v>
      </c>
    </row>
    <row r="11" customFormat="false" ht="15" hidden="false" customHeight="false" outlineLevel="0" collapsed="false">
      <c r="A11" s="1" t="s">
        <v>1127</v>
      </c>
      <c r="B11" s="1" t="s">
        <v>398</v>
      </c>
      <c r="C11" s="1" t="s">
        <v>190</v>
      </c>
      <c r="D11" s="1" t="n">
        <v>2023</v>
      </c>
      <c r="E11" s="1" t="s">
        <v>375</v>
      </c>
      <c r="F11" s="1" t="s">
        <v>1118</v>
      </c>
      <c r="G11" s="1" t="s">
        <v>1115</v>
      </c>
      <c r="K11" s="1" t="s">
        <v>392</v>
      </c>
      <c r="L11" s="1" t="s">
        <v>188</v>
      </c>
      <c r="M11" s="1" t="s">
        <v>1116</v>
      </c>
    </row>
    <row r="12" customFormat="false" ht="15" hidden="false" customHeight="false" outlineLevel="0" collapsed="false">
      <c r="A12" s="1" t="s">
        <v>1128</v>
      </c>
      <c r="B12" s="1" t="s">
        <v>402</v>
      </c>
      <c r="C12" s="1" t="s">
        <v>193</v>
      </c>
      <c r="D12" s="1" t="n">
        <v>2023</v>
      </c>
      <c r="E12" s="1" t="s">
        <v>375</v>
      </c>
      <c r="F12" s="1" t="s">
        <v>1118</v>
      </c>
      <c r="G12" s="1" t="s">
        <v>1115</v>
      </c>
      <c r="K12" s="1" t="s">
        <v>327</v>
      </c>
      <c r="L12" s="1" t="s">
        <v>199</v>
      </c>
      <c r="M12" s="1" t="s">
        <v>1116</v>
      </c>
    </row>
    <row r="13" customFormat="false" ht="15" hidden="false" customHeight="false" outlineLevel="0" collapsed="false">
      <c r="A13" s="1" t="s">
        <v>1129</v>
      </c>
      <c r="B13" s="1" t="s">
        <v>408</v>
      </c>
      <c r="C13" s="1" t="s">
        <v>201</v>
      </c>
      <c r="D13" s="1" t="n">
        <v>2023</v>
      </c>
      <c r="E13" s="1" t="s">
        <v>375</v>
      </c>
      <c r="F13" s="1" t="s">
        <v>1118</v>
      </c>
      <c r="G13" s="1" t="s">
        <v>1115</v>
      </c>
      <c r="K13" s="1" t="s">
        <v>392</v>
      </c>
      <c r="L13" s="1" t="s">
        <v>199</v>
      </c>
      <c r="M13" s="1" t="s">
        <v>1116</v>
      </c>
    </row>
    <row r="14" customFormat="false" ht="15" hidden="false" customHeight="false" outlineLevel="0" collapsed="false">
      <c r="A14" s="1" t="s">
        <v>1130</v>
      </c>
      <c r="B14" s="1" t="s">
        <v>413</v>
      </c>
      <c r="C14" s="1" t="s">
        <v>207</v>
      </c>
      <c r="D14" s="1" t="n">
        <v>2023</v>
      </c>
      <c r="E14" s="1" t="s">
        <v>414</v>
      </c>
      <c r="F14" s="1" t="s">
        <v>1118</v>
      </c>
      <c r="G14" s="1" t="s">
        <v>1115</v>
      </c>
      <c r="K14" s="1" t="s">
        <v>327</v>
      </c>
      <c r="L14" s="1" t="s">
        <v>212</v>
      </c>
      <c r="M14" s="1" t="s">
        <v>1116</v>
      </c>
    </row>
    <row r="15" customFormat="false" ht="15" hidden="false" customHeight="false" outlineLevel="0" collapsed="false">
      <c r="A15" s="1" t="s">
        <v>1131</v>
      </c>
      <c r="B15" s="1" t="s">
        <v>424</v>
      </c>
      <c r="C15" s="1" t="s">
        <v>214</v>
      </c>
      <c r="D15" s="1" t="n">
        <v>2024</v>
      </c>
      <c r="E15" s="1" t="s">
        <v>425</v>
      </c>
      <c r="F15" s="1" t="s">
        <v>1118</v>
      </c>
      <c r="G15" s="1" t="s">
        <v>1115</v>
      </c>
      <c r="K15" s="1" t="s">
        <v>327</v>
      </c>
      <c r="L15" s="1" t="s">
        <v>212</v>
      </c>
      <c r="M15" s="1" t="s">
        <v>1116</v>
      </c>
    </row>
    <row r="16" customFormat="false" ht="15" hidden="false" customHeight="false" outlineLevel="0" collapsed="false">
      <c r="A16" s="1" t="s">
        <v>1132</v>
      </c>
      <c r="B16" s="1" t="s">
        <v>444</v>
      </c>
      <c r="C16" s="1" t="s">
        <v>218</v>
      </c>
      <c r="D16" s="1" t="n">
        <v>2024</v>
      </c>
      <c r="E16" s="1" t="s">
        <v>445</v>
      </c>
      <c r="F16" s="1" t="s">
        <v>1118</v>
      </c>
      <c r="G16" s="1" t="s">
        <v>1115</v>
      </c>
      <c r="K16" s="1" t="s">
        <v>327</v>
      </c>
      <c r="L16" s="1" t="s">
        <v>212</v>
      </c>
      <c r="M16" s="1" t="s">
        <v>1116</v>
      </c>
    </row>
    <row r="17" customFormat="false" ht="15" hidden="false" customHeight="false" outlineLevel="0" collapsed="false">
      <c r="A17" s="1" t="s">
        <v>1133</v>
      </c>
      <c r="B17" s="1" t="s">
        <v>447</v>
      </c>
      <c r="C17" s="1" t="s">
        <v>223</v>
      </c>
      <c r="D17" s="1" t="n">
        <v>2024</v>
      </c>
      <c r="E17" s="1" t="s">
        <v>448</v>
      </c>
      <c r="F17" s="1" t="s">
        <v>1118</v>
      </c>
      <c r="G17" s="1" t="s">
        <v>1115</v>
      </c>
      <c r="K17" s="1" t="s">
        <v>327</v>
      </c>
      <c r="L17" s="1" t="s">
        <v>228</v>
      </c>
      <c r="M17" s="1" t="s">
        <v>1116</v>
      </c>
    </row>
    <row r="18" customFormat="false" ht="15" hidden="false" customHeight="false" outlineLevel="0" collapsed="false">
      <c r="A18" s="1" t="s">
        <v>1134</v>
      </c>
      <c r="B18" s="1" t="s">
        <v>461</v>
      </c>
      <c r="C18" s="1" t="s">
        <v>229</v>
      </c>
      <c r="D18" s="1" t="n">
        <v>2024</v>
      </c>
      <c r="E18" s="1" t="s">
        <v>445</v>
      </c>
      <c r="F18" s="1" t="s">
        <v>1118</v>
      </c>
      <c r="G18" s="1" t="s">
        <v>1115</v>
      </c>
      <c r="K18" s="1" t="s">
        <v>327</v>
      </c>
      <c r="L18" s="1" t="s">
        <v>228</v>
      </c>
      <c r="M18" s="1" t="s">
        <v>1116</v>
      </c>
    </row>
    <row r="19" customFormat="false" ht="15" hidden="false" customHeight="false" outlineLevel="0" collapsed="false">
      <c r="A19" s="1" t="s">
        <v>1135</v>
      </c>
      <c r="B19" s="1" t="s">
        <v>469</v>
      </c>
      <c r="C19" s="1" t="s">
        <v>234</v>
      </c>
      <c r="D19" s="1" t="n">
        <v>2024</v>
      </c>
      <c r="E19" s="1" t="s">
        <v>445</v>
      </c>
      <c r="F19" s="1" t="s">
        <v>1118</v>
      </c>
      <c r="G19" s="1" t="s">
        <v>1115</v>
      </c>
      <c r="K19" s="1" t="s">
        <v>327</v>
      </c>
      <c r="L19" s="1" t="s">
        <v>228</v>
      </c>
      <c r="M19" s="1" t="s">
        <v>1116</v>
      </c>
    </row>
    <row r="20" customFormat="false" ht="15" hidden="false" customHeight="false" outlineLevel="0" collapsed="false">
      <c r="A20" s="1" t="s">
        <v>1136</v>
      </c>
      <c r="B20" s="1" t="s">
        <v>471</v>
      </c>
      <c r="C20" s="1" t="s">
        <v>238</v>
      </c>
      <c r="D20" s="1" t="n">
        <v>2024</v>
      </c>
      <c r="E20" s="1" t="s">
        <v>472</v>
      </c>
      <c r="F20" s="1" t="s">
        <v>1118</v>
      </c>
      <c r="G20" s="1" t="s">
        <v>1115</v>
      </c>
      <c r="K20" s="1" t="s">
        <v>327</v>
      </c>
      <c r="L20" s="1" t="s">
        <v>245</v>
      </c>
      <c r="M20" s="1" t="s">
        <v>1116</v>
      </c>
    </row>
    <row r="21" customFormat="false" ht="15" hidden="false" customHeight="false" outlineLevel="0" collapsed="false">
      <c r="A21" s="1" t="s">
        <v>1137</v>
      </c>
      <c r="B21" s="1" t="s">
        <v>473</v>
      </c>
      <c r="C21" s="1" t="s">
        <v>238</v>
      </c>
      <c r="D21" s="1" t="n">
        <v>2024</v>
      </c>
      <c r="E21" s="1" t="s">
        <v>474</v>
      </c>
      <c r="F21" s="1" t="s">
        <v>1118</v>
      </c>
      <c r="G21" s="1" t="s">
        <v>1115</v>
      </c>
      <c r="K21" s="1" t="s">
        <v>327</v>
      </c>
      <c r="L21" s="1" t="s">
        <v>245</v>
      </c>
      <c r="M21" s="1" t="s">
        <v>1116</v>
      </c>
    </row>
    <row r="22" customFormat="false" ht="15" hidden="false" customHeight="false" outlineLevel="0" collapsed="false">
      <c r="A22" s="1" t="s">
        <v>1138</v>
      </c>
      <c r="B22" s="1" t="s">
        <v>476</v>
      </c>
      <c r="C22" s="1" t="s">
        <v>246</v>
      </c>
      <c r="D22" s="1" t="n">
        <v>2024</v>
      </c>
      <c r="E22" s="1" t="s">
        <v>477</v>
      </c>
      <c r="F22" s="1" t="s">
        <v>1118</v>
      </c>
      <c r="G22" s="1" t="s">
        <v>1115</v>
      </c>
      <c r="K22" s="1" t="s">
        <v>327</v>
      </c>
      <c r="L22" s="1" t="s">
        <v>245</v>
      </c>
      <c r="M22" s="1" t="s">
        <v>1116</v>
      </c>
    </row>
    <row r="23" customFormat="false" ht="15" hidden="false" customHeight="false" outlineLevel="0" collapsed="false">
      <c r="A23" s="1" t="s">
        <v>1139</v>
      </c>
      <c r="B23" s="1" t="s">
        <v>479</v>
      </c>
      <c r="C23" s="1" t="s">
        <v>250</v>
      </c>
      <c r="D23" s="1" t="n">
        <v>2024</v>
      </c>
      <c r="E23" s="1" t="s">
        <v>480</v>
      </c>
      <c r="F23" s="1" t="s">
        <v>1118</v>
      </c>
      <c r="G23" s="1" t="s">
        <v>1115</v>
      </c>
      <c r="K23" s="1" t="s">
        <v>327</v>
      </c>
      <c r="L23" s="1" t="s">
        <v>254</v>
      </c>
      <c r="M23" s="1" t="s">
        <v>1116</v>
      </c>
    </row>
    <row r="24" customFormat="false" ht="15" hidden="false" customHeight="false" outlineLevel="0" collapsed="false">
      <c r="A24" s="1" t="s">
        <v>1140</v>
      </c>
      <c r="B24" s="1" t="s">
        <v>481</v>
      </c>
      <c r="C24" s="1" t="s">
        <v>250</v>
      </c>
      <c r="D24" s="1" t="n">
        <v>2024</v>
      </c>
      <c r="E24" s="1" t="s">
        <v>482</v>
      </c>
      <c r="F24" s="1" t="s">
        <v>1118</v>
      </c>
      <c r="G24" s="1" t="s">
        <v>1115</v>
      </c>
      <c r="K24" s="1" t="s">
        <v>327</v>
      </c>
      <c r="L24" s="1" t="s">
        <v>254</v>
      </c>
      <c r="M24" s="1" t="s">
        <v>1116</v>
      </c>
    </row>
    <row r="25" customFormat="false" ht="15" hidden="false" customHeight="false" outlineLevel="0" collapsed="false">
      <c r="A25" s="1" t="s">
        <v>1141</v>
      </c>
      <c r="B25" s="1" t="s">
        <v>485</v>
      </c>
      <c r="C25" s="1" t="s">
        <v>256</v>
      </c>
      <c r="D25" s="1" t="n">
        <v>2025</v>
      </c>
      <c r="E25" s="1" t="s">
        <v>486</v>
      </c>
      <c r="F25" s="1" t="s">
        <v>1118</v>
      </c>
      <c r="G25" s="1" t="s">
        <v>1115</v>
      </c>
      <c r="K25" s="1" t="s">
        <v>327</v>
      </c>
      <c r="L25" s="1" t="s">
        <v>260</v>
      </c>
      <c r="M25" s="1" t="s">
        <v>1116</v>
      </c>
    </row>
    <row r="26" customFormat="false" ht="15" hidden="false" customHeight="false" outlineLevel="0" collapsed="false">
      <c r="A26" s="1" t="s">
        <v>1142</v>
      </c>
      <c r="B26" s="1" t="s">
        <v>488</v>
      </c>
      <c r="C26" s="1" t="s">
        <v>262</v>
      </c>
      <c r="D26" s="1" t="n">
        <v>2025</v>
      </c>
      <c r="E26" s="1" t="s">
        <v>486</v>
      </c>
      <c r="F26" s="1" t="s">
        <v>1118</v>
      </c>
      <c r="G26" s="1" t="s">
        <v>1115</v>
      </c>
      <c r="K26" s="1" t="s">
        <v>327</v>
      </c>
      <c r="L26" s="1" t="s">
        <v>260</v>
      </c>
      <c r="M26" s="1" t="s">
        <v>1116</v>
      </c>
    </row>
    <row r="27" customFormat="false" ht="15" hidden="false" customHeight="false" outlineLevel="0" collapsed="false">
      <c r="A27" s="1" t="s">
        <v>1143</v>
      </c>
      <c r="B27" s="1" t="s">
        <v>489</v>
      </c>
      <c r="C27" s="1" t="s">
        <v>267</v>
      </c>
      <c r="D27" s="1" t="n">
        <v>2025</v>
      </c>
      <c r="E27" s="1" t="s">
        <v>486</v>
      </c>
      <c r="F27" s="1" t="s">
        <v>1118</v>
      </c>
      <c r="G27" s="1" t="s">
        <v>1115</v>
      </c>
      <c r="K27" s="1" t="s">
        <v>327</v>
      </c>
      <c r="L27" s="1" t="s">
        <v>260</v>
      </c>
      <c r="M27" s="1" t="s">
        <v>1116</v>
      </c>
    </row>
    <row r="28" customFormat="false" ht="15" hidden="false" customHeight="false" outlineLevel="0" collapsed="false">
      <c r="A28" s="1" t="s">
        <v>1144</v>
      </c>
      <c r="B28" s="1" t="s">
        <v>491</v>
      </c>
      <c r="C28" s="1" t="s">
        <v>272</v>
      </c>
      <c r="D28" s="1" t="n">
        <v>2025</v>
      </c>
      <c r="E28" s="1" t="s">
        <v>486</v>
      </c>
      <c r="F28" s="1" t="s">
        <v>1118</v>
      </c>
      <c r="G28" s="1" t="s">
        <v>1115</v>
      </c>
      <c r="K28" s="1" t="s">
        <v>492</v>
      </c>
      <c r="L28" s="1" t="s">
        <v>260</v>
      </c>
      <c r="M28" s="1" t="s">
        <v>1116</v>
      </c>
    </row>
    <row r="29" customFormat="false" ht="15" hidden="false" customHeight="false" outlineLevel="0" collapsed="false">
      <c r="A29" s="1" t="s">
        <v>1145</v>
      </c>
      <c r="B29" s="1" t="s">
        <v>493</v>
      </c>
      <c r="C29" s="1" t="s">
        <v>277</v>
      </c>
      <c r="D29" s="1" t="n">
        <v>2025</v>
      </c>
      <c r="E29" s="1" t="s">
        <v>494</v>
      </c>
      <c r="F29" s="1" t="s">
        <v>1118</v>
      </c>
      <c r="G29" s="1" t="s">
        <v>1115</v>
      </c>
      <c r="K29" s="1" t="s">
        <v>327</v>
      </c>
      <c r="L29" s="1" t="s">
        <v>260</v>
      </c>
      <c r="M29" s="1" t="s">
        <v>1116</v>
      </c>
    </row>
    <row r="30" customFormat="false" ht="15" hidden="false" customHeight="false" outlineLevel="0" collapsed="false">
      <c r="A30" s="1" t="s">
        <v>1146</v>
      </c>
      <c r="B30" s="1" t="s">
        <v>505</v>
      </c>
      <c r="C30" s="1" t="s">
        <v>283</v>
      </c>
      <c r="D30" s="1" t="n">
        <v>2025</v>
      </c>
      <c r="E30" s="1" t="s">
        <v>506</v>
      </c>
      <c r="F30" s="1" t="s">
        <v>1118</v>
      </c>
      <c r="G30" s="1" t="s">
        <v>1115</v>
      </c>
      <c r="K30" s="1" t="s">
        <v>327</v>
      </c>
      <c r="L30" s="1" t="s">
        <v>260</v>
      </c>
      <c r="M30" s="1" t="s">
        <v>1116</v>
      </c>
    </row>
    <row r="31" customFormat="false" ht="15" hidden="false" customHeight="false" outlineLevel="0" collapsed="false">
      <c r="A31" s="1" t="s">
        <v>1147</v>
      </c>
      <c r="B31" s="1" t="s">
        <v>517</v>
      </c>
      <c r="C31" s="1" t="s">
        <v>288</v>
      </c>
      <c r="D31" s="1" t="n">
        <v>2025</v>
      </c>
      <c r="E31" s="1" t="s">
        <v>518</v>
      </c>
      <c r="F31" s="1" t="s">
        <v>1125</v>
      </c>
      <c r="G31" s="1" t="s">
        <v>1115</v>
      </c>
      <c r="K31" s="1" t="s">
        <v>327</v>
      </c>
      <c r="L31" s="1" t="s">
        <v>260</v>
      </c>
      <c r="M31" s="1" t="s">
        <v>1116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8"/>
    <col collapsed="false" customWidth="true" hidden="false" outlineLevel="0" max="3" min="3" style="1" width="20"/>
    <col collapsed="false" customWidth="true" hidden="false" outlineLevel="0" max="4" min="4" style="1" width="32"/>
    <col collapsed="false" customWidth="true" hidden="false" outlineLevel="0" max="5" min="5" style="1" width="58"/>
    <col collapsed="false" customWidth="true" hidden="false" outlineLevel="0" max="6" min="6" style="1" width="34"/>
    <col collapsed="false" customWidth="true" hidden="false" outlineLevel="0" max="7" min="7" style="1" width="14"/>
    <col collapsed="false" customWidth="true" hidden="false" outlineLevel="0" max="8" min="8" style="1" width="16"/>
    <col collapsed="false" customWidth="true" hidden="false" outlineLevel="0" max="9" min="9" style="1" width="52"/>
  </cols>
  <sheetData>
    <row r="1" customFormat="false" ht="15" hidden="false" customHeight="false" outlineLevel="0" collapsed="false">
      <c r="A1" s="3" t="s">
        <v>1148</v>
      </c>
      <c r="B1" s="3" t="s">
        <v>1149</v>
      </c>
      <c r="C1" s="3" t="s">
        <v>1150</v>
      </c>
      <c r="D1" s="3" t="s">
        <v>1151</v>
      </c>
      <c r="E1" s="3" t="s">
        <v>1152</v>
      </c>
      <c r="F1" s="3" t="s">
        <v>1153</v>
      </c>
      <c r="G1" s="3" t="s">
        <v>1154</v>
      </c>
      <c r="H1" s="3" t="s">
        <v>5</v>
      </c>
      <c r="I1" s="3" t="s">
        <v>1112</v>
      </c>
    </row>
    <row r="2" customFormat="false" ht="15" hidden="false" customHeight="false" outlineLevel="0" collapsed="false">
      <c r="A2" s="1" t="s">
        <v>1155</v>
      </c>
      <c r="B2" s="1" t="s">
        <v>1156</v>
      </c>
      <c r="C2" s="1" t="s">
        <v>1157</v>
      </c>
      <c r="D2" s="1" t="s">
        <v>118</v>
      </c>
      <c r="E2" s="1" t="s">
        <v>1158</v>
      </c>
      <c r="F2" s="1" t="s">
        <v>1159</v>
      </c>
      <c r="G2" s="1" t="s">
        <v>650</v>
      </c>
      <c r="H2" s="1" t="s">
        <v>1160</v>
      </c>
      <c r="I2" s="1" t="s">
        <v>1161</v>
      </c>
    </row>
    <row r="3" customFormat="false" ht="15" hidden="false" customHeight="false" outlineLevel="0" collapsed="false">
      <c r="A3" s="1" t="s">
        <v>1162</v>
      </c>
      <c r="B3" s="1" t="s">
        <v>1163</v>
      </c>
      <c r="C3" s="1" t="s">
        <v>1164</v>
      </c>
      <c r="D3" s="1" t="s">
        <v>118</v>
      </c>
      <c r="E3" s="1" t="s">
        <v>1165</v>
      </c>
      <c r="F3" s="1" t="s">
        <v>1166</v>
      </c>
      <c r="G3" s="1" t="s">
        <v>650</v>
      </c>
      <c r="H3" s="13" t="s">
        <v>1167</v>
      </c>
      <c r="I3" s="1" t="s">
        <v>1168</v>
      </c>
    </row>
    <row r="4" customFormat="false" ht="15" hidden="false" customHeight="false" outlineLevel="0" collapsed="false">
      <c r="A4" s="1" t="s">
        <v>1169</v>
      </c>
      <c r="B4" s="1" t="s">
        <v>1170</v>
      </c>
      <c r="C4" s="1" t="s">
        <v>1171</v>
      </c>
      <c r="D4" s="1" t="s">
        <v>1172</v>
      </c>
      <c r="E4" s="1" t="s">
        <v>1173</v>
      </c>
      <c r="F4" s="1" t="s">
        <v>1174</v>
      </c>
      <c r="G4" s="1" t="s">
        <v>650</v>
      </c>
      <c r="H4" s="13" t="s">
        <v>1167</v>
      </c>
      <c r="I4" s="1" t="s">
        <v>1175</v>
      </c>
    </row>
    <row r="5" customFormat="false" ht="15" hidden="false" customHeight="false" outlineLevel="0" collapsed="false">
      <c r="A5" s="1" t="s">
        <v>1176</v>
      </c>
      <c r="B5" s="1" t="s">
        <v>1177</v>
      </c>
      <c r="C5" s="1" t="s">
        <v>1178</v>
      </c>
      <c r="D5" s="1" t="s">
        <v>118</v>
      </c>
      <c r="E5" s="1" t="s">
        <v>1179</v>
      </c>
      <c r="F5" s="1" t="s">
        <v>1180</v>
      </c>
      <c r="G5" s="1" t="s">
        <v>650</v>
      </c>
      <c r="H5" s="1" t="s">
        <v>1181</v>
      </c>
      <c r="I5" s="1" t="s">
        <v>1182</v>
      </c>
    </row>
    <row r="6" customFormat="false" ht="15" hidden="false" customHeight="false" outlineLevel="0" collapsed="false">
      <c r="A6" s="1" t="s">
        <v>1183</v>
      </c>
      <c r="B6" s="1" t="s">
        <v>1184</v>
      </c>
      <c r="C6" s="1" t="s">
        <v>1185</v>
      </c>
      <c r="D6" s="1" t="s">
        <v>1186</v>
      </c>
      <c r="E6" s="1" t="s">
        <v>1187</v>
      </c>
      <c r="F6" s="1" t="s">
        <v>1188</v>
      </c>
      <c r="G6" s="1" t="s">
        <v>358</v>
      </c>
      <c r="H6" s="1" t="s">
        <v>1181</v>
      </c>
      <c r="I6" s="1" t="s">
        <v>1189</v>
      </c>
    </row>
    <row r="7" customFormat="false" ht="15" hidden="false" customHeight="false" outlineLevel="0" collapsed="false">
      <c r="A7" s="1" t="s">
        <v>1190</v>
      </c>
      <c r="B7" s="1" t="s">
        <v>1191</v>
      </c>
      <c r="C7" s="1" t="s">
        <v>1192</v>
      </c>
      <c r="D7" s="1" t="s">
        <v>1193</v>
      </c>
      <c r="E7" s="1" t="s">
        <v>1194</v>
      </c>
      <c r="F7" s="1" t="s">
        <v>1195</v>
      </c>
      <c r="G7" s="1" t="s">
        <v>650</v>
      </c>
      <c r="H7" s="13" t="s">
        <v>1167</v>
      </c>
      <c r="I7" s="1" t="s">
        <v>1196</v>
      </c>
    </row>
    <row r="8" customFormat="false" ht="15" hidden="false" customHeight="false" outlineLevel="0" collapsed="false">
      <c r="A8" s="1" t="s">
        <v>1197</v>
      </c>
      <c r="B8" s="1" t="s">
        <v>1198</v>
      </c>
      <c r="C8" s="1" t="s">
        <v>661</v>
      </c>
      <c r="D8" s="1" t="s">
        <v>1199</v>
      </c>
      <c r="E8" s="1" t="s">
        <v>1200</v>
      </c>
      <c r="F8" s="1" t="s">
        <v>1201</v>
      </c>
      <c r="G8" s="1" t="s">
        <v>650</v>
      </c>
      <c r="H8" s="1" t="s">
        <v>1181</v>
      </c>
      <c r="I8" s="1" t="s">
        <v>1202</v>
      </c>
    </row>
    <row r="9" customFormat="false" ht="15" hidden="false" customHeight="false" outlineLevel="0" collapsed="false">
      <c r="A9" s="1" t="s">
        <v>1203</v>
      </c>
      <c r="B9" s="1" t="s">
        <v>1204</v>
      </c>
      <c r="C9" s="1" t="s">
        <v>1205</v>
      </c>
      <c r="D9" s="1" t="s">
        <v>1206</v>
      </c>
      <c r="E9" s="1" t="s">
        <v>1207</v>
      </c>
      <c r="F9" s="1" t="s">
        <v>1208</v>
      </c>
      <c r="G9" s="1" t="s">
        <v>358</v>
      </c>
      <c r="H9" s="1" t="s">
        <v>1181</v>
      </c>
    </row>
    <row r="10" customFormat="false" ht="15" hidden="false" customHeight="false" outlineLevel="0" collapsed="false">
      <c r="A10" s="1" t="s">
        <v>1209</v>
      </c>
      <c r="B10" s="1" t="s">
        <v>1210</v>
      </c>
      <c r="C10" s="1" t="s">
        <v>1211</v>
      </c>
      <c r="D10" s="1" t="s">
        <v>1199</v>
      </c>
      <c r="E10" s="1" t="s">
        <v>1212</v>
      </c>
      <c r="F10" s="1" t="s">
        <v>1213</v>
      </c>
      <c r="G10" s="1" t="s">
        <v>358</v>
      </c>
      <c r="H10" s="1" t="s">
        <v>1181</v>
      </c>
    </row>
    <row r="11" customFormat="false" ht="15" hidden="false" customHeight="false" outlineLevel="0" collapsed="false">
      <c r="A11" s="1" t="s">
        <v>1214</v>
      </c>
      <c r="B11" s="1" t="s">
        <v>1215</v>
      </c>
      <c r="C11" s="1" t="s">
        <v>833</v>
      </c>
      <c r="D11" s="1" t="s">
        <v>1216</v>
      </c>
      <c r="E11" s="1" t="s">
        <v>1217</v>
      </c>
      <c r="F11" s="1" t="s">
        <v>1218</v>
      </c>
      <c r="G11" s="1" t="s">
        <v>650</v>
      </c>
      <c r="H11" s="1" t="s">
        <v>1181</v>
      </c>
      <c r="I11" s="1" t="s">
        <v>1219</v>
      </c>
    </row>
    <row r="12" customFormat="false" ht="15" hidden="false" customHeight="false" outlineLevel="0" collapsed="false">
      <c r="A12" s="1" t="s">
        <v>1220</v>
      </c>
      <c r="B12" s="1" t="s">
        <v>1221</v>
      </c>
      <c r="C12" s="1" t="s">
        <v>737</v>
      </c>
      <c r="D12" s="1" t="s">
        <v>1222</v>
      </c>
      <c r="E12" s="1" t="s">
        <v>1223</v>
      </c>
      <c r="F12" s="1" t="s">
        <v>1224</v>
      </c>
      <c r="G12" s="1" t="s">
        <v>358</v>
      </c>
      <c r="H12" s="1" t="s">
        <v>1225</v>
      </c>
      <c r="I12" s="1" t="s">
        <v>1226</v>
      </c>
    </row>
    <row r="13" customFormat="false" ht="15" hidden="false" customHeight="false" outlineLevel="0" collapsed="false">
      <c r="A13" s="1" t="s">
        <v>1227</v>
      </c>
      <c r="B13" s="1" t="s">
        <v>1228</v>
      </c>
      <c r="C13" s="1" t="s">
        <v>1229</v>
      </c>
      <c r="D13" s="1" t="s">
        <v>1230</v>
      </c>
      <c r="E13" s="1" t="s">
        <v>1231</v>
      </c>
      <c r="F13" s="1" t="s">
        <v>1232</v>
      </c>
      <c r="G13" s="1" t="s">
        <v>358</v>
      </c>
      <c r="H13" s="1" t="s">
        <v>1225</v>
      </c>
      <c r="I13" s="1" t="s">
        <v>1233</v>
      </c>
    </row>
    <row r="14" customFormat="false" ht="15" hidden="false" customHeight="false" outlineLevel="0" collapsed="false">
      <c r="A14" s="1" t="s">
        <v>1234</v>
      </c>
      <c r="B14" s="1" t="s">
        <v>1235</v>
      </c>
      <c r="C14" s="1" t="s">
        <v>1236</v>
      </c>
      <c r="D14" s="1" t="s">
        <v>1237</v>
      </c>
      <c r="E14" s="1" t="s">
        <v>1238</v>
      </c>
      <c r="F14" s="1" t="s">
        <v>1239</v>
      </c>
      <c r="G14" s="1" t="s">
        <v>341</v>
      </c>
      <c r="H14" s="1" t="s">
        <v>1181</v>
      </c>
      <c r="I14" s="1" t="s">
        <v>1240</v>
      </c>
    </row>
    <row r="15" customFormat="false" ht="15" hidden="false" customHeight="false" outlineLevel="0" collapsed="false">
      <c r="A15" s="1" t="s">
        <v>1241</v>
      </c>
      <c r="B15" s="1" t="s">
        <v>1242</v>
      </c>
      <c r="C15" s="1" t="s">
        <v>1243</v>
      </c>
      <c r="D15" s="1" t="s">
        <v>1244</v>
      </c>
      <c r="E15" s="1" t="s">
        <v>1245</v>
      </c>
      <c r="F15" s="1" t="s">
        <v>1246</v>
      </c>
      <c r="G15" s="1" t="s">
        <v>341</v>
      </c>
      <c r="H15" s="1" t="s">
        <v>1181</v>
      </c>
    </row>
    <row r="16" customFormat="false" ht="15" hidden="false" customHeight="false" outlineLevel="0" collapsed="false">
      <c r="A16" s="1" t="s">
        <v>1247</v>
      </c>
      <c r="B16" s="1" t="s">
        <v>1248</v>
      </c>
      <c r="C16" s="1" t="s">
        <v>1062</v>
      </c>
      <c r="D16" s="1" t="s">
        <v>1249</v>
      </c>
      <c r="E16" s="1" t="s">
        <v>1250</v>
      </c>
      <c r="F16" s="1" t="s">
        <v>1251</v>
      </c>
      <c r="G16" s="1" t="s">
        <v>358</v>
      </c>
      <c r="H16" s="1" t="s">
        <v>1181</v>
      </c>
      <c r="I16" s="1" t="s">
        <v>1252</v>
      </c>
    </row>
  </sheetData>
  <conditionalFormatting sqref="H3:H4">
    <cfRule type="expression" priority="2" aboveAverage="0" equalAverage="0" bottom="0" percent="0" rank="0" text="" dxfId="4">
      <formula>H3="Không có theo xác nhận hiện tại"</formula>
    </cfRule>
  </conditionalFormatting>
  <conditionalFormatting sqref="H7">
    <cfRule type="expression" priority="3" aboveAverage="0" equalAverage="0" bottom="0" percent="0" rank="0" text="" dxfId="4">
      <formula>H7="Không có theo xác nhận hiện tại"</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48"/>
    <col collapsed="false" customWidth="true" hidden="false" outlineLevel="0" max="3" min="3" style="1" width="16"/>
    <col collapsed="false" customWidth="true" hidden="false" outlineLevel="0" max="4" min="4" style="1" width="5"/>
    <col collapsed="false" customWidth="true" hidden="false" outlineLevel="0" max="5" min="5" style="1" width="42"/>
    <col collapsed="false" customWidth="true" hidden="false" outlineLevel="0" max="6" min="6" style="1" width="40"/>
    <col collapsed="false" customWidth="true" hidden="false" outlineLevel="0" max="7" min="7" style="1" width="16"/>
    <col collapsed="false" customWidth="true" hidden="false" outlineLevel="0" max="8" min="8" style="1" width="12"/>
    <col collapsed="false" customWidth="true" hidden="false" outlineLevel="0" max="9" min="9" style="1" width="30"/>
    <col collapsed="false" customWidth="true" hidden="false" outlineLevel="0" max="10" min="10" style="1" width="42"/>
    <col collapsed="false" customWidth="true" hidden="false" outlineLevel="0" max="11" min="11" style="1" width="16"/>
  </cols>
  <sheetData>
    <row r="1" customFormat="false" ht="17.35" hidden="false" customHeight="false" outlineLevel="0" collapsed="false">
      <c r="A1" s="2" t="s">
        <v>1253</v>
      </c>
      <c r="B1" s="2"/>
      <c r="C1" s="2"/>
      <c r="D1" s="2"/>
      <c r="E1" s="2"/>
      <c r="F1" s="2"/>
      <c r="G1" s="2"/>
      <c r="H1" s="2"/>
    </row>
    <row r="3" customFormat="false" ht="15" hidden="false" customHeight="false" outlineLevel="0" collapsed="false">
      <c r="A3" s="3" t="s">
        <v>658</v>
      </c>
      <c r="B3" s="3" t="s">
        <v>1254</v>
      </c>
      <c r="C3" s="3" t="s">
        <v>661</v>
      </c>
      <c r="E3" s="3" t="s">
        <v>1255</v>
      </c>
      <c r="F3" s="3" t="s">
        <v>914</v>
      </c>
    </row>
    <row r="4" customFormat="false" ht="15" hidden="false" customHeight="false" outlineLevel="0" collapsed="false">
      <c r="A4" s="1" t="s">
        <v>1256</v>
      </c>
      <c r="B4" s="1" t="s">
        <v>1257</v>
      </c>
      <c r="C4" s="1" t="n">
        <f aca="false">COUNTA(01_PROJECT_ALL!A2:A1000)</f>
        <v>38</v>
      </c>
      <c r="E4" s="1" t="s">
        <v>358</v>
      </c>
      <c r="F4" s="1" t="n">
        <f aca="false">COUNTIF(02_OUTPUT_ALL!$K$2:$K$2000,E4)</f>
        <v>15</v>
      </c>
    </row>
    <row r="5" customFormat="false" ht="15" hidden="false" customHeight="false" outlineLevel="0" collapsed="false">
      <c r="A5" s="1" t="s">
        <v>667</v>
      </c>
      <c r="B5" s="1" t="s">
        <v>1258</v>
      </c>
      <c r="C5" s="1" t="n">
        <f aca="false">COUNTA(02_OUTPUT_ALL!A2:A2000)</f>
        <v>90</v>
      </c>
      <c r="E5" s="1" t="s">
        <v>341</v>
      </c>
      <c r="F5" s="1" t="n">
        <f aca="false">COUNTIF(02_OUTPUT_ALL!$K$2:$K$2000,E5)</f>
        <v>11</v>
      </c>
    </row>
    <row r="6" customFormat="false" ht="15" hidden="false" customHeight="false" outlineLevel="0" collapsed="false">
      <c r="A6" s="1" t="s">
        <v>1259</v>
      </c>
      <c r="B6" s="1" t="s">
        <v>1260</v>
      </c>
      <c r="C6" s="1" t="n">
        <f aca="false">COUNTIF(02_OUTPUT_ALL!K2:K2000,"Trung bình")+COUNTIF(02_OUTPUT_ALL!K2:K2000,"Cao")</f>
        <v>26</v>
      </c>
      <c r="E6" s="1" t="s">
        <v>317</v>
      </c>
      <c r="F6" s="1" t="n">
        <f aca="false">COUNTIF(02_OUTPUT_ALL!$K$2:$K$2000,E6)</f>
        <v>64</v>
      </c>
    </row>
    <row r="7" customFormat="false" ht="15" hidden="false" customHeight="false" outlineLevel="0" collapsed="false">
      <c r="A7" s="1" t="s">
        <v>1261</v>
      </c>
      <c r="B7" s="1" t="s">
        <v>1262</v>
      </c>
      <c r="C7" s="1" t="n">
        <f aca="false">COUNTIF(02_OUTPUT_ALL!K2:K2000,"Cao")</f>
        <v>15</v>
      </c>
      <c r="E7" s="1" t="s">
        <v>1263</v>
      </c>
      <c r="F7" s="1" t="n">
        <f aca="false">SUM(F4:F6)</f>
        <v>90</v>
      </c>
    </row>
    <row r="8" customFormat="false" ht="15" hidden="false" customHeight="false" outlineLevel="0" collapsed="false">
      <c r="A8" s="1" t="s">
        <v>1264</v>
      </c>
      <c r="B8" s="1" t="s">
        <v>1265</v>
      </c>
      <c r="C8" s="1" t="n">
        <f aca="false">COUNTIF(02_OUTPUT_ALL!L2:L2000,"Có")</f>
        <v>25</v>
      </c>
    </row>
    <row r="9" customFormat="false" ht="15" hidden="false" customHeight="false" outlineLevel="0" collapsed="false">
      <c r="A9" s="1" t="s">
        <v>1266</v>
      </c>
      <c r="B9" s="1" t="s">
        <v>1267</v>
      </c>
      <c r="C9" s="1" t="n">
        <f aca="false">COUNTIF(02_OUTPUT_ALL!M2:M2000,"Cần đối chiếu")</f>
        <v>30</v>
      </c>
    </row>
    <row r="10" customFormat="false" ht="15" hidden="false" customHeight="false" outlineLevel="0" collapsed="false">
      <c r="A10" s="1" t="s">
        <v>1268</v>
      </c>
      <c r="B10" s="1" t="s">
        <v>1269</v>
      </c>
      <c r="C10" s="1" t="n">
        <f aca="false">COUNTIF(02_OUTPUT_ALL!H2:H2000,"Hồ sơ ghi nhưng chú thích '(ko có bài báo)'")</f>
        <v>3</v>
      </c>
    </row>
    <row r="11" customFormat="false" ht="15" hidden="false" customHeight="false" outlineLevel="0" collapsed="false">
      <c r="A11" s="1" t="s">
        <v>1270</v>
      </c>
      <c r="B11" s="1" t="s">
        <v>1271</v>
      </c>
      <c r="C11" s="1" t="n">
        <f aca="false">COUNTIF(02_OUTPUT_ALL!H2:H2000,"Đã nghiệm thu; ghi 'công thức mới, dự kiến đăng ký GPHI'")+COUNTIF(02_OUTPUT_ALL!H2:H2000,"Đã nghiệm thu; ghi 'quy trình mới, dự kiến đăng ký GPHI'")+COUNTIF(02_OUTPUT_ALL!H2:H2000,"Kế hoạch giai đoạn 2; chưa có bằng chứng nộp/cấp")</f>
        <v>3</v>
      </c>
    </row>
    <row r="12" customFormat="false" ht="15" hidden="false" customHeight="false" outlineLevel="0" collapsed="false">
      <c r="A12" s="1" t="s">
        <v>1272</v>
      </c>
      <c r="B12" s="1" t="s">
        <v>1273</v>
      </c>
      <c r="C12" s="1" t="n">
        <f aca="false">COUNTIF(01_PROJECT_ALL!O2:O1000,"Có")</f>
        <v>18</v>
      </c>
    </row>
    <row r="13" customFormat="false" ht="15" hidden="false" customHeight="false" outlineLevel="0" collapsed="false">
      <c r="A13" s="1" t="s">
        <v>1274</v>
      </c>
      <c r="B13" s="1" t="s">
        <v>1275</v>
      </c>
      <c r="C13" s="17" t="n">
        <f aca="false">IF(C4=0,"",C12/C4)</f>
        <v>0.473684210526316</v>
      </c>
    </row>
    <row r="16" customFormat="false" ht="15" hidden="false" customHeight="false" outlineLevel="0" collapsed="false">
      <c r="A16" s="3" t="s">
        <v>1276</v>
      </c>
      <c r="B16" s="3" t="s">
        <v>1277</v>
      </c>
      <c r="C16" s="3" t="s">
        <v>1278</v>
      </c>
      <c r="E16" s="3" t="s">
        <v>1086</v>
      </c>
      <c r="F16" s="3" t="s">
        <v>1277</v>
      </c>
    </row>
    <row r="17" customFormat="false" ht="15" hidden="false" customHeight="false" outlineLevel="0" collapsed="false">
      <c r="A17" s="1" t="n">
        <v>2021</v>
      </c>
      <c r="B17" s="1" t="n">
        <f aca="false">COUNTIF(01_PROJECT_ALL!$B$2:$B$1000,A17)</f>
        <v>6</v>
      </c>
      <c r="C17" s="1" t="n">
        <f aca="false">COUNTIF(02_OUTPUT_ALL!$C$2:$C$2000,A17)</f>
        <v>11</v>
      </c>
      <c r="E17" s="1" t="s">
        <v>151</v>
      </c>
      <c r="F17" s="1" t="n">
        <f aca="false">COUNTIF(01_PROJECT_ALL!$I$2:$I$1000,E17)</f>
        <v>1</v>
      </c>
    </row>
    <row r="18" customFormat="false" ht="15" hidden="false" customHeight="false" outlineLevel="0" collapsed="false">
      <c r="A18" s="1" t="n">
        <v>2022</v>
      </c>
      <c r="B18" s="1" t="n">
        <f aca="false">COUNTIF(01_PROJECT_ALL!$B$2:$B$1000,A18)</f>
        <v>10</v>
      </c>
      <c r="C18" s="1" t="n">
        <f aca="false">COUNTIF(02_OUTPUT_ALL!$C$2:$C$2000,A18)</f>
        <v>14</v>
      </c>
      <c r="E18" s="1" t="s">
        <v>113</v>
      </c>
      <c r="F18" s="1" t="n">
        <f aca="false">COUNTIF(01_PROJECT_ALL!$I$2:$I$1000,E18)</f>
        <v>4</v>
      </c>
    </row>
    <row r="19" customFormat="false" ht="15" hidden="false" customHeight="false" outlineLevel="0" collapsed="false">
      <c r="A19" s="1" t="n">
        <v>2023</v>
      </c>
      <c r="B19" s="1" t="n">
        <f aca="false">COUNTIF(01_PROJECT_ALL!$B$2:$B$1000,A19)</f>
        <v>7</v>
      </c>
      <c r="C19" s="1" t="n">
        <f aca="false">COUNTIF(02_OUTPUT_ALL!$C$2:$C$2000,A19)</f>
        <v>21</v>
      </c>
      <c r="E19" s="1" t="s">
        <v>81</v>
      </c>
      <c r="F19" s="1" t="n">
        <f aca="false">COUNTIF(01_PROJECT_ALL!$I$2:$I$1000,E19)</f>
        <v>10</v>
      </c>
    </row>
    <row r="20" customFormat="false" ht="15" hidden="false" customHeight="false" outlineLevel="0" collapsed="false">
      <c r="A20" s="1" t="n">
        <v>2024</v>
      </c>
      <c r="B20" s="1" t="n">
        <f aca="false">COUNTIF(01_PROJECT_ALL!$B$2:$B$1000,A20)</f>
        <v>8</v>
      </c>
      <c r="C20" s="1" t="n">
        <f aca="false">COUNTIF(02_OUTPUT_ALL!$C$2:$C$2000,A20)</f>
        <v>27</v>
      </c>
      <c r="E20" s="1" t="s">
        <v>159</v>
      </c>
      <c r="F20" s="1" t="n">
        <f aca="false">COUNTIF(01_PROJECT_ALL!$I$2:$I$1000,E20)</f>
        <v>10</v>
      </c>
    </row>
    <row r="21" customFormat="false" ht="15" hidden="false" customHeight="false" outlineLevel="0" collapsed="false">
      <c r="A21" s="1" t="n">
        <v>2025</v>
      </c>
      <c r="B21" s="1" t="n">
        <f aca="false">COUNTIF(01_PROJECT_ALL!$B$2:$B$1000,A21)</f>
        <v>7</v>
      </c>
      <c r="C21" s="1" t="n">
        <f aca="false">COUNTIF(02_OUTPUT_ALL!$C$2:$C$2000,A21)</f>
        <v>17</v>
      </c>
      <c r="E21" s="1" t="s">
        <v>101</v>
      </c>
      <c r="F21" s="1" t="n">
        <f aca="false">COUNTIF(01_PROJECT_ALL!$I$2:$I$1000,E21)</f>
        <v>13</v>
      </c>
    </row>
    <row r="22" customFormat="false" ht="15" hidden="false" customHeight="false" outlineLevel="0" collapsed="false">
      <c r="A22" s="1" t="s">
        <v>1263</v>
      </c>
      <c r="B22" s="1" t="n">
        <f aca="false">SUM(B17:B21)</f>
        <v>38</v>
      </c>
      <c r="C22" s="1" t="n">
        <f aca="false">SUM(C17:C21)</f>
        <v>90</v>
      </c>
      <c r="E22" s="1" t="s">
        <v>1263</v>
      </c>
      <c r="F22" s="1" t="n">
        <f aca="false">SUM(F17:F21)</f>
        <v>38</v>
      </c>
    </row>
    <row r="25" customFormat="false" ht="15" hidden="false" customHeight="true" outlineLevel="0" collapsed="false">
      <c r="A25" s="4" t="s">
        <v>1279</v>
      </c>
      <c r="B25" s="4"/>
      <c r="C25" s="4"/>
      <c r="D25" s="4"/>
      <c r="E25" s="4"/>
      <c r="F25" s="4"/>
      <c r="G25" s="4"/>
      <c r="H25" s="4"/>
    </row>
    <row r="28" customFormat="false" ht="15" hidden="false" customHeight="false" outlineLevel="0" collapsed="false">
      <c r="A28" s="3" t="s">
        <v>1280</v>
      </c>
      <c r="B28" s="3" t="s">
        <v>1281</v>
      </c>
      <c r="C28" s="3" t="s">
        <v>661</v>
      </c>
      <c r="E28" s="3" t="s">
        <v>1282</v>
      </c>
      <c r="F28" s="3" t="s">
        <v>1283</v>
      </c>
      <c r="G28" s="3" t="s">
        <v>661</v>
      </c>
      <c r="I28" s="3" t="s">
        <v>1284</v>
      </c>
      <c r="J28" s="3" t="s">
        <v>1285</v>
      </c>
      <c r="K28" s="3" t="s">
        <v>661</v>
      </c>
    </row>
    <row r="29" customFormat="false" ht="28.35" hidden="false" customHeight="false" outlineLevel="0" collapsed="false">
      <c r="A29" s="4" t="s">
        <v>1286</v>
      </c>
      <c r="B29" s="4" t="s">
        <v>1287</v>
      </c>
      <c r="C29" s="4" t="n">
        <f aca="false">COUNTA(12_PUBLICATION_LINKS!A2:A1000)</f>
        <v>13</v>
      </c>
      <c r="E29" s="4" t="s">
        <v>1288</v>
      </c>
      <c r="F29" s="4" t="s">
        <v>1289</v>
      </c>
      <c r="G29" s="4" t="n">
        <f aca="false">COUNTA(13B_PROTECTION_FULL!A2:A1000)</f>
        <v>16</v>
      </c>
      <c r="I29" s="4" t="s">
        <v>1290</v>
      </c>
      <c r="J29" s="4" t="s">
        <v>1291</v>
      </c>
      <c r="K29" s="4" t="n">
        <f aca="false">COUNTA(17_LEGAL_PRACTICE_MATRIX!A2:A100)</f>
        <v>12</v>
      </c>
    </row>
    <row r="30" customFormat="false" ht="28.35" hidden="false" customHeight="false" outlineLevel="0" collapsed="false">
      <c r="A30" s="4" t="s">
        <v>1292</v>
      </c>
      <c r="B30" s="4" t="s">
        <v>1293</v>
      </c>
      <c r="C30" s="4" t="n">
        <f aca="false">COUNTA(13_PROTECTION_INVENTORY!A2:A1000)</f>
        <v>12</v>
      </c>
      <c r="E30" s="4" t="s">
        <v>1294</v>
      </c>
      <c r="F30" s="4" t="s">
        <v>1295</v>
      </c>
      <c r="G30" s="4" t="n">
        <f aca="false">COUNTIFS(13B_PROTECTION_FULL!E2:E1000,"&gt;=2021",13B_PROTECTION_FULL!E2:E1000,"&lt;=2025")</f>
        <v>14</v>
      </c>
      <c r="I30" s="4" t="s">
        <v>1296</v>
      </c>
      <c r="J30" s="4" t="s">
        <v>1297</v>
      </c>
      <c r="K30" s="4" t="n">
        <f aca="false">COUNTA(18_INTERVIEW_GUIDE!A4:A100)</f>
        <v>15</v>
      </c>
    </row>
    <row r="31" customFormat="false" ht="28.35" hidden="false" customHeight="false" outlineLevel="0" collapsed="false">
      <c r="A31" s="4" t="s">
        <v>1298</v>
      </c>
      <c r="B31" s="4" t="s">
        <v>1299</v>
      </c>
      <c r="C31" s="4" t="n">
        <f aca="false">COUNTIFS(13_PROTECTION_INVENTORY!E2:E1000,"&gt;=2021",13_PROTECTION_INVENTORY!E2:E1000,"&lt;=2025")</f>
        <v>11</v>
      </c>
      <c r="E31" s="4" t="s">
        <v>1300</v>
      </c>
      <c r="F31" s="4" t="s">
        <v>1301</v>
      </c>
      <c r="G31" s="4" t="n">
        <f aca="false">COUNTIF(13B_PROTECTION_FULL!J2:J1000,"Trực tiếp ĐHTĐ")</f>
        <v>12</v>
      </c>
      <c r="I31" s="4" t="s">
        <v>1302</v>
      </c>
      <c r="J31" s="4" t="s">
        <v>1303</v>
      </c>
      <c r="K31" s="4" t="n">
        <f aca="false">COUNTA(19_CASE_TRACE!A2:A100)</f>
        <v>6</v>
      </c>
    </row>
    <row r="32" customFormat="false" ht="28.35" hidden="false" customHeight="false" outlineLevel="0" collapsed="false">
      <c r="A32" s="4" t="s">
        <v>1304</v>
      </c>
      <c r="B32" s="4" t="s">
        <v>1305</v>
      </c>
      <c r="C32" s="4" t="n">
        <f aca="false">COUNTA(14_PROJECT_PROTECTION_LINK!A2:A1000)</f>
        <v>2</v>
      </c>
      <c r="E32" s="4" t="s">
        <v>1306</v>
      </c>
      <c r="F32" s="4" t="s">
        <v>1307</v>
      </c>
      <c r="G32" s="4" t="n">
        <f aca="false">COUNTIFS(13B_PROTECTION_FULL!J2:J1000,"Trực tiếp ĐHTĐ",13B_PROTECTION_FULL!E2:E1000,"&gt;=2021",13B_PROTECTION_FULL!E2:E1000,"&lt;=2025")</f>
        <v>11</v>
      </c>
      <c r="I32" s="4" t="s">
        <v>1308</v>
      </c>
      <c r="J32" s="4" t="s">
        <v>1309</v>
      </c>
      <c r="K32" s="4" t="n">
        <v>0</v>
      </c>
    </row>
    <row r="33" customFormat="false" ht="28.35" hidden="false" customHeight="false" outlineLevel="0" collapsed="false">
      <c r="A33" s="4" t="s">
        <v>1310</v>
      </c>
      <c r="B33" s="4" t="s">
        <v>1311</v>
      </c>
      <c r="C33" s="4" t="n">
        <f aca="false">COUNTIF(15_KNOWLEDGE_IP_CHAIN!H2:H39,"&gt;0")</f>
        <v>2</v>
      </c>
      <c r="E33" s="4" t="s">
        <v>1312</v>
      </c>
      <c r="F33" s="4" t="s">
        <v>1313</v>
      </c>
      <c r="G33" s="4" t="n">
        <f aca="false">COUNTIFS(13B_PROTECTION_FULL!J2:J1000,"Trực tiếp ĐHTĐ",13B_PROTECTION_FULL!E2:E1000,"&gt;=2021",13B_PROTECTION_FULL!E2:E1000,"&lt;=2025",13B_PROTECTION_FULL!I2:I1000,"Đã có số đăng ký")+COUNTIFS(13B_PROTECTION_FULL!J2:J1000,"Trực tiếp ĐHTĐ",13B_PROTECTION_FULL!E2:E1000,"&gt;=2021",13B_PROTECTION_FULL!E2:E1000,"&lt;=2025",13B_PROTECTION_FULL!I2:I1000,"Đã có số văn bằng/ký hiệu")+COUNTIFS(13B_PROTECTION_FULL!J2:J1000,"Trực tiếp ĐHTĐ",13B_PROTECTION_FULL!E2:E1000,"&gt;=2021",13B_PROTECTION_FULL!E2:E1000,"&lt;=2025",13B_PROTECTION_FULL!I2:I1000,"Đã có số/ký mã hiệu")</f>
        <v>9</v>
      </c>
      <c r="I33" s="4" t="s">
        <v>1314</v>
      </c>
      <c r="J33" s="4" t="s">
        <v>1315</v>
      </c>
      <c r="K33" s="4" t="n">
        <v>1</v>
      </c>
    </row>
    <row r="34" customFormat="false" ht="15" hidden="false" customHeight="false" outlineLevel="0" collapsed="false">
      <c r="A34" s="4" t="s">
        <v>1316</v>
      </c>
      <c r="B34" s="4" t="s">
        <v>1317</v>
      </c>
      <c r="C34" s="4" t="n">
        <f aca="false">COUNTIF(15_KNOWLEDGE_IP_CHAIN!G2:G39,"&gt;0")</f>
        <v>12</v>
      </c>
      <c r="E34" s="4" t="s">
        <v>1318</v>
      </c>
      <c r="F34" s="4" t="s">
        <v>616</v>
      </c>
      <c r="G34" s="4" t="n">
        <f aca="false">COUNTIFS(13B_PROTECTION_FULL!J2:J1000,"Trực tiếp ĐHTĐ",13B_PROTECTION_FULL!I2:I1000,"Tiếp nhận đơn; chưa coi là đã được cấp")</f>
        <v>1</v>
      </c>
      <c r="I34" s="4" t="s">
        <v>1319</v>
      </c>
      <c r="J34" s="4" t="s">
        <v>1320</v>
      </c>
      <c r="K34" s="4"/>
    </row>
    <row r="35" customFormat="false" ht="28.35" hidden="false" customHeight="false" outlineLevel="0" collapsed="false">
      <c r="A35" s="4" t="s">
        <v>1321</v>
      </c>
      <c r="B35" s="4" t="s">
        <v>1322</v>
      </c>
      <c r="C35" s="4" t="n">
        <f aca="false">COUNTIFS(15_KNOWLEDGE_IP_CHAIN!L2:L39,"&gt;0",15_KNOWLEDGE_IP_CHAIN!H2:H39,0)</f>
        <v>7</v>
      </c>
      <c r="E35" s="4" t="s">
        <v>1323</v>
      </c>
      <c r="F35" s="4" t="s">
        <v>1324</v>
      </c>
      <c r="G35" s="4" t="n">
        <f aca="false">COUNTIFS(13B_PROTECTION_FULL!J2:J1000,"Trực tiếp ĐHTĐ",13B_PROTECTION_FULL!B2:B1000,"Sáng chế",13B_PROTECTION_FULL!I2:I1000,"Có trong danh sách; chưa có số/ký mã hiệu trong nguồn")</f>
        <v>2</v>
      </c>
      <c r="I35" s="4" t="s">
        <v>1325</v>
      </c>
      <c r="J35" s="4" t="s">
        <v>1326</v>
      </c>
      <c r="K35" s="4"/>
    </row>
    <row r="36" customFormat="false" ht="41.75" hidden="false" customHeight="false" outlineLevel="0" collapsed="false">
      <c r="A36" s="4" t="s">
        <v>1112</v>
      </c>
      <c r="B36" s="4" t="s">
        <v>1327</v>
      </c>
      <c r="C36" s="4"/>
      <c r="E36" s="4" t="s">
        <v>1328</v>
      </c>
      <c r="F36" s="4" t="s">
        <v>1329</v>
      </c>
      <c r="G36" s="4"/>
      <c r="I36" s="4" t="s">
        <v>1330</v>
      </c>
      <c r="J36" s="4" t="s">
        <v>1331</v>
      </c>
      <c r="K36" s="4"/>
    </row>
  </sheetData>
  <mergeCells count="2">
    <mergeCell ref="A1:H1"/>
    <mergeCell ref="A25:H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14"/>
    <col collapsed="false" customWidth="true" hidden="false" outlineLevel="0" max="4" min="4" style="1" width="28"/>
    <col collapsed="false" customWidth="true" hidden="false" outlineLevel="0" max="5" min="5" style="1" width="62"/>
    <col collapsed="false" customWidth="true" hidden="false" outlineLevel="0" max="6" min="6" style="1" width="20"/>
    <col collapsed="false" customWidth="true" hidden="false" outlineLevel="0" max="7" min="7" style="1" width="42"/>
    <col collapsed="false" customWidth="true" hidden="false" outlineLevel="0" max="8" min="8" style="1" width="44"/>
    <col collapsed="false" customWidth="true" hidden="false" outlineLevel="0" max="9" min="9" style="1" width="8"/>
    <col collapsed="false" customWidth="true" hidden="false" outlineLevel="0" max="10" min="10" style="1" width="24"/>
    <col collapsed="false" customWidth="true" hidden="false" outlineLevel="0" max="11" min="11" style="1" width="42"/>
    <col collapsed="false" customWidth="true" hidden="false" outlineLevel="0" max="12" min="12" style="1" width="14"/>
    <col collapsed="false" customWidth="true" hidden="false" outlineLevel="0" max="13" min="13" style="1" width="58"/>
    <col collapsed="false" customWidth="true" hidden="false" outlineLevel="0" max="14" min="14" style="1" width="48"/>
  </cols>
  <sheetData>
    <row r="1" customFormat="false" ht="15" hidden="false" customHeight="false" outlineLevel="0" collapsed="false">
      <c r="A1" s="3" t="s">
        <v>1332</v>
      </c>
      <c r="B1" s="3" t="s">
        <v>296</v>
      </c>
      <c r="C1" s="3" t="s">
        <v>56</v>
      </c>
      <c r="D1" s="3" t="s">
        <v>1333</v>
      </c>
      <c r="E1" s="3" t="s">
        <v>1334</v>
      </c>
      <c r="F1" s="3" t="s">
        <v>1335</v>
      </c>
      <c r="G1" s="3" t="s">
        <v>1336</v>
      </c>
      <c r="H1" s="3" t="s">
        <v>583</v>
      </c>
      <c r="I1" s="3" t="s">
        <v>297</v>
      </c>
      <c r="J1" s="3" t="s">
        <v>1337</v>
      </c>
      <c r="K1" s="3" t="s">
        <v>1109</v>
      </c>
      <c r="L1" s="3" t="s">
        <v>1338</v>
      </c>
      <c r="M1" s="3" t="s">
        <v>1339</v>
      </c>
      <c r="N1" s="3" t="s">
        <v>1340</v>
      </c>
    </row>
    <row r="2" customFormat="false" ht="15" hidden="false" customHeight="false" outlineLevel="0" collapsed="false">
      <c r="A2" s="1" t="s">
        <v>1341</v>
      </c>
      <c r="B2" s="1" t="s">
        <v>329</v>
      </c>
      <c r="C2" s="1" t="s">
        <v>96</v>
      </c>
      <c r="D2" s="1" t="s">
        <v>1342</v>
      </c>
      <c r="E2" s="1" t="s">
        <v>1343</v>
      </c>
      <c r="F2" s="1" t="s">
        <v>1344</v>
      </c>
      <c r="G2" s="1" t="s">
        <v>1345</v>
      </c>
      <c r="H2" s="1" t="s">
        <v>1346</v>
      </c>
      <c r="I2" s="1" t="n">
        <v>2021</v>
      </c>
      <c r="J2" s="1" t="s">
        <v>1347</v>
      </c>
      <c r="L2" s="1" t="s">
        <v>358</v>
      </c>
      <c r="M2" s="1" t="s">
        <v>1348</v>
      </c>
      <c r="N2" s="1" t="s">
        <v>1349</v>
      </c>
    </row>
    <row r="3" customFormat="false" ht="15" hidden="false" customHeight="false" outlineLevel="0" collapsed="false">
      <c r="A3" s="1" t="s">
        <v>1350</v>
      </c>
      <c r="B3" s="1" t="s">
        <v>332</v>
      </c>
      <c r="C3" s="1" t="s">
        <v>102</v>
      </c>
      <c r="D3" s="1" t="s">
        <v>1342</v>
      </c>
      <c r="E3" s="1" t="s">
        <v>1351</v>
      </c>
      <c r="F3" s="1" t="s">
        <v>1114</v>
      </c>
      <c r="G3" s="1" t="s">
        <v>1352</v>
      </c>
      <c r="H3" s="1" t="s">
        <v>1353</v>
      </c>
      <c r="I3" s="1" t="n">
        <v>2021</v>
      </c>
      <c r="J3" s="1" t="s">
        <v>1354</v>
      </c>
      <c r="K3" s="1" t="s">
        <v>1355</v>
      </c>
      <c r="L3" s="1" t="s">
        <v>358</v>
      </c>
      <c r="M3" s="1" t="s">
        <v>1356</v>
      </c>
      <c r="N3" s="1" t="s">
        <v>1357</v>
      </c>
    </row>
    <row r="4" customFormat="false" ht="15" hidden="false" customHeight="false" outlineLevel="0" collapsed="false">
      <c r="A4" s="1" t="s">
        <v>1358</v>
      </c>
      <c r="B4" s="1" t="s">
        <v>333</v>
      </c>
      <c r="C4" s="1" t="s">
        <v>102</v>
      </c>
      <c r="D4" s="1" t="s">
        <v>1359</v>
      </c>
      <c r="E4" s="1" t="s">
        <v>1360</v>
      </c>
      <c r="F4" s="1" t="s">
        <v>1344</v>
      </c>
      <c r="G4" s="1" t="s">
        <v>1345</v>
      </c>
      <c r="H4" s="1" t="s">
        <v>1361</v>
      </c>
      <c r="I4" s="1" t="n">
        <v>2022</v>
      </c>
      <c r="J4" s="1" t="s">
        <v>1362</v>
      </c>
      <c r="L4" s="1" t="s">
        <v>358</v>
      </c>
      <c r="M4" s="1" t="s">
        <v>1363</v>
      </c>
      <c r="N4" s="1" t="s">
        <v>1349</v>
      </c>
    </row>
    <row r="5" customFormat="false" ht="15" hidden="false" customHeight="false" outlineLevel="0" collapsed="false">
      <c r="A5" s="1" t="s">
        <v>1364</v>
      </c>
      <c r="B5" s="1" t="s">
        <v>335</v>
      </c>
      <c r="C5" s="1" t="s">
        <v>107</v>
      </c>
      <c r="D5" s="1" t="s">
        <v>1342</v>
      </c>
      <c r="E5" s="1" t="s">
        <v>109</v>
      </c>
      <c r="F5" s="1" t="s">
        <v>1344</v>
      </c>
      <c r="G5" s="1" t="s">
        <v>1365</v>
      </c>
      <c r="H5" s="1" t="s">
        <v>1366</v>
      </c>
      <c r="I5" s="1" t="n">
        <v>2021</v>
      </c>
      <c r="J5" s="1" t="s">
        <v>1367</v>
      </c>
      <c r="L5" s="1" t="s">
        <v>650</v>
      </c>
      <c r="M5" s="1" t="s">
        <v>1368</v>
      </c>
      <c r="N5" s="1" t="s">
        <v>1349</v>
      </c>
    </row>
    <row r="6" customFormat="false" ht="15" hidden="false" customHeight="false" outlineLevel="0" collapsed="false">
      <c r="A6" s="1" t="s">
        <v>1369</v>
      </c>
      <c r="B6" s="1" t="s">
        <v>384</v>
      </c>
      <c r="C6" s="1" t="s">
        <v>180</v>
      </c>
      <c r="D6" s="1" t="s">
        <v>1342</v>
      </c>
      <c r="E6" s="1" t="s">
        <v>1370</v>
      </c>
      <c r="F6" s="1" t="s">
        <v>1371</v>
      </c>
      <c r="G6" s="1" t="s">
        <v>1372</v>
      </c>
      <c r="H6" s="1" t="s">
        <v>1373</v>
      </c>
      <c r="I6" s="1" t="n">
        <v>2023</v>
      </c>
      <c r="J6" s="1" t="s">
        <v>1374</v>
      </c>
      <c r="L6" s="1" t="s">
        <v>650</v>
      </c>
      <c r="M6" s="1" t="s">
        <v>1375</v>
      </c>
      <c r="N6" s="1" t="s">
        <v>1376</v>
      </c>
    </row>
    <row r="7" customFormat="false" ht="15" hidden="false" customHeight="false" outlineLevel="0" collapsed="false">
      <c r="A7" s="1" t="s">
        <v>1377</v>
      </c>
      <c r="B7" s="1" t="s">
        <v>402</v>
      </c>
      <c r="C7" s="1" t="s">
        <v>193</v>
      </c>
      <c r="D7" s="1" t="s">
        <v>1342</v>
      </c>
      <c r="E7" s="1" t="s">
        <v>195</v>
      </c>
      <c r="F7" s="1" t="s">
        <v>1344</v>
      </c>
      <c r="G7" s="1" t="s">
        <v>1378</v>
      </c>
      <c r="H7" s="1" t="s">
        <v>1379</v>
      </c>
      <c r="I7" s="1" t="n">
        <v>2023</v>
      </c>
      <c r="J7" s="1" t="s">
        <v>1380</v>
      </c>
      <c r="L7" s="1" t="s">
        <v>650</v>
      </c>
      <c r="M7" s="1" t="s">
        <v>1381</v>
      </c>
      <c r="N7" s="1" t="s">
        <v>1349</v>
      </c>
    </row>
    <row r="8" customFormat="false" ht="15" hidden="false" customHeight="false" outlineLevel="0" collapsed="false">
      <c r="A8" s="1" t="s">
        <v>1382</v>
      </c>
      <c r="B8" s="1" t="s">
        <v>413</v>
      </c>
      <c r="C8" s="1" t="s">
        <v>207</v>
      </c>
      <c r="D8" s="1" t="s">
        <v>1342</v>
      </c>
      <c r="E8" s="1" t="s">
        <v>1383</v>
      </c>
      <c r="F8" s="1" t="s">
        <v>1344</v>
      </c>
      <c r="G8" s="1" t="s">
        <v>1345</v>
      </c>
      <c r="H8" s="1" t="s">
        <v>1384</v>
      </c>
      <c r="I8" s="1" t="n">
        <v>2024</v>
      </c>
      <c r="J8" s="1" t="s">
        <v>1385</v>
      </c>
      <c r="L8" s="1" t="s">
        <v>358</v>
      </c>
      <c r="M8" s="1" t="s">
        <v>1386</v>
      </c>
      <c r="N8" s="1" t="s">
        <v>1349</v>
      </c>
    </row>
    <row r="9" customFormat="false" ht="15" hidden="false" customHeight="false" outlineLevel="0" collapsed="false">
      <c r="A9" s="1" t="s">
        <v>1387</v>
      </c>
      <c r="B9" s="1" t="s">
        <v>424</v>
      </c>
      <c r="C9" s="1" t="s">
        <v>214</v>
      </c>
      <c r="D9" s="1" t="s">
        <v>1342</v>
      </c>
      <c r="E9" s="1" t="s">
        <v>1388</v>
      </c>
      <c r="F9" s="1" t="s">
        <v>1344</v>
      </c>
      <c r="G9" s="1" t="s">
        <v>1389</v>
      </c>
      <c r="H9" s="1" t="s">
        <v>1390</v>
      </c>
      <c r="I9" s="1" t="n">
        <v>2025</v>
      </c>
      <c r="J9" s="1" t="s">
        <v>1391</v>
      </c>
      <c r="K9" s="1" t="s">
        <v>1392</v>
      </c>
      <c r="L9" s="1" t="s">
        <v>358</v>
      </c>
      <c r="M9" s="1" t="s">
        <v>1393</v>
      </c>
      <c r="N9" s="1" t="s">
        <v>1349</v>
      </c>
    </row>
    <row r="10" customFormat="false" ht="15" hidden="false" customHeight="false" outlineLevel="0" collapsed="false">
      <c r="A10" s="1" t="s">
        <v>1394</v>
      </c>
      <c r="B10" s="1" t="s">
        <v>469</v>
      </c>
      <c r="C10" s="1" t="s">
        <v>234</v>
      </c>
      <c r="D10" s="1" t="s">
        <v>1342</v>
      </c>
      <c r="E10" s="1" t="s">
        <v>1395</v>
      </c>
      <c r="F10" s="1" t="s">
        <v>1344</v>
      </c>
      <c r="G10" s="1" t="s">
        <v>1345</v>
      </c>
      <c r="H10" s="1" t="s">
        <v>1396</v>
      </c>
      <c r="I10" s="1" t="n">
        <v>2024</v>
      </c>
      <c r="J10" s="1" t="s">
        <v>1397</v>
      </c>
      <c r="L10" s="1" t="s">
        <v>650</v>
      </c>
      <c r="M10" s="1" t="s">
        <v>1398</v>
      </c>
      <c r="N10" s="1" t="s">
        <v>1349</v>
      </c>
    </row>
    <row r="11" customFormat="false" ht="15" hidden="false" customHeight="false" outlineLevel="0" collapsed="false">
      <c r="A11" s="1" t="s">
        <v>1399</v>
      </c>
      <c r="B11" s="1" t="s">
        <v>471</v>
      </c>
      <c r="C11" s="1" t="s">
        <v>238</v>
      </c>
      <c r="D11" s="1" t="s">
        <v>1342</v>
      </c>
      <c r="E11" s="1" t="s">
        <v>1400</v>
      </c>
      <c r="F11" s="1" t="s">
        <v>1344</v>
      </c>
      <c r="G11" s="1" t="s">
        <v>1389</v>
      </c>
      <c r="H11" s="1" t="s">
        <v>1401</v>
      </c>
      <c r="I11" s="1" t="n">
        <v>2024</v>
      </c>
      <c r="J11" s="1" t="s">
        <v>1402</v>
      </c>
      <c r="K11" s="1" t="s">
        <v>1403</v>
      </c>
      <c r="L11" s="1" t="s">
        <v>650</v>
      </c>
      <c r="M11" s="1" t="s">
        <v>1404</v>
      </c>
      <c r="N11" s="1" t="s">
        <v>1349</v>
      </c>
    </row>
    <row r="12" customFormat="false" ht="15" hidden="false" customHeight="false" outlineLevel="0" collapsed="false">
      <c r="A12" s="1" t="s">
        <v>1405</v>
      </c>
      <c r="B12" s="1" t="s">
        <v>476</v>
      </c>
      <c r="C12" s="1" t="s">
        <v>246</v>
      </c>
      <c r="D12" s="1" t="s">
        <v>1342</v>
      </c>
      <c r="E12" s="1" t="s">
        <v>1406</v>
      </c>
      <c r="F12" s="1" t="s">
        <v>1114</v>
      </c>
      <c r="G12" s="1" t="s">
        <v>1407</v>
      </c>
      <c r="H12" s="1" t="s">
        <v>175</v>
      </c>
      <c r="I12" s="1" t="n">
        <v>2024</v>
      </c>
      <c r="J12" s="1" t="s">
        <v>1408</v>
      </c>
      <c r="K12" s="1" t="s">
        <v>1409</v>
      </c>
      <c r="L12" s="1" t="s">
        <v>650</v>
      </c>
      <c r="M12" s="1" t="s">
        <v>1410</v>
      </c>
      <c r="N12" s="1" t="s">
        <v>1357</v>
      </c>
    </row>
    <row r="13" customFormat="false" ht="15" hidden="false" customHeight="false" outlineLevel="0" collapsed="false">
      <c r="A13" s="1" t="s">
        <v>1411</v>
      </c>
      <c r="B13" s="1" t="s">
        <v>479</v>
      </c>
      <c r="C13" s="1" t="s">
        <v>250</v>
      </c>
      <c r="D13" s="1" t="s">
        <v>1342</v>
      </c>
      <c r="E13" s="1" t="s">
        <v>1412</v>
      </c>
      <c r="F13" s="1" t="s">
        <v>1344</v>
      </c>
      <c r="G13" s="1" t="s">
        <v>1389</v>
      </c>
      <c r="H13" s="1" t="s">
        <v>1413</v>
      </c>
      <c r="I13" s="1" t="n">
        <v>2025</v>
      </c>
      <c r="J13" s="1" t="s">
        <v>1391</v>
      </c>
      <c r="K13" s="1" t="s">
        <v>1414</v>
      </c>
      <c r="L13" s="1" t="s">
        <v>650</v>
      </c>
      <c r="M13" s="1" t="s">
        <v>1415</v>
      </c>
      <c r="N13" s="1" t="s">
        <v>1349</v>
      </c>
    </row>
    <row r="14" customFormat="false" ht="15" hidden="false" customHeight="false" outlineLevel="0" collapsed="false">
      <c r="A14" s="1" t="s">
        <v>1416</v>
      </c>
      <c r="B14" s="1" t="s">
        <v>488</v>
      </c>
      <c r="C14" s="1" t="s">
        <v>262</v>
      </c>
      <c r="D14" s="1" t="s">
        <v>1342</v>
      </c>
      <c r="E14" s="1" t="s">
        <v>1417</v>
      </c>
      <c r="F14" s="1" t="s">
        <v>1344</v>
      </c>
      <c r="G14" s="1" t="s">
        <v>1418</v>
      </c>
      <c r="H14" s="1" t="s">
        <v>1419</v>
      </c>
      <c r="I14" s="1" t="n">
        <v>2025</v>
      </c>
      <c r="J14" s="1" t="s">
        <v>1420</v>
      </c>
      <c r="K14" s="1" t="s">
        <v>1421</v>
      </c>
      <c r="L14" s="1" t="s">
        <v>358</v>
      </c>
      <c r="M14" s="1" t="s">
        <v>1422</v>
      </c>
      <c r="N14" s="1" t="s">
        <v>1349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62"/>
    <col collapsed="false" customWidth="true" hidden="false" outlineLevel="0" max="4" min="4" style="1" width="20"/>
    <col collapsed="false" customWidth="true" hidden="false" outlineLevel="0" max="5" min="5" style="1" width="8"/>
    <col collapsed="false" customWidth="true" hidden="false" outlineLevel="0" max="6" min="6" style="1" width="30"/>
    <col collapsed="false" customWidth="true" hidden="false" outlineLevel="0" max="7" min="7" style="1" width="24"/>
    <col collapsed="false" customWidth="true" hidden="false" outlineLevel="0" max="8" min="8" style="1" width="34"/>
    <col collapsed="false" customWidth="true" hidden="false" outlineLevel="0" max="10" min="9" style="1" width="16"/>
    <col collapsed="false" customWidth="true" hidden="false" outlineLevel="0" max="11" min="11" style="1" width="48"/>
    <col collapsed="false" customWidth="true" hidden="false" outlineLevel="0" max="12" min="12" style="1" width="58"/>
  </cols>
  <sheetData>
    <row r="1" customFormat="false" ht="28.35" hidden="false" customHeight="false" outlineLevel="0" collapsed="false">
      <c r="A1" s="3" t="s">
        <v>1000</v>
      </c>
      <c r="B1" s="3" t="s">
        <v>1423</v>
      </c>
      <c r="C1" s="3" t="s">
        <v>1424</v>
      </c>
      <c r="D1" s="3" t="s">
        <v>1425</v>
      </c>
      <c r="E1" s="3" t="s">
        <v>297</v>
      </c>
      <c r="F1" s="3" t="s">
        <v>1426</v>
      </c>
      <c r="G1" s="3" t="s">
        <v>572</v>
      </c>
      <c r="H1" s="3" t="s">
        <v>1427</v>
      </c>
      <c r="I1" s="3" t="s">
        <v>575</v>
      </c>
      <c r="J1" s="3" t="s">
        <v>576</v>
      </c>
      <c r="K1" s="3" t="s">
        <v>72</v>
      </c>
      <c r="L1" s="3" t="s">
        <v>1112</v>
      </c>
    </row>
    <row r="2" customFormat="false" ht="15" hidden="false" customHeight="false" outlineLevel="0" collapsed="false">
      <c r="A2" s="1" t="s">
        <v>1428</v>
      </c>
      <c r="B2" s="1" t="s">
        <v>579</v>
      </c>
      <c r="C2" s="1" t="s">
        <v>580</v>
      </c>
      <c r="D2" s="1" t="s">
        <v>581</v>
      </c>
      <c r="E2" s="1" t="n">
        <v>2021</v>
      </c>
      <c r="F2" s="1" t="s">
        <v>582</v>
      </c>
      <c r="G2" s="1" t="s">
        <v>584</v>
      </c>
      <c r="H2" s="1" t="s">
        <v>585</v>
      </c>
      <c r="K2" s="1" t="s">
        <v>1429</v>
      </c>
      <c r="L2" s="1" t="s">
        <v>1430</v>
      </c>
    </row>
    <row r="3" customFormat="false" ht="15" hidden="false" customHeight="false" outlineLevel="0" collapsed="false">
      <c r="A3" s="1" t="s">
        <v>1431</v>
      </c>
      <c r="B3" s="1" t="s">
        <v>579</v>
      </c>
      <c r="C3" s="1" t="s">
        <v>594</v>
      </c>
      <c r="D3" s="1" t="s">
        <v>595</v>
      </c>
      <c r="E3" s="1" t="n">
        <v>2023</v>
      </c>
      <c r="F3" s="1" t="s">
        <v>582</v>
      </c>
      <c r="G3" s="1" t="s">
        <v>584</v>
      </c>
      <c r="H3" s="1" t="s">
        <v>585</v>
      </c>
      <c r="K3" s="1" t="s">
        <v>1429</v>
      </c>
    </row>
    <row r="4" customFormat="false" ht="15" hidden="false" customHeight="false" outlineLevel="0" collapsed="false">
      <c r="A4" s="1" t="s">
        <v>1432</v>
      </c>
      <c r="B4" s="1" t="s">
        <v>602</v>
      </c>
      <c r="C4" s="1" t="s">
        <v>610</v>
      </c>
      <c r="D4" s="1" t="s">
        <v>611</v>
      </c>
      <c r="E4" s="1" t="n">
        <v>2023</v>
      </c>
      <c r="F4" s="1" t="s">
        <v>605</v>
      </c>
      <c r="G4" s="1" t="s">
        <v>584</v>
      </c>
      <c r="H4" s="1" t="s">
        <v>1433</v>
      </c>
      <c r="K4" s="1" t="s">
        <v>1429</v>
      </c>
    </row>
    <row r="5" customFormat="false" ht="15" hidden="false" customHeight="false" outlineLevel="0" collapsed="false">
      <c r="A5" s="1" t="s">
        <v>1434</v>
      </c>
      <c r="B5" s="1" t="s">
        <v>602</v>
      </c>
      <c r="C5" s="1" t="s">
        <v>613</v>
      </c>
      <c r="D5" s="1" t="s">
        <v>614</v>
      </c>
      <c r="E5" s="1" t="n">
        <v>2025</v>
      </c>
      <c r="F5" s="1" t="s">
        <v>605</v>
      </c>
      <c r="G5" s="1" t="s">
        <v>584</v>
      </c>
      <c r="H5" s="1" t="s">
        <v>1433</v>
      </c>
      <c r="K5" s="1" t="s">
        <v>1429</v>
      </c>
    </row>
    <row r="6" customFormat="false" ht="15" hidden="false" customHeight="false" outlineLevel="0" collapsed="false">
      <c r="A6" s="1" t="s">
        <v>1435</v>
      </c>
      <c r="B6" s="1" t="s">
        <v>602</v>
      </c>
      <c r="C6" s="1" t="s">
        <v>616</v>
      </c>
      <c r="E6" s="1" t="n">
        <v>2023</v>
      </c>
      <c r="F6" s="1" t="s">
        <v>605</v>
      </c>
      <c r="G6" s="1" t="s">
        <v>1436</v>
      </c>
      <c r="H6" s="1" t="s">
        <v>617</v>
      </c>
      <c r="K6" s="1" t="s">
        <v>1429</v>
      </c>
      <c r="L6" s="1" t="s">
        <v>1437</v>
      </c>
    </row>
    <row r="7" customFormat="false" ht="15" hidden="false" customHeight="false" outlineLevel="0" collapsed="false">
      <c r="A7" s="1" t="s">
        <v>1438</v>
      </c>
      <c r="B7" s="1" t="s">
        <v>627</v>
      </c>
      <c r="C7" s="1" t="s">
        <v>628</v>
      </c>
      <c r="D7" s="1" t="s">
        <v>629</v>
      </c>
      <c r="E7" s="1" t="n">
        <v>2024</v>
      </c>
      <c r="F7" s="1" t="s">
        <v>605</v>
      </c>
      <c r="G7" s="1" t="s">
        <v>1436</v>
      </c>
      <c r="H7" s="1" t="s">
        <v>630</v>
      </c>
      <c r="K7" s="1" t="s">
        <v>1429</v>
      </c>
    </row>
    <row r="8" customFormat="false" ht="15" hidden="false" customHeight="false" outlineLevel="0" collapsed="false">
      <c r="A8" s="1" t="s">
        <v>1439</v>
      </c>
      <c r="B8" s="1" t="s">
        <v>627</v>
      </c>
      <c r="C8" s="1" t="s">
        <v>632</v>
      </c>
      <c r="D8" s="1" t="s">
        <v>633</v>
      </c>
      <c r="E8" s="1" t="n">
        <v>2024</v>
      </c>
      <c r="F8" s="1" t="s">
        <v>605</v>
      </c>
      <c r="G8" s="1" t="s">
        <v>1436</v>
      </c>
      <c r="H8" s="1" t="s">
        <v>630</v>
      </c>
      <c r="I8" s="1" t="s">
        <v>207</v>
      </c>
      <c r="J8" s="1" t="s">
        <v>358</v>
      </c>
      <c r="K8" s="1" t="s">
        <v>1429</v>
      </c>
      <c r="L8" s="1" t="s">
        <v>1440</v>
      </c>
    </row>
    <row r="9" customFormat="false" ht="15" hidden="false" customHeight="false" outlineLevel="0" collapsed="false">
      <c r="A9" s="1" t="s">
        <v>1441</v>
      </c>
      <c r="B9" s="1" t="s">
        <v>627</v>
      </c>
      <c r="C9" s="1" t="s">
        <v>636</v>
      </c>
      <c r="D9" s="1" t="s">
        <v>637</v>
      </c>
      <c r="E9" s="1" t="n">
        <v>2024</v>
      </c>
      <c r="F9" s="1" t="s">
        <v>605</v>
      </c>
      <c r="G9" s="1" t="s">
        <v>1436</v>
      </c>
      <c r="H9" s="1" t="s">
        <v>630</v>
      </c>
      <c r="K9" s="1" t="s">
        <v>1429</v>
      </c>
    </row>
    <row r="10" customFormat="false" ht="15" hidden="false" customHeight="false" outlineLevel="0" collapsed="false">
      <c r="A10" s="1" t="s">
        <v>1442</v>
      </c>
      <c r="B10" s="1" t="s">
        <v>627</v>
      </c>
      <c r="C10" s="1" t="s">
        <v>640</v>
      </c>
      <c r="D10" s="1" t="s">
        <v>641</v>
      </c>
      <c r="E10" s="1" t="n">
        <v>2024</v>
      </c>
      <c r="F10" s="1" t="s">
        <v>605</v>
      </c>
      <c r="G10" s="1" t="s">
        <v>1436</v>
      </c>
      <c r="H10" s="1" t="s">
        <v>630</v>
      </c>
      <c r="K10" s="1" t="s">
        <v>1429</v>
      </c>
    </row>
    <row r="11" customFormat="false" ht="15" hidden="false" customHeight="false" outlineLevel="0" collapsed="false">
      <c r="A11" s="1" t="s">
        <v>1443</v>
      </c>
      <c r="B11" s="1" t="s">
        <v>627</v>
      </c>
      <c r="C11" s="1" t="s">
        <v>643</v>
      </c>
      <c r="D11" s="1" t="s">
        <v>644</v>
      </c>
      <c r="E11" s="1" t="n">
        <v>2024</v>
      </c>
      <c r="F11" s="1" t="s">
        <v>605</v>
      </c>
      <c r="G11" s="1" t="s">
        <v>1436</v>
      </c>
      <c r="H11" s="1" t="s">
        <v>630</v>
      </c>
      <c r="K11" s="1" t="s">
        <v>1429</v>
      </c>
    </row>
    <row r="12" customFormat="false" ht="15" hidden="false" customHeight="false" outlineLevel="0" collapsed="false">
      <c r="A12" s="1" t="s">
        <v>1444</v>
      </c>
      <c r="B12" s="1" t="s">
        <v>646</v>
      </c>
      <c r="C12" s="1" t="s">
        <v>647</v>
      </c>
      <c r="E12" s="1" t="n">
        <v>2025</v>
      </c>
      <c r="F12" s="1" t="s">
        <v>605</v>
      </c>
      <c r="G12" s="1" t="s">
        <v>584</v>
      </c>
      <c r="H12" s="1" t="s">
        <v>1445</v>
      </c>
      <c r="I12" s="1" t="s">
        <v>288</v>
      </c>
      <c r="J12" s="1" t="s">
        <v>650</v>
      </c>
      <c r="K12" s="1" t="s">
        <v>1429</v>
      </c>
      <c r="L12" s="1" t="s">
        <v>1446</v>
      </c>
    </row>
    <row r="13" customFormat="false" ht="15" hidden="false" customHeight="false" outlineLevel="0" collapsed="false">
      <c r="A13" s="1" t="s">
        <v>1447</v>
      </c>
      <c r="B13" s="1" t="s">
        <v>646</v>
      </c>
      <c r="C13" s="1" t="s">
        <v>653</v>
      </c>
      <c r="E13" s="1" t="n">
        <v>2026</v>
      </c>
      <c r="F13" s="1" t="s">
        <v>605</v>
      </c>
      <c r="G13" s="1" t="s">
        <v>584</v>
      </c>
      <c r="H13" s="1" t="s">
        <v>1445</v>
      </c>
      <c r="K13" s="1" t="s">
        <v>1429</v>
      </c>
      <c r="L13" s="1" t="s">
        <v>1448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18"/>
    <col collapsed="false" customWidth="true" hidden="false" outlineLevel="0" max="4" min="4" style="1" width="16"/>
    <col collapsed="false" customWidth="true" hidden="false" outlineLevel="0" max="5" min="5" style="1" width="58"/>
    <col collapsed="false" customWidth="true" hidden="false" outlineLevel="0" max="6" min="6" style="1" width="15"/>
    <col collapsed="false" customWidth="true" hidden="false" outlineLevel="0" max="7" min="7" style="1" width="64"/>
    <col collapsed="false" customWidth="true" hidden="false" outlineLevel="0" max="8" min="8" style="1" width="58"/>
  </cols>
  <sheetData>
    <row r="1" customFormat="false" ht="15" hidden="false" customHeight="false" outlineLevel="0" collapsed="false">
      <c r="A1" s="3" t="s">
        <v>1332</v>
      </c>
      <c r="B1" s="3" t="s">
        <v>56</v>
      </c>
      <c r="C1" s="3" t="s">
        <v>296</v>
      </c>
      <c r="D1" s="3" t="s">
        <v>1000</v>
      </c>
      <c r="E1" s="3" t="s">
        <v>1449</v>
      </c>
      <c r="F1" s="3" t="s">
        <v>1338</v>
      </c>
      <c r="G1" s="3" t="s">
        <v>1450</v>
      </c>
      <c r="H1" s="3" t="s">
        <v>1451</v>
      </c>
    </row>
    <row r="2" customFormat="false" ht="15" hidden="false" customHeight="false" outlineLevel="0" collapsed="false">
      <c r="A2" s="1" t="s">
        <v>1452</v>
      </c>
      <c r="B2" s="1" t="s">
        <v>207</v>
      </c>
      <c r="C2" s="1" t="s">
        <v>415</v>
      </c>
      <c r="D2" s="1" t="s">
        <v>1439</v>
      </c>
      <c r="E2" s="1" t="s">
        <v>1453</v>
      </c>
      <c r="F2" s="1" t="s">
        <v>358</v>
      </c>
      <c r="G2" s="1" t="s">
        <v>1454</v>
      </c>
      <c r="H2" s="1" t="s">
        <v>1455</v>
      </c>
    </row>
    <row r="3" customFormat="false" ht="15" hidden="false" customHeight="false" outlineLevel="0" collapsed="false">
      <c r="A3" s="1" t="s">
        <v>1456</v>
      </c>
      <c r="B3" s="1" t="s">
        <v>288</v>
      </c>
      <c r="C3" s="1" t="s">
        <v>519</v>
      </c>
      <c r="D3" s="1" t="s">
        <v>1444</v>
      </c>
      <c r="E3" s="1" t="s">
        <v>1457</v>
      </c>
      <c r="F3" s="1" t="s">
        <v>650</v>
      </c>
      <c r="G3" s="1" t="s">
        <v>1458</v>
      </c>
      <c r="H3" s="1" t="s">
        <v>1459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8"/>
    <col collapsed="false" customWidth="true" hidden="false" outlineLevel="0" max="3" min="3" style="1" width="58"/>
    <col collapsed="false" customWidth="true" hidden="false" outlineLevel="0" max="4" min="4" style="1" width="24"/>
    <col collapsed="false" customWidth="true" hidden="false" outlineLevel="0" max="5" min="5" style="1" width="12"/>
    <col collapsed="false" customWidth="true" hidden="false" outlineLevel="0" max="6" min="6" style="1" width="16"/>
    <col collapsed="false" customWidth="true" hidden="false" outlineLevel="0" max="7" min="7" style="1" width="15"/>
    <col collapsed="false" customWidth="true" hidden="false" outlineLevel="0" max="8" min="8" style="1" width="17"/>
    <col collapsed="false" customWidth="true" hidden="false" outlineLevel="0" max="9" min="9" style="1" width="20"/>
    <col collapsed="false" customWidth="true" hidden="false" outlineLevel="0" max="10" min="10" style="1" width="34"/>
    <col collapsed="false" customWidth="true" hidden="false" outlineLevel="0" max="11" min="11" style="1" width="52"/>
    <col collapsed="false" customWidth="true" hidden="false" outlineLevel="0" max="12" min="12" style="1" width="16"/>
  </cols>
  <sheetData>
    <row r="1" customFormat="false" ht="28.35" hidden="false" customHeight="false" outlineLevel="0" collapsed="false">
      <c r="A1" s="3" t="s">
        <v>56</v>
      </c>
      <c r="B1" s="3" t="s">
        <v>297</v>
      </c>
      <c r="C1" s="3" t="s">
        <v>59</v>
      </c>
      <c r="D1" s="3" t="s">
        <v>64</v>
      </c>
      <c r="E1" s="3" t="s">
        <v>914</v>
      </c>
      <c r="F1" s="3" t="s">
        <v>1460</v>
      </c>
      <c r="G1" s="3" t="s">
        <v>1461</v>
      </c>
      <c r="H1" s="3" t="s">
        <v>1462</v>
      </c>
      <c r="I1" s="3" t="s">
        <v>1264</v>
      </c>
      <c r="J1" s="3" t="s">
        <v>1463</v>
      </c>
      <c r="K1" s="3" t="s">
        <v>1464</v>
      </c>
      <c r="L1" s="3" t="s">
        <v>1465</v>
      </c>
    </row>
    <row r="2" customFormat="false" ht="15" hidden="false" customHeight="false" outlineLevel="0" collapsed="false">
      <c r="A2" s="1" t="str">
        <f aca="false">01_PROJECT_ALL!A2</f>
        <v>P2021-20</v>
      </c>
      <c r="B2" s="1" t="n">
        <f aca="false">01_PROJECT_ALL!B2</f>
        <v>2021</v>
      </c>
      <c r="C2" s="1" t="str">
        <f aca="false">01_PROJECT_ALL!D2</f>
        <v>Nghiên cứu năng lực nghe hiểu của sinh viên cử nhân thực hành tiếng Nhật năm thứ 2 tại Trường Đại học Thành Đô</v>
      </c>
      <c r="D2" s="1" t="str">
        <f aca="false">01_PROJECT_ALL!I2</f>
        <v>Global Communication</v>
      </c>
      <c r="E2" s="1" t="n">
        <f aca="false">COUNTIF(02_OUTPUT_ALL!$B:$B,A2)</f>
        <v>1</v>
      </c>
      <c r="F2" s="1" t="n">
        <f aca="false">COUNTIF(03_IP_PRIORITY_ALL!$C:$C,A2)</f>
        <v>0</v>
      </c>
      <c r="G2" s="1" t="n">
        <f aca="false">COUNTIF(12_PUBLICATION_LINKS!$C:$C,A2)</f>
        <v>0</v>
      </c>
      <c r="H2" s="13" t="n">
        <f aca="false">COUNTIF(14_PROJECT_PROTECTION_LINK!$B:$B,A2)</f>
        <v>0</v>
      </c>
      <c r="I2" s="1" t="n">
        <f aca="false">COUNTIFS(02_OUTPUT_ALL!$B:$B,A2,02_OUTPUT_ALL!$L:$L,"Có")</f>
        <v>0</v>
      </c>
      <c r="J2" s="1" t="str">
        <f aca="false">IF(H2&gt;0,"Bảo hộ/xác lập có liên kết",IF(F2&gt;0,IF(I2&gt;0,"TSTT ưu tiên + có dấu hiệu ứng dụng","TSTT ưu tiên, chưa xác minh khai thác"),IF(G2&gt;0,"Chủ yếu công bố học thuật","Mới ở đầu ra nghiên cứu")))</f>
        <v>Mới ở đầu ra nghiên cứu</v>
      </c>
      <c r="K2" s="13" t="str">
        <f aca="false">IF(AND(L2&gt;0,H2=0),"Có đầu ra IP mức Cao nhưng chưa nối được hồ sơ bảo hộ; cần sàng lọc/đối chiếu",IF(AND(I2&gt;0,H2=0,F2&gt;0),"Có ứng dụng nhưng chưa xác định cơ chế quyền SHTT",""))</f>
        <v/>
      </c>
      <c r="L2" s="4" t="n">
        <f aca="false">COUNTIFS(02_OUTPUT_ALL!$B:$B,A2,02_OUTPUT_ALL!$K:$K,"Cao")</f>
        <v>0</v>
      </c>
    </row>
    <row r="3" customFormat="false" ht="15" hidden="false" customHeight="false" outlineLevel="0" collapsed="false">
      <c r="A3" s="1" t="str">
        <f aca="false">01_PROJECT_ALL!A3</f>
        <v>P2021-22</v>
      </c>
      <c r="B3" s="1" t="n">
        <f aca="false">01_PROJECT_ALL!B3</f>
        <v>2021</v>
      </c>
      <c r="C3" s="1" t="str">
        <f aca="false">01_PROJECT_ALL!D3</f>
        <v>Đánh giá giáo trình Network dùng cho sinh viên năm thứ nhất Trường Đại học Thành Đô</v>
      </c>
      <c r="D3" s="1" t="str">
        <f aca="false">01_PROJECT_ALL!I3</f>
        <v>Global Communication</v>
      </c>
      <c r="E3" s="1" t="n">
        <f aca="false">COUNTIF(02_OUTPUT_ALL!$B:$B,A3)</f>
        <v>1</v>
      </c>
      <c r="F3" s="1" t="n">
        <f aca="false">COUNTIF(03_IP_PRIORITY_ALL!$C:$C,A3)</f>
        <v>0</v>
      </c>
      <c r="G3" s="1" t="n">
        <f aca="false">COUNTIF(12_PUBLICATION_LINKS!$C:$C,A3)</f>
        <v>0</v>
      </c>
      <c r="H3" s="13" t="n">
        <f aca="false">COUNTIF(14_PROJECT_PROTECTION_LINK!$B:$B,A3)</f>
        <v>0</v>
      </c>
      <c r="I3" s="1" t="n">
        <f aca="false">COUNTIFS(02_OUTPUT_ALL!$B:$B,A3,02_OUTPUT_ALL!$L:$L,"Có")</f>
        <v>0</v>
      </c>
      <c r="J3" s="1" t="str">
        <f aca="false">IF(H3&gt;0,"Bảo hộ/xác lập có liên kết",IF(F3&gt;0,IF(I3&gt;0,"TSTT ưu tiên + có dấu hiệu ứng dụng","TSTT ưu tiên, chưa xác minh khai thác"),IF(G3&gt;0,"Chủ yếu công bố học thuật","Mới ở đầu ra nghiên cứu")))</f>
        <v>Mới ở đầu ra nghiên cứu</v>
      </c>
      <c r="K3" s="13" t="str">
        <f aca="false">IF(AND(L3&gt;0,H3=0),"Có đầu ra IP mức Cao nhưng chưa nối được hồ sơ bảo hộ; cần sàng lọc/đối chiếu",IF(AND(I3&gt;0,H3=0,F3&gt;0),"Có ứng dụng nhưng chưa xác định cơ chế quyền SHTT",""))</f>
        <v/>
      </c>
      <c r="L3" s="4" t="n">
        <f aca="false">COUNTIFS(02_OUTPUT_ALL!$B:$B,A3,02_OUTPUT_ALL!$K:$K,"Cao")</f>
        <v>0</v>
      </c>
    </row>
    <row r="4" customFormat="false" ht="15" hidden="false" customHeight="false" outlineLevel="0" collapsed="false">
      <c r="A4" s="1" t="str">
        <f aca="false">01_PROJECT_ALL!A4</f>
        <v>P2021-24</v>
      </c>
      <c r="B4" s="1" t="n">
        <f aca="false">01_PROJECT_ALL!B4</f>
        <v>2021</v>
      </c>
      <c r="C4" s="1" t="str">
        <f aca="false">01_PROJECT_ALL!D4</f>
        <v>Đánh giá ứng dụng mô hình học tập kết hợp (Blended Learning) trong việc dạy và học tiếng Anh tại Trường Đại học Thành Đô</v>
      </c>
      <c r="D4" s="1" t="str">
        <f aca="false">01_PROJECT_ALL!I4</f>
        <v>Global Communication</v>
      </c>
      <c r="E4" s="1" t="n">
        <f aca="false">COUNTIF(02_OUTPUT_ALL!$B:$B,A4)</f>
        <v>1</v>
      </c>
      <c r="F4" s="1" t="n">
        <f aca="false">COUNTIF(03_IP_PRIORITY_ALL!$C:$C,A4)</f>
        <v>0</v>
      </c>
      <c r="G4" s="1" t="n">
        <f aca="false">COUNTIF(12_PUBLICATION_LINKS!$C:$C,A4)</f>
        <v>0</v>
      </c>
      <c r="H4" s="13" t="n">
        <f aca="false">COUNTIF(14_PROJECT_PROTECTION_LINK!$B:$B,A4)</f>
        <v>0</v>
      </c>
      <c r="I4" s="1" t="n">
        <f aca="false">COUNTIFS(02_OUTPUT_ALL!$B:$B,A4,02_OUTPUT_ALL!$L:$L,"Có")</f>
        <v>0</v>
      </c>
      <c r="J4" s="1" t="str">
        <f aca="false">IF(H4&gt;0,"Bảo hộ/xác lập có liên kết",IF(F4&gt;0,IF(I4&gt;0,"TSTT ưu tiên + có dấu hiệu ứng dụng","TSTT ưu tiên, chưa xác minh khai thác"),IF(G4&gt;0,"Chủ yếu công bố học thuật","Mới ở đầu ra nghiên cứu")))</f>
        <v>Mới ở đầu ra nghiên cứu</v>
      </c>
      <c r="K4" s="13" t="str">
        <f aca="false">IF(AND(L4&gt;0,H4=0),"Có đầu ra IP mức Cao nhưng chưa nối được hồ sơ bảo hộ; cần sàng lọc/đối chiếu",IF(AND(I4&gt;0,H4=0,F4&gt;0),"Có ứng dụng nhưng chưa xác định cơ chế quyền SHTT",""))</f>
        <v/>
      </c>
      <c r="L4" s="4" t="n">
        <f aca="false">COUNTIFS(02_OUTPUT_ALL!$B:$B,A4,02_OUTPUT_ALL!$K:$K,"Cao")</f>
        <v>0</v>
      </c>
    </row>
    <row r="5" customFormat="false" ht="15" hidden="false" customHeight="false" outlineLevel="0" collapsed="false">
      <c r="A5" s="1" t="str">
        <f aca="false">01_PROJECT_ALL!A5</f>
        <v>P2021-27</v>
      </c>
      <c r="B5" s="1" t="n">
        <f aca="false">01_PROJECT_ALL!B5</f>
        <v>2021</v>
      </c>
      <c r="C5" s="1" t="str">
        <f aca="false">01_PROJECT_ALL!D5</f>
        <v>Thực trạng và động lực phát triển chuyên môn của giáo viên</v>
      </c>
      <c r="D5" s="1" t="str">
        <f aca="false">01_PROJECT_ALL!I5</f>
        <v>Khác/Chưa phân loại</v>
      </c>
      <c r="E5" s="1" t="n">
        <f aca="false">COUNTIF(02_OUTPUT_ALL!$B:$B,A5)</f>
        <v>3</v>
      </c>
      <c r="F5" s="1" t="n">
        <f aca="false">COUNTIF(03_IP_PRIORITY_ALL!$C:$C,A5)</f>
        <v>0</v>
      </c>
      <c r="G5" s="1" t="n">
        <f aca="false">COUNTIF(12_PUBLICATION_LINKS!$C:$C,A5)</f>
        <v>1</v>
      </c>
      <c r="H5" s="13" t="n">
        <f aca="false">COUNTIF(14_PROJECT_PROTECTION_LINK!$B:$B,A5)</f>
        <v>0</v>
      </c>
      <c r="I5" s="1" t="n">
        <f aca="false">COUNTIFS(02_OUTPUT_ALL!$B:$B,A5,02_OUTPUT_ALL!$L:$L,"Có")</f>
        <v>0</v>
      </c>
      <c r="J5" s="1" t="str">
        <f aca="false">IF(H5&gt;0,"Bảo hộ/xác lập có liên kết",IF(F5&gt;0,IF(I5&gt;0,"TSTT ưu tiên + có dấu hiệu ứng dụng","TSTT ưu tiên, chưa xác minh khai thác"),IF(G5&gt;0,"Chủ yếu công bố học thuật","Mới ở đầu ra nghiên cứu")))</f>
        <v>Chủ yếu công bố học thuật</v>
      </c>
      <c r="K5" s="13" t="str">
        <f aca="false">IF(AND(L5&gt;0,H5=0),"Có đầu ra IP mức Cao nhưng chưa nối được hồ sơ bảo hộ; cần sàng lọc/đối chiếu",IF(AND(I5&gt;0,H5=0,F5&gt;0),"Có ứng dụng nhưng chưa xác định cơ chế quyền SHTT",""))</f>
        <v/>
      </c>
      <c r="L5" s="4" t="n">
        <f aca="false">COUNTIFS(02_OUTPUT_ALL!$B:$B,A5,02_OUTPUT_ALL!$K:$K,"Cao")</f>
        <v>0</v>
      </c>
    </row>
    <row r="6" customFormat="false" ht="15" hidden="false" customHeight="false" outlineLevel="0" collapsed="false">
      <c r="A6" s="1" t="str">
        <f aca="false">01_PROJECT_ALL!A6</f>
        <v>P2021-28</v>
      </c>
      <c r="B6" s="1" t="n">
        <f aca="false">01_PROJECT_ALL!B6</f>
        <v>2021</v>
      </c>
      <c r="C6" s="1" t="str">
        <f aca="false">01_PROJECT_ALL!D6</f>
        <v>Hoạt động công bố quốc tế tại Việt Nam: Thực trạng và ý nghĩa đối với cộng đồng và những nhà hoạch định chính sách</v>
      </c>
      <c r="D6" s="1" t="str">
        <f aca="false">01_PROJECT_ALL!I6</f>
        <v>Khác/Chưa phân loại</v>
      </c>
      <c r="E6" s="1" t="n">
        <f aca="false">COUNTIF(02_OUTPUT_ALL!$B:$B,A6)</f>
        <v>3</v>
      </c>
      <c r="F6" s="1" t="n">
        <f aca="false">COUNTIF(03_IP_PRIORITY_ALL!$C:$C,A6)</f>
        <v>0</v>
      </c>
      <c r="G6" s="1" t="n">
        <f aca="false">COUNTIF(12_PUBLICATION_LINKS!$C:$C,A6)</f>
        <v>2</v>
      </c>
      <c r="H6" s="13" t="n">
        <f aca="false">COUNTIF(14_PROJECT_PROTECTION_LINK!$B:$B,A6)</f>
        <v>0</v>
      </c>
      <c r="I6" s="1" t="n">
        <f aca="false">COUNTIFS(02_OUTPUT_ALL!$B:$B,A6,02_OUTPUT_ALL!$L:$L,"Có")</f>
        <v>0</v>
      </c>
      <c r="J6" s="1" t="str">
        <f aca="false">IF(H6&gt;0,"Bảo hộ/xác lập có liên kết",IF(F6&gt;0,IF(I6&gt;0,"TSTT ưu tiên + có dấu hiệu ứng dụng","TSTT ưu tiên, chưa xác minh khai thác"),IF(G6&gt;0,"Chủ yếu công bố học thuật","Mới ở đầu ra nghiên cứu")))</f>
        <v>Chủ yếu công bố học thuật</v>
      </c>
      <c r="K6" s="13" t="str">
        <f aca="false">IF(AND(L6&gt;0,H6=0),"Có đầu ra IP mức Cao nhưng chưa nối được hồ sơ bảo hộ; cần sàng lọc/đối chiếu",IF(AND(I6&gt;0,H6=0,F6&gt;0),"Có ứng dụng nhưng chưa xác định cơ chế quyền SHTT",""))</f>
        <v/>
      </c>
      <c r="L6" s="4" t="n">
        <f aca="false">COUNTIFS(02_OUTPUT_ALL!$B:$B,A6,02_OUTPUT_ALL!$K:$K,"Cao")</f>
        <v>0</v>
      </c>
    </row>
    <row r="7" customFormat="false" ht="15" hidden="false" customHeight="false" outlineLevel="0" collapsed="false">
      <c r="A7" s="1" t="str">
        <f aca="false">01_PROJECT_ALL!A7</f>
        <v>P2021-37</v>
      </c>
      <c r="B7" s="1" t="n">
        <f aca="false">01_PROJECT_ALL!B7</f>
        <v>2021</v>
      </c>
      <c r="C7" s="1" t="str">
        <f aca="false">01_PROJECT_ALL!D7</f>
        <v>Rào cản của các doanh nghiệp vừa và nhỏ trong việc áp dụng thương mại điện tử tại Việt Nam</v>
      </c>
      <c r="D7" s="1" t="str">
        <f aca="false">01_PROJECT_ALL!I7</f>
        <v>Digital Services</v>
      </c>
      <c r="E7" s="1" t="n">
        <f aca="false">COUNTIF(02_OUTPUT_ALL!$B:$B,A7)</f>
        <v>2</v>
      </c>
      <c r="F7" s="1" t="n">
        <f aca="false">COUNTIF(03_IP_PRIORITY_ALL!$C:$C,A7)</f>
        <v>0</v>
      </c>
      <c r="G7" s="1" t="n">
        <f aca="false">COUNTIF(12_PUBLICATION_LINKS!$C:$C,A7)</f>
        <v>1</v>
      </c>
      <c r="H7" s="13" t="n">
        <f aca="false">COUNTIF(14_PROJECT_PROTECTION_LINK!$B:$B,A7)</f>
        <v>0</v>
      </c>
      <c r="I7" s="1" t="n">
        <f aca="false">COUNTIFS(02_OUTPUT_ALL!$B:$B,A7,02_OUTPUT_ALL!$L:$L,"Có")</f>
        <v>0</v>
      </c>
      <c r="J7" s="1" t="str">
        <f aca="false">IF(H7&gt;0,"Bảo hộ/xác lập có liên kết",IF(F7&gt;0,IF(I7&gt;0,"TSTT ưu tiên + có dấu hiệu ứng dụng","TSTT ưu tiên, chưa xác minh khai thác"),IF(G7&gt;0,"Chủ yếu công bố học thuật","Mới ở đầu ra nghiên cứu")))</f>
        <v>Chủ yếu công bố học thuật</v>
      </c>
      <c r="K7" s="13" t="str">
        <f aca="false">IF(AND(L7&gt;0,H7=0),"Có đầu ra IP mức Cao nhưng chưa nối được hồ sơ bảo hộ; cần sàng lọc/đối chiếu",IF(AND(I7&gt;0,H7=0,F7&gt;0),"Có ứng dụng nhưng chưa xác định cơ chế quyền SHTT",""))</f>
        <v/>
      </c>
      <c r="L7" s="4" t="n">
        <f aca="false">COUNTIFS(02_OUTPUT_ALL!$B:$B,A7,02_OUTPUT_ALL!$K:$K,"Cao")</f>
        <v>0</v>
      </c>
    </row>
    <row r="8" customFormat="false" ht="15" hidden="false" customHeight="false" outlineLevel="0" collapsed="false">
      <c r="A8" s="1" t="str">
        <f aca="false">01_PROJECT_ALL!A8</f>
        <v>P2022-01</v>
      </c>
      <c r="B8" s="1" t="n">
        <f aca="false">01_PROJECT_ALL!B8</f>
        <v>2022</v>
      </c>
      <c r="C8" s="1" t="str">
        <f aca="false">01_PROJECT_ALL!D8</f>
        <v>Đề án thành lập Tạp chí Nghiên cứu khoa học và phát triển thuộc Trường Đại học Thành Đô</v>
      </c>
      <c r="D8" s="1" t="str">
        <f aca="false">01_PROJECT_ALL!I8</f>
        <v>Khác/Chưa phân loại</v>
      </c>
      <c r="E8" s="1" t="n">
        <f aca="false">COUNTIF(02_OUTPUT_ALL!$B:$B,A8)</f>
        <v>1</v>
      </c>
      <c r="F8" s="1" t="n">
        <f aca="false">COUNTIF(03_IP_PRIORITY_ALL!$C:$C,A8)</f>
        <v>1</v>
      </c>
      <c r="G8" s="1" t="n">
        <f aca="false">COUNTIF(12_PUBLICATION_LINKS!$C:$C,A8)</f>
        <v>0</v>
      </c>
      <c r="H8" s="13" t="n">
        <f aca="false">COUNTIF(14_PROJECT_PROTECTION_LINK!$B:$B,A8)</f>
        <v>0</v>
      </c>
      <c r="I8" s="1" t="n">
        <f aca="false">COUNTIFS(02_OUTPUT_ALL!$B:$B,A8,02_OUTPUT_ALL!$L:$L,"Có")</f>
        <v>1</v>
      </c>
      <c r="J8" s="1" t="str">
        <f aca="false">IF(H8&gt;0,"Bảo hộ/xác lập có liên kết",IF(F8&gt;0,IF(I8&gt;0,"TSTT ưu tiên + có dấu hiệu ứng dụng","TSTT ưu tiên, chưa xác minh khai thác"),IF(G8&gt;0,"Chủ yếu công bố học thuật","Mới ở đầu ra nghiên cứu")))</f>
        <v>TSTT ưu tiên + có dấu hiệu ứng dụng</v>
      </c>
      <c r="K8" s="13" t="str">
        <f aca="false">IF(AND(L8&gt;0,H8=0),"Có đầu ra IP mức Cao nhưng chưa nối được hồ sơ bảo hộ; cần sàng lọc/đối chiếu",IF(AND(I8&gt;0,H8=0,F8&gt;0),"Có ứng dụng nhưng chưa xác định cơ chế quyền SHTT",""))</f>
        <v>Có ứng dụng nhưng chưa xác định cơ chế quyền SHTT</v>
      </c>
      <c r="L8" s="4" t="n">
        <f aca="false">COUNTIFS(02_OUTPUT_ALL!$B:$B,A8,02_OUTPUT_ALL!$K:$K,"Cao")</f>
        <v>0</v>
      </c>
    </row>
    <row r="9" customFormat="false" ht="15" hidden="false" customHeight="false" outlineLevel="0" collapsed="false">
      <c r="A9" s="1" t="str">
        <f aca="false">01_PROJECT_ALL!A9</f>
        <v>P2022-02</v>
      </c>
      <c r="B9" s="1" t="n">
        <f aca="false">01_PROJECT_ALL!B9</f>
        <v>2022</v>
      </c>
      <c r="C9" s="1" t="str">
        <f aca="false">01_PROJECT_ALL!D9</f>
        <v>Nghiên cứu xây dựng Quy chế tuyển sinh và đào tạo trình độ thạc sỹ theo Thông tư số 23/2021/TT-BGDĐT của Bộ Giáo dục và Đào tạo tại Trường Đại học Thành Đô</v>
      </c>
      <c r="D9" s="1" t="str">
        <f aca="false">01_PROJECT_ALL!I9</f>
        <v>Khác/Chưa phân loại</v>
      </c>
      <c r="E9" s="1" t="n">
        <f aca="false">COUNTIF(02_OUTPUT_ALL!$B:$B,A9)</f>
        <v>1</v>
      </c>
      <c r="F9" s="1" t="n">
        <f aca="false">COUNTIF(03_IP_PRIORITY_ALL!$C:$C,A9)</f>
        <v>1</v>
      </c>
      <c r="G9" s="1" t="n">
        <f aca="false">COUNTIF(12_PUBLICATION_LINKS!$C:$C,A9)</f>
        <v>0</v>
      </c>
      <c r="H9" s="13" t="n">
        <f aca="false">COUNTIF(14_PROJECT_PROTECTION_LINK!$B:$B,A9)</f>
        <v>0</v>
      </c>
      <c r="I9" s="1" t="n">
        <f aca="false">COUNTIFS(02_OUTPUT_ALL!$B:$B,A9,02_OUTPUT_ALL!$L:$L,"Có")</f>
        <v>1</v>
      </c>
      <c r="J9" s="1" t="str">
        <f aca="false">IF(H9&gt;0,"Bảo hộ/xác lập có liên kết",IF(F9&gt;0,IF(I9&gt;0,"TSTT ưu tiên + có dấu hiệu ứng dụng","TSTT ưu tiên, chưa xác minh khai thác"),IF(G9&gt;0,"Chủ yếu công bố học thuật","Mới ở đầu ra nghiên cứu")))</f>
        <v>TSTT ưu tiên + có dấu hiệu ứng dụng</v>
      </c>
      <c r="K9" s="13" t="str">
        <f aca="false">IF(AND(L9&gt;0,H9=0),"Có đầu ra IP mức Cao nhưng chưa nối được hồ sơ bảo hộ; cần sàng lọc/đối chiếu",IF(AND(I9&gt;0,H9=0,F9&gt;0),"Có ứng dụng nhưng chưa xác định cơ chế quyền SHTT",""))</f>
        <v>Có ứng dụng nhưng chưa xác định cơ chế quyền SHTT</v>
      </c>
      <c r="L9" s="4" t="n">
        <f aca="false">COUNTIFS(02_OUTPUT_ALL!$B:$B,A9,02_OUTPUT_ALL!$K:$K,"Cao")</f>
        <v>0</v>
      </c>
    </row>
    <row r="10" customFormat="false" ht="15" hidden="false" customHeight="false" outlineLevel="0" collapsed="false">
      <c r="A10" s="1" t="str">
        <f aca="false">01_PROJECT_ALL!A10</f>
        <v>P2022-12</v>
      </c>
      <c r="B10" s="1" t="n">
        <f aca="false">01_PROJECT_ALL!B10</f>
        <v>2022</v>
      </c>
      <c r="C10" s="1" t="str">
        <f aca="false">01_PROJECT_ALL!D10</f>
        <v>Nâng cao khả năng được tuyển dụng của sinh viên ngành tiếng Anh Khoa Du lịch - Ngoại ngữ qua kỳ thực tập doanh nghiệp</v>
      </c>
      <c r="D10" s="1" t="str">
        <f aca="false">01_PROJECT_ALL!I10</f>
        <v>Global Communication</v>
      </c>
      <c r="E10" s="1" t="n">
        <f aca="false">COUNTIF(02_OUTPUT_ALL!$B:$B,A10)</f>
        <v>1</v>
      </c>
      <c r="F10" s="1" t="n">
        <f aca="false">COUNTIF(03_IP_PRIORITY_ALL!$C:$C,A10)</f>
        <v>0</v>
      </c>
      <c r="G10" s="1" t="n">
        <f aca="false">COUNTIF(12_PUBLICATION_LINKS!$C:$C,A10)</f>
        <v>0</v>
      </c>
      <c r="H10" s="13" t="n">
        <f aca="false">COUNTIF(14_PROJECT_PROTECTION_LINK!$B:$B,A10)</f>
        <v>0</v>
      </c>
      <c r="I10" s="1" t="n">
        <f aca="false">COUNTIFS(02_OUTPUT_ALL!$B:$B,A10,02_OUTPUT_ALL!$L:$L,"Có")</f>
        <v>0</v>
      </c>
      <c r="J10" s="1" t="str">
        <f aca="false">IF(H10&gt;0,"Bảo hộ/xác lập có liên kết",IF(F10&gt;0,IF(I10&gt;0,"TSTT ưu tiên + có dấu hiệu ứng dụng","TSTT ưu tiên, chưa xác minh khai thác"),IF(G10&gt;0,"Chủ yếu công bố học thuật","Mới ở đầu ra nghiên cứu")))</f>
        <v>Mới ở đầu ra nghiên cứu</v>
      </c>
      <c r="K10" s="13" t="str">
        <f aca="false">IF(AND(L10&gt;0,H10=0),"Có đầu ra IP mức Cao nhưng chưa nối được hồ sơ bảo hộ; cần sàng lọc/đối chiếu",IF(AND(I10&gt;0,H10=0,F10&gt;0),"Có ứng dụng nhưng chưa xác định cơ chế quyền SHTT",""))</f>
        <v/>
      </c>
      <c r="L10" s="4" t="n">
        <f aca="false">COUNTIFS(02_OUTPUT_ALL!$B:$B,A10,02_OUTPUT_ALL!$K:$K,"Cao")</f>
        <v>0</v>
      </c>
    </row>
    <row r="11" customFormat="false" ht="15" hidden="false" customHeight="false" outlineLevel="0" collapsed="false">
      <c r="A11" s="1" t="str">
        <f aca="false">01_PROJECT_ALL!A11</f>
        <v>P2022-13</v>
      </c>
      <c r="B11" s="1" t="n">
        <f aca="false">01_PROJECT_ALL!B11</f>
        <v>2022</v>
      </c>
      <c r="C11" s="1" t="str">
        <f aca="false">01_PROJECT_ALL!D11</f>
        <v>Đánh giá giáo trình "New English file" dành cho học viên cao học tại Trường Đại học Thành Đô</v>
      </c>
      <c r="D11" s="1" t="str">
        <f aca="false">01_PROJECT_ALL!I11</f>
        <v>Global Communication</v>
      </c>
      <c r="E11" s="1" t="n">
        <f aca="false">COUNTIF(02_OUTPUT_ALL!$B:$B,A11)</f>
        <v>1</v>
      </c>
      <c r="F11" s="1" t="n">
        <f aca="false">COUNTIF(03_IP_PRIORITY_ALL!$C:$C,A11)</f>
        <v>0</v>
      </c>
      <c r="G11" s="1" t="n">
        <f aca="false">COUNTIF(12_PUBLICATION_LINKS!$C:$C,A11)</f>
        <v>0</v>
      </c>
      <c r="H11" s="13" t="n">
        <f aca="false">COUNTIF(14_PROJECT_PROTECTION_LINK!$B:$B,A11)</f>
        <v>0</v>
      </c>
      <c r="I11" s="1" t="n">
        <f aca="false">COUNTIFS(02_OUTPUT_ALL!$B:$B,A11,02_OUTPUT_ALL!$L:$L,"Có")</f>
        <v>0</v>
      </c>
      <c r="J11" s="1" t="str">
        <f aca="false">IF(H11&gt;0,"Bảo hộ/xác lập có liên kết",IF(F11&gt;0,IF(I11&gt;0,"TSTT ưu tiên + có dấu hiệu ứng dụng","TSTT ưu tiên, chưa xác minh khai thác"),IF(G11&gt;0,"Chủ yếu công bố học thuật","Mới ở đầu ra nghiên cứu")))</f>
        <v>Mới ở đầu ra nghiên cứu</v>
      </c>
      <c r="K11" s="13" t="str">
        <f aca="false">IF(AND(L11&gt;0,H11=0),"Có đầu ra IP mức Cao nhưng chưa nối được hồ sơ bảo hộ; cần sàng lọc/đối chiếu",IF(AND(I11&gt;0,H11=0,F11&gt;0),"Có ứng dụng nhưng chưa xác định cơ chế quyền SHTT",""))</f>
        <v/>
      </c>
      <c r="L11" s="4" t="n">
        <f aca="false">COUNTIFS(02_OUTPUT_ALL!$B:$B,A11,02_OUTPUT_ALL!$K:$K,"Cao")</f>
        <v>0</v>
      </c>
    </row>
    <row r="12" customFormat="false" ht="15" hidden="false" customHeight="false" outlineLevel="0" collapsed="false">
      <c r="A12" s="1" t="str">
        <f aca="false">01_PROJECT_ALL!A12</f>
        <v>P2022-14</v>
      </c>
      <c r="B12" s="1" t="n">
        <f aca="false">01_PROJECT_ALL!B12</f>
        <v>2022</v>
      </c>
      <c r="C12" s="1" t="str">
        <f aca="false">01_PROJECT_ALL!D12</f>
        <v>A study on job satisfaction among teachers at TDU (Đánh giá sự hài lòng của giảng viên tại Đại học Thành Đô)</v>
      </c>
      <c r="D12" s="1" t="str">
        <f aca="false">01_PROJECT_ALL!I12</f>
        <v>Khác/Chưa phân loại</v>
      </c>
      <c r="E12" s="1" t="n">
        <f aca="false">COUNTIF(02_OUTPUT_ALL!$B:$B,A12)</f>
        <v>1</v>
      </c>
      <c r="F12" s="1" t="n">
        <f aca="false">COUNTIF(03_IP_PRIORITY_ALL!$C:$C,A12)</f>
        <v>0</v>
      </c>
      <c r="G12" s="1" t="n">
        <f aca="false">COUNTIF(12_PUBLICATION_LINKS!$C:$C,A12)</f>
        <v>0</v>
      </c>
      <c r="H12" s="13" t="n">
        <f aca="false">COUNTIF(14_PROJECT_PROTECTION_LINK!$B:$B,A12)</f>
        <v>0</v>
      </c>
      <c r="I12" s="1" t="n">
        <f aca="false">COUNTIFS(02_OUTPUT_ALL!$B:$B,A12,02_OUTPUT_ALL!$L:$L,"Có")</f>
        <v>0</v>
      </c>
      <c r="J12" s="1" t="str">
        <f aca="false">IF(H12&gt;0,"Bảo hộ/xác lập có liên kết",IF(F12&gt;0,IF(I12&gt;0,"TSTT ưu tiên + có dấu hiệu ứng dụng","TSTT ưu tiên, chưa xác minh khai thác"),IF(G12&gt;0,"Chủ yếu công bố học thuật","Mới ở đầu ra nghiên cứu")))</f>
        <v>Mới ở đầu ra nghiên cứu</v>
      </c>
      <c r="K12" s="13" t="str">
        <f aca="false">IF(AND(L12&gt;0,H12=0),"Có đầu ra IP mức Cao nhưng chưa nối được hồ sơ bảo hộ; cần sàng lọc/đối chiếu",IF(AND(I12&gt;0,H12=0,F12&gt;0),"Có ứng dụng nhưng chưa xác định cơ chế quyền SHTT",""))</f>
        <v/>
      </c>
      <c r="L12" s="4" t="n">
        <f aca="false">COUNTIFS(02_OUTPUT_ALL!$B:$B,A12,02_OUTPUT_ALL!$K:$K,"Cao")</f>
        <v>0</v>
      </c>
    </row>
    <row r="13" customFormat="false" ht="15" hidden="false" customHeight="false" outlineLevel="0" collapsed="false">
      <c r="A13" s="1" t="str">
        <f aca="false">01_PROJECT_ALL!A13</f>
        <v>P2022-15</v>
      </c>
      <c r="B13" s="1" t="n">
        <f aca="false">01_PROJECT_ALL!B13</f>
        <v>2022</v>
      </c>
      <c r="C13" s="1" t="str">
        <f aca="false">01_PROJECT_ALL!D13</f>
        <v>Nghiên cứu ảnh hưởng của hình thức dạy học trực tuyến đến kết quả học tập của sinh viên Khoa Du lịch - Ngoại ngữ, Trường Đại học Thành Đô</v>
      </c>
      <c r="D13" s="1" t="str">
        <f aca="false">01_PROJECT_ALL!I13</f>
        <v>Global Communication</v>
      </c>
      <c r="E13" s="1" t="n">
        <f aca="false">COUNTIF(02_OUTPUT_ALL!$B:$B,A13)</f>
        <v>1</v>
      </c>
      <c r="F13" s="1" t="n">
        <f aca="false">COUNTIF(03_IP_PRIORITY_ALL!$C:$C,A13)</f>
        <v>0</v>
      </c>
      <c r="G13" s="1" t="n">
        <f aca="false">COUNTIF(12_PUBLICATION_LINKS!$C:$C,A13)</f>
        <v>0</v>
      </c>
      <c r="H13" s="13" t="n">
        <f aca="false">COUNTIF(14_PROJECT_PROTECTION_LINK!$B:$B,A13)</f>
        <v>0</v>
      </c>
      <c r="I13" s="1" t="n">
        <f aca="false">COUNTIFS(02_OUTPUT_ALL!$B:$B,A13,02_OUTPUT_ALL!$L:$L,"Có")</f>
        <v>0</v>
      </c>
      <c r="J13" s="1" t="str">
        <f aca="false">IF(H13&gt;0,"Bảo hộ/xác lập có liên kết",IF(F13&gt;0,IF(I13&gt;0,"TSTT ưu tiên + có dấu hiệu ứng dụng","TSTT ưu tiên, chưa xác minh khai thác"),IF(G13&gt;0,"Chủ yếu công bố học thuật","Mới ở đầu ra nghiên cứu")))</f>
        <v>Mới ở đầu ra nghiên cứu</v>
      </c>
      <c r="K13" s="13" t="str">
        <f aca="false">IF(AND(L13&gt;0,H13=0),"Có đầu ra IP mức Cao nhưng chưa nối được hồ sơ bảo hộ; cần sàng lọc/đối chiếu",IF(AND(I13&gt;0,H13=0,F13&gt;0),"Có ứng dụng nhưng chưa xác định cơ chế quyền SHTT",""))</f>
        <v/>
      </c>
      <c r="L13" s="4" t="n">
        <f aca="false">COUNTIFS(02_OUTPUT_ALL!$B:$B,A13,02_OUTPUT_ALL!$K:$K,"Cao")</f>
        <v>0</v>
      </c>
    </row>
    <row r="14" customFormat="false" ht="15" hidden="false" customHeight="false" outlineLevel="0" collapsed="false">
      <c r="A14" s="1" t="str">
        <f aca="false">01_PROJECT_ALL!A14</f>
        <v>P2022-37</v>
      </c>
      <c r="B14" s="1" t="n">
        <f aca="false">01_PROJECT_ALL!B14</f>
        <v>2022</v>
      </c>
      <c r="C14" s="1" t="str">
        <f aca="false">01_PROJECT_ALL!D14</f>
        <v>Tính toán thiết kế panel kiểm tra và sửa chữa hệ thống khởi động điện trên ô tô</v>
      </c>
      <c r="D14" s="1" t="str">
        <f aca="false">01_PROJECT_ALL!I14</f>
        <v>Smart Mobility</v>
      </c>
      <c r="E14" s="1" t="n">
        <f aca="false">COUNTIF(02_OUTPUT_ALL!$B:$B,A14)</f>
        <v>2</v>
      </c>
      <c r="F14" s="1" t="n">
        <f aca="false">COUNTIF(03_IP_PRIORITY_ALL!$C:$C,A14)</f>
        <v>1</v>
      </c>
      <c r="G14" s="1" t="n">
        <f aca="false">COUNTIF(12_PUBLICATION_LINKS!$C:$C,A14)</f>
        <v>0</v>
      </c>
      <c r="H14" s="13" t="n">
        <f aca="false">COUNTIF(14_PROJECT_PROTECTION_LINK!$B:$B,A14)</f>
        <v>0</v>
      </c>
      <c r="I14" s="1" t="n">
        <f aca="false">COUNTIFS(02_OUTPUT_ALL!$B:$B,A14,02_OUTPUT_ALL!$L:$L,"Có")</f>
        <v>1</v>
      </c>
      <c r="J14" s="1" t="str">
        <f aca="false">IF(H14&gt;0,"Bảo hộ/xác lập có liên kết",IF(F14&gt;0,IF(I14&gt;0,"TSTT ưu tiên + có dấu hiệu ứng dụng","TSTT ưu tiên, chưa xác minh khai thác"),IF(G14&gt;0,"Chủ yếu công bố học thuật","Mới ở đầu ra nghiên cứu")))</f>
        <v>TSTT ưu tiên + có dấu hiệu ứng dụng</v>
      </c>
      <c r="K14" s="13" t="str">
        <f aca="false">IF(AND(L14&gt;0,H14=0),"Có đầu ra IP mức Cao nhưng chưa nối được hồ sơ bảo hộ; cần sàng lọc/đối chiếu",IF(AND(I14&gt;0,H14=0,F14&gt;0),"Có ứng dụng nhưng chưa xác định cơ chế quyền SHTT",""))</f>
        <v>Có đầu ra IP mức Cao nhưng chưa nối được hồ sơ bảo hộ; cần sàng lọc/đối chiếu</v>
      </c>
      <c r="L14" s="4" t="n">
        <f aca="false">COUNTIFS(02_OUTPUT_ALL!$B:$B,A14,02_OUTPUT_ALL!$K:$K,"Cao")</f>
        <v>1</v>
      </c>
    </row>
    <row r="15" customFormat="false" ht="15" hidden="false" customHeight="false" outlineLevel="0" collapsed="false">
      <c r="A15" s="1" t="str">
        <f aca="false">01_PROJECT_ALL!A15</f>
        <v>P2022-39</v>
      </c>
      <c r="B15" s="1" t="n">
        <f aca="false">01_PROJECT_ALL!B15</f>
        <v>2022</v>
      </c>
      <c r="C15" s="1" t="str">
        <f aca="false">01_PROJECT_ALL!D15</f>
        <v>Nghiên cứu chế tạo vật liệu cầm máu trên cơ sở chitosan và cao nhọ nồi</v>
      </c>
      <c r="D15" s="1" t="str">
        <f aca="false">01_PROJECT_ALL!I15</f>
        <v>Wellness &amp; Care</v>
      </c>
      <c r="E15" s="1" t="n">
        <f aca="false">COUNTIF(02_OUTPUT_ALL!$B:$B,A15)</f>
        <v>2</v>
      </c>
      <c r="F15" s="1" t="n">
        <f aca="false">COUNTIF(03_IP_PRIORITY_ALL!$C:$C,A15)</f>
        <v>1</v>
      </c>
      <c r="G15" s="1" t="n">
        <f aca="false">COUNTIF(12_PUBLICATION_LINKS!$C:$C,A15)</f>
        <v>0</v>
      </c>
      <c r="H15" s="13" t="n">
        <f aca="false">COUNTIF(14_PROJECT_PROTECTION_LINK!$B:$B,A15)</f>
        <v>0</v>
      </c>
      <c r="I15" s="1" t="n">
        <f aca="false">COUNTIFS(02_OUTPUT_ALL!$B:$B,A15,02_OUTPUT_ALL!$L:$L,"Có")</f>
        <v>1</v>
      </c>
      <c r="J15" s="1" t="str">
        <f aca="false">IF(H15&gt;0,"Bảo hộ/xác lập có liên kết",IF(F15&gt;0,IF(I15&gt;0,"TSTT ưu tiên + có dấu hiệu ứng dụng","TSTT ưu tiên, chưa xác minh khai thác"),IF(G15&gt;0,"Chủ yếu công bố học thuật","Mới ở đầu ra nghiên cứu")))</f>
        <v>TSTT ưu tiên + có dấu hiệu ứng dụng</v>
      </c>
      <c r="K15" s="13" t="str">
        <f aca="false">IF(AND(L15&gt;0,H15=0),"Có đầu ra IP mức Cao nhưng chưa nối được hồ sơ bảo hộ; cần sàng lọc/đối chiếu",IF(AND(I15&gt;0,H15=0,F15&gt;0),"Có ứng dụng nhưng chưa xác định cơ chế quyền SHTT",""))</f>
        <v>Có đầu ra IP mức Cao nhưng chưa nối được hồ sơ bảo hộ; cần sàng lọc/đối chiếu</v>
      </c>
      <c r="L15" s="4" t="n">
        <f aca="false">COUNTIFS(02_OUTPUT_ALL!$B:$B,A15,02_OUTPUT_ALL!$K:$K,"Cao")</f>
        <v>1</v>
      </c>
    </row>
    <row r="16" customFormat="false" ht="15" hidden="false" customHeight="false" outlineLevel="0" collapsed="false">
      <c r="A16" s="1" t="str">
        <f aca="false">01_PROJECT_ALL!A16</f>
        <v>P2022-40</v>
      </c>
      <c r="B16" s="1" t="n">
        <f aca="false">01_PROJECT_ALL!B16</f>
        <v>2022</v>
      </c>
      <c r="C16" s="1" t="str">
        <f aca="false">01_PROJECT_ALL!D16</f>
        <v>Nghiên cứu xây dựng bộ mẫu dược liệu áp dụng giảng dạy tại Trường Đại học Thành Đô</v>
      </c>
      <c r="D16" s="1" t="str">
        <f aca="false">01_PROJECT_ALL!I16</f>
        <v>Wellness &amp; Care</v>
      </c>
      <c r="E16" s="1" t="n">
        <f aca="false">COUNTIF(02_OUTPUT_ALL!$B:$B,A16)</f>
        <v>2</v>
      </c>
      <c r="F16" s="1" t="n">
        <f aca="false">COUNTIF(03_IP_PRIORITY_ALL!$C:$C,A16)</f>
        <v>1</v>
      </c>
      <c r="G16" s="1" t="n">
        <f aca="false">COUNTIF(12_PUBLICATION_LINKS!$C:$C,A16)</f>
        <v>0</v>
      </c>
      <c r="H16" s="13" t="n">
        <f aca="false">COUNTIF(14_PROJECT_PROTECTION_LINK!$B:$B,A16)</f>
        <v>0</v>
      </c>
      <c r="I16" s="1" t="n">
        <f aca="false">COUNTIFS(02_OUTPUT_ALL!$B:$B,A16,02_OUTPUT_ALL!$L:$L,"Có")</f>
        <v>1</v>
      </c>
      <c r="J16" s="1" t="str">
        <f aca="false">IF(H16&gt;0,"Bảo hộ/xác lập có liên kết",IF(F16&gt;0,IF(I16&gt;0,"TSTT ưu tiên + có dấu hiệu ứng dụng","TSTT ưu tiên, chưa xác minh khai thác"),IF(G16&gt;0,"Chủ yếu công bố học thuật","Mới ở đầu ra nghiên cứu")))</f>
        <v>TSTT ưu tiên + có dấu hiệu ứng dụng</v>
      </c>
      <c r="K16" s="13" t="str">
        <f aca="false">IF(AND(L16&gt;0,H16=0),"Có đầu ra IP mức Cao nhưng chưa nối được hồ sơ bảo hộ; cần sàng lọc/đối chiếu",IF(AND(I16&gt;0,H16=0,F16&gt;0),"Có ứng dụng nhưng chưa xác định cơ chế quyền SHTT",""))</f>
        <v>Có ứng dụng nhưng chưa xác định cơ chế quyền SHTT</v>
      </c>
      <c r="L16" s="4" t="n">
        <f aca="false">COUNTIFS(02_OUTPUT_ALL!$B:$B,A16,02_OUTPUT_ALL!$K:$K,"Cao")</f>
        <v>0</v>
      </c>
    </row>
    <row r="17" customFormat="false" ht="15" hidden="false" customHeight="false" outlineLevel="0" collapsed="false">
      <c r="A17" s="1" t="str">
        <f aca="false">01_PROJECT_ALL!A17</f>
        <v>P2022-51</v>
      </c>
      <c r="B17" s="1" t="n">
        <f aca="false">01_PROJECT_ALL!B17</f>
        <v>2022</v>
      </c>
      <c r="C17" s="1" t="str">
        <f aca="false">01_PROJECT_ALL!D17</f>
        <v>Quản lý hoạt động huy động vốn của các công ty chứng khoán tại Việt Nam: Thực trạng và một số kiến nghị</v>
      </c>
      <c r="D17" s="1" t="str">
        <f aca="false">01_PROJECT_ALL!I17</f>
        <v>Digital Services</v>
      </c>
      <c r="E17" s="1" t="n">
        <f aca="false">COUNTIF(02_OUTPUT_ALL!$B:$B,A17)</f>
        <v>2</v>
      </c>
      <c r="F17" s="1" t="n">
        <f aca="false">COUNTIF(03_IP_PRIORITY_ALL!$C:$C,A17)</f>
        <v>0</v>
      </c>
      <c r="G17" s="1" t="n">
        <f aca="false">COUNTIF(12_PUBLICATION_LINKS!$C:$C,A17)</f>
        <v>0</v>
      </c>
      <c r="H17" s="13" t="n">
        <f aca="false">COUNTIF(14_PROJECT_PROTECTION_LINK!$B:$B,A17)</f>
        <v>0</v>
      </c>
      <c r="I17" s="1" t="n">
        <f aca="false">COUNTIFS(02_OUTPUT_ALL!$B:$B,A17,02_OUTPUT_ALL!$L:$L,"Có")</f>
        <v>0</v>
      </c>
      <c r="J17" s="1" t="str">
        <f aca="false">IF(H17&gt;0,"Bảo hộ/xác lập có liên kết",IF(F17&gt;0,IF(I17&gt;0,"TSTT ưu tiên + có dấu hiệu ứng dụng","TSTT ưu tiên, chưa xác minh khai thác"),IF(G17&gt;0,"Chủ yếu công bố học thuật","Mới ở đầu ra nghiên cứu")))</f>
        <v>Mới ở đầu ra nghiên cứu</v>
      </c>
      <c r="K17" s="13" t="str">
        <f aca="false">IF(AND(L17&gt;0,H17=0),"Có đầu ra IP mức Cao nhưng chưa nối được hồ sơ bảo hộ; cần sàng lọc/đối chiếu",IF(AND(I17&gt;0,H17=0,F17&gt;0),"Có ứng dụng nhưng chưa xác định cơ chế quyền SHTT",""))</f>
        <v/>
      </c>
      <c r="L17" s="4" t="n">
        <f aca="false">COUNTIFS(02_OUTPUT_ALL!$B:$B,A17,02_OUTPUT_ALL!$K:$K,"Cao")</f>
        <v>0</v>
      </c>
    </row>
    <row r="18" customFormat="false" ht="15" hidden="false" customHeight="false" outlineLevel="0" collapsed="false">
      <c r="A18" s="1" t="str">
        <f aca="false">01_PROJECT_ALL!A18</f>
        <v>P2023-01</v>
      </c>
      <c r="B18" s="1" t="n">
        <f aca="false">01_PROJECT_ALL!B18</f>
        <v>2023</v>
      </c>
      <c r="C18" s="1" t="str">
        <f aca="false">01_PROJECT_ALL!D18</f>
        <v>Bồi dưỡng phương pháp tư duy biện chứng Hồ Chí Minh cho sinh viên Trường Đại học Thành Đô hiện nay</v>
      </c>
      <c r="D18" s="1" t="str">
        <f aca="false">01_PROJECT_ALL!I18</f>
        <v>Khác/Chưa phân loại</v>
      </c>
      <c r="E18" s="1" t="n">
        <f aca="false">COUNTIF(02_OUTPUT_ALL!$B:$B,A18)</f>
        <v>3</v>
      </c>
      <c r="F18" s="1" t="n">
        <f aca="false">COUNTIF(03_IP_PRIORITY_ALL!$C:$C,A18)</f>
        <v>1</v>
      </c>
      <c r="G18" s="1" t="n">
        <f aca="false">COUNTIF(12_PUBLICATION_LINKS!$C:$C,A18)</f>
        <v>0</v>
      </c>
      <c r="H18" s="13" t="n">
        <f aca="false">COUNTIF(14_PROJECT_PROTECTION_LINK!$B:$B,A18)</f>
        <v>0</v>
      </c>
      <c r="I18" s="1" t="n">
        <f aca="false">COUNTIFS(02_OUTPUT_ALL!$B:$B,A18,02_OUTPUT_ALL!$L:$L,"Có")</f>
        <v>1</v>
      </c>
      <c r="J18" s="1" t="str">
        <f aca="false">IF(H18&gt;0,"Bảo hộ/xác lập có liên kết",IF(F18&gt;0,IF(I18&gt;0,"TSTT ưu tiên + có dấu hiệu ứng dụng","TSTT ưu tiên, chưa xác minh khai thác"),IF(G18&gt;0,"Chủ yếu công bố học thuật","Mới ở đầu ra nghiên cứu")))</f>
        <v>TSTT ưu tiên + có dấu hiệu ứng dụng</v>
      </c>
      <c r="K18" s="13" t="str">
        <f aca="false">IF(AND(L18&gt;0,H18=0),"Có đầu ra IP mức Cao nhưng chưa nối được hồ sơ bảo hộ; cần sàng lọc/đối chiếu",IF(AND(I18&gt;0,H18=0,F18&gt;0),"Có ứng dụng nhưng chưa xác định cơ chế quyền SHTT",""))</f>
        <v>Có ứng dụng nhưng chưa xác định cơ chế quyền SHTT</v>
      </c>
      <c r="L18" s="4" t="n">
        <f aca="false">COUNTIFS(02_OUTPUT_ALL!$B:$B,A18,02_OUTPUT_ALL!$K:$K,"Cao")</f>
        <v>0</v>
      </c>
    </row>
    <row r="19" customFormat="false" ht="15" hidden="false" customHeight="false" outlineLevel="0" collapsed="false">
      <c r="A19" s="1" t="str">
        <f aca="false">01_PROJECT_ALL!A19</f>
        <v>P2023-02</v>
      </c>
      <c r="B19" s="1" t="n">
        <f aca="false">01_PROJECT_ALL!B19</f>
        <v>2023</v>
      </c>
      <c r="C19" s="1" t="str">
        <f aca="false">01_PROJECT_ALL!D19</f>
        <v>Tiếp cận CDIO để nâng cao chất lượng dạy học học phần thực hành hướng dẫn du lịch tại Trường Đại học Thành Đô</v>
      </c>
      <c r="D19" s="1" t="str">
        <f aca="false">01_PROJECT_ALL!I19</f>
        <v>Global Communication</v>
      </c>
      <c r="E19" s="1" t="n">
        <f aca="false">COUNTIF(02_OUTPUT_ALL!$B:$B,A19)</f>
        <v>3</v>
      </c>
      <c r="F19" s="1" t="n">
        <f aca="false">COUNTIF(03_IP_PRIORITY_ALL!$C:$C,A19)</f>
        <v>1</v>
      </c>
      <c r="G19" s="1" t="n">
        <f aca="false">COUNTIF(12_PUBLICATION_LINKS!$C:$C,A19)</f>
        <v>1</v>
      </c>
      <c r="H19" s="13" t="n">
        <f aca="false">COUNTIF(14_PROJECT_PROTECTION_LINK!$B:$B,A19)</f>
        <v>0</v>
      </c>
      <c r="I19" s="1" t="n">
        <f aca="false">COUNTIFS(02_OUTPUT_ALL!$B:$B,A19,02_OUTPUT_ALL!$L:$L,"Có")</f>
        <v>1</v>
      </c>
      <c r="J19" s="1" t="str">
        <f aca="false">IF(H19&gt;0,"Bảo hộ/xác lập có liên kết",IF(F19&gt;0,IF(I19&gt;0,"TSTT ưu tiên + có dấu hiệu ứng dụng","TSTT ưu tiên, chưa xác minh khai thác"),IF(G19&gt;0,"Chủ yếu công bố học thuật","Mới ở đầu ra nghiên cứu")))</f>
        <v>TSTT ưu tiên + có dấu hiệu ứng dụng</v>
      </c>
      <c r="K19" s="13" t="str">
        <f aca="false">IF(AND(L19&gt;0,H19=0),"Có đầu ra IP mức Cao nhưng chưa nối được hồ sơ bảo hộ; cần sàng lọc/đối chiếu",IF(AND(I19&gt;0,H19=0,F19&gt;0),"Có ứng dụng nhưng chưa xác định cơ chế quyền SHTT",""))</f>
        <v>Có ứng dụng nhưng chưa xác định cơ chế quyền SHTT</v>
      </c>
      <c r="L19" s="4" t="n">
        <f aca="false">COUNTIFS(02_OUTPUT_ALL!$B:$B,A19,02_OUTPUT_ALL!$K:$K,"Cao")</f>
        <v>0</v>
      </c>
    </row>
    <row r="20" customFormat="false" ht="15" hidden="false" customHeight="false" outlineLevel="0" collapsed="false">
      <c r="A20" s="1" t="str">
        <f aca="false">01_PROJECT_ALL!A20</f>
        <v>P2023-03</v>
      </c>
      <c r="B20" s="1" t="n">
        <f aca="false">01_PROJECT_ALL!B20</f>
        <v>2023</v>
      </c>
      <c r="C20" s="1" t="str">
        <f aca="false">01_PROJECT_ALL!D20</f>
        <v>Sử dụng phương pháp học tập dự án để thúc đẩy sự tự chủ của sinh viên trong học phần cú pháp học</v>
      </c>
      <c r="D20" s="1" t="str">
        <f aca="false">01_PROJECT_ALL!I20</f>
        <v>Global Communication</v>
      </c>
      <c r="E20" s="1" t="n">
        <f aca="false">COUNTIF(02_OUTPUT_ALL!$B:$B,A20)</f>
        <v>3</v>
      </c>
      <c r="F20" s="1" t="n">
        <f aca="false">COUNTIF(03_IP_PRIORITY_ALL!$C:$C,A20)</f>
        <v>1</v>
      </c>
      <c r="G20" s="1" t="n">
        <f aca="false">COUNTIF(12_PUBLICATION_LINKS!$C:$C,A20)</f>
        <v>0</v>
      </c>
      <c r="H20" s="13" t="n">
        <f aca="false">COUNTIF(14_PROJECT_PROTECTION_LINK!$B:$B,A20)</f>
        <v>0</v>
      </c>
      <c r="I20" s="1" t="n">
        <f aca="false">COUNTIFS(02_OUTPUT_ALL!$B:$B,A20,02_OUTPUT_ALL!$L:$L,"Có")</f>
        <v>1</v>
      </c>
      <c r="J20" s="1" t="str">
        <f aca="false">IF(H20&gt;0,"Bảo hộ/xác lập có liên kết",IF(F20&gt;0,IF(I20&gt;0,"TSTT ưu tiên + có dấu hiệu ứng dụng","TSTT ưu tiên, chưa xác minh khai thác"),IF(G20&gt;0,"Chủ yếu công bố học thuật","Mới ở đầu ra nghiên cứu")))</f>
        <v>TSTT ưu tiên + có dấu hiệu ứng dụng</v>
      </c>
      <c r="K20" s="13" t="str">
        <f aca="false">IF(AND(L20&gt;0,H20=0),"Có đầu ra IP mức Cao nhưng chưa nối được hồ sơ bảo hộ; cần sàng lọc/đối chiếu",IF(AND(I20&gt;0,H20=0,F20&gt;0),"Có ứng dụng nhưng chưa xác định cơ chế quyền SHTT",""))</f>
        <v>Có ứng dụng nhưng chưa xác định cơ chế quyền SHTT</v>
      </c>
      <c r="L20" s="4" t="n">
        <f aca="false">COUNTIFS(02_OUTPUT_ALL!$B:$B,A20,02_OUTPUT_ALL!$K:$K,"Cao")</f>
        <v>0</v>
      </c>
    </row>
    <row r="21" customFormat="false" ht="15" hidden="false" customHeight="false" outlineLevel="0" collapsed="false">
      <c r="A21" s="1" t="str">
        <f aca="false">01_PROJECT_ALL!A21</f>
        <v>P2023-04</v>
      </c>
      <c r="B21" s="1" t="n">
        <f aca="false">01_PROJECT_ALL!B21</f>
        <v>2023</v>
      </c>
      <c r="C21" s="1" t="str">
        <f aca="false">01_PROJECT_ALL!D21</f>
        <v>Flipped classroom in higher education: Students' perspective</v>
      </c>
      <c r="D21" s="1" t="str">
        <f aca="false">01_PROJECT_ALL!I21</f>
        <v>Global Communication</v>
      </c>
      <c r="E21" s="1" t="n">
        <f aca="false">COUNTIF(02_OUTPUT_ALL!$B:$B,A21)</f>
        <v>3</v>
      </c>
      <c r="F21" s="1" t="n">
        <f aca="false">COUNTIF(03_IP_PRIORITY_ALL!$C:$C,A21)</f>
        <v>1</v>
      </c>
      <c r="G21" s="1" t="n">
        <f aca="false">COUNTIF(12_PUBLICATION_LINKS!$C:$C,A21)</f>
        <v>0</v>
      </c>
      <c r="H21" s="13" t="n">
        <f aca="false">COUNTIF(14_PROJECT_PROTECTION_LINK!$B:$B,A21)</f>
        <v>0</v>
      </c>
      <c r="I21" s="1" t="n">
        <f aca="false">COUNTIFS(02_OUTPUT_ALL!$B:$B,A21,02_OUTPUT_ALL!$L:$L,"Có")</f>
        <v>1</v>
      </c>
      <c r="J21" s="1" t="str">
        <f aca="false">IF(H21&gt;0,"Bảo hộ/xác lập có liên kết",IF(F21&gt;0,IF(I21&gt;0,"TSTT ưu tiên + có dấu hiệu ứng dụng","TSTT ưu tiên, chưa xác minh khai thác"),IF(G21&gt;0,"Chủ yếu công bố học thuật","Mới ở đầu ra nghiên cứu")))</f>
        <v>TSTT ưu tiên + có dấu hiệu ứng dụng</v>
      </c>
      <c r="K21" s="13" t="str">
        <f aca="false">IF(AND(L21&gt;0,H21=0),"Có đầu ra IP mức Cao nhưng chưa nối được hồ sơ bảo hộ; cần sàng lọc/đối chiếu",IF(AND(I21&gt;0,H21=0,F21&gt;0),"Có ứng dụng nhưng chưa xác định cơ chế quyền SHTT",""))</f>
        <v>Có ứng dụng nhưng chưa xác định cơ chế quyền SHTT</v>
      </c>
      <c r="L21" s="4" t="n">
        <f aca="false">COUNTIFS(02_OUTPUT_ALL!$B:$B,A21,02_OUTPUT_ALL!$K:$K,"Cao")</f>
        <v>0</v>
      </c>
    </row>
    <row r="22" customFormat="false" ht="15" hidden="false" customHeight="false" outlineLevel="0" collapsed="false">
      <c r="A22" s="1" t="str">
        <f aca="false">01_PROJECT_ALL!A22</f>
        <v>P2023-05</v>
      </c>
      <c r="B22" s="1" t="n">
        <f aca="false">01_PROJECT_ALL!B22</f>
        <v>2023</v>
      </c>
      <c r="C22" s="1" t="str">
        <f aca="false">01_PROJECT_ALL!D22</f>
        <v>Chính sách khuyến khích cho các công bố khoa học tại một số trường đại học ngoài công lập ở Việt Nam</v>
      </c>
      <c r="D22" s="1" t="str">
        <f aca="false">01_PROJECT_ALL!I22</f>
        <v>Khác/Chưa phân loại</v>
      </c>
      <c r="E22" s="1" t="n">
        <f aca="false">COUNTIF(02_OUTPUT_ALL!$B:$B,A22)</f>
        <v>3</v>
      </c>
      <c r="F22" s="1" t="n">
        <f aca="false">COUNTIF(03_IP_PRIORITY_ALL!$C:$C,A22)</f>
        <v>1</v>
      </c>
      <c r="G22" s="1" t="n">
        <f aca="false">COUNTIF(12_PUBLICATION_LINKS!$C:$C,A22)</f>
        <v>1</v>
      </c>
      <c r="H22" s="13" t="n">
        <f aca="false">COUNTIF(14_PROJECT_PROTECTION_LINK!$B:$B,A22)</f>
        <v>0</v>
      </c>
      <c r="I22" s="1" t="n">
        <f aca="false">COUNTIFS(02_OUTPUT_ALL!$B:$B,A22,02_OUTPUT_ALL!$L:$L,"Có")</f>
        <v>1</v>
      </c>
      <c r="J22" s="1" t="str">
        <f aca="false">IF(H22&gt;0,"Bảo hộ/xác lập có liên kết",IF(F22&gt;0,IF(I22&gt;0,"TSTT ưu tiên + có dấu hiệu ứng dụng","TSTT ưu tiên, chưa xác minh khai thác"),IF(G22&gt;0,"Chủ yếu công bố học thuật","Mới ở đầu ra nghiên cứu")))</f>
        <v>TSTT ưu tiên + có dấu hiệu ứng dụng</v>
      </c>
      <c r="K22" s="13" t="str">
        <f aca="false">IF(AND(L22&gt;0,H22=0),"Có đầu ra IP mức Cao nhưng chưa nối được hồ sơ bảo hộ; cần sàng lọc/đối chiếu",IF(AND(I22&gt;0,H22=0,F22&gt;0),"Có ứng dụng nhưng chưa xác định cơ chế quyền SHTT",""))</f>
        <v>Có ứng dụng nhưng chưa xác định cơ chế quyền SHTT</v>
      </c>
      <c r="L22" s="4" t="n">
        <f aca="false">COUNTIFS(02_OUTPUT_ALL!$B:$B,A22,02_OUTPUT_ALL!$K:$K,"Cao")</f>
        <v>0</v>
      </c>
    </row>
    <row r="23" customFormat="false" ht="15" hidden="false" customHeight="false" outlineLevel="0" collapsed="false">
      <c r="A23" s="1" t="str">
        <f aca="false">01_PROJECT_ALL!A23</f>
        <v>P2023-07</v>
      </c>
      <c r="B23" s="1" t="n">
        <f aca="false">01_PROJECT_ALL!B23</f>
        <v>2023</v>
      </c>
      <c r="C23" s="1" t="str">
        <f aca="false">01_PROJECT_ALL!D23</f>
        <v>Nâng cao nhận thức về luật hình sự Việt Nam cho sinh viên Trường Đại học Thành Đô</v>
      </c>
      <c r="D23" s="1" t="str">
        <f aca="false">01_PROJECT_ALL!I23</f>
        <v>Khác/Chưa phân loại</v>
      </c>
      <c r="E23" s="1" t="n">
        <f aca="false">COUNTIF(02_OUTPUT_ALL!$B:$B,A23)</f>
        <v>3</v>
      </c>
      <c r="F23" s="1" t="n">
        <f aca="false">COUNTIF(03_IP_PRIORITY_ALL!$C:$C,A23)</f>
        <v>1</v>
      </c>
      <c r="G23" s="1" t="n">
        <f aca="false">COUNTIF(12_PUBLICATION_LINKS!$C:$C,A23)</f>
        <v>0</v>
      </c>
      <c r="H23" s="13" t="n">
        <f aca="false">COUNTIF(14_PROJECT_PROTECTION_LINK!$B:$B,A23)</f>
        <v>0</v>
      </c>
      <c r="I23" s="1" t="n">
        <f aca="false">COUNTIFS(02_OUTPUT_ALL!$B:$B,A23,02_OUTPUT_ALL!$L:$L,"Có")</f>
        <v>1</v>
      </c>
      <c r="J23" s="1" t="str">
        <f aca="false">IF(H23&gt;0,"Bảo hộ/xác lập có liên kết",IF(F23&gt;0,IF(I23&gt;0,"TSTT ưu tiên + có dấu hiệu ứng dụng","TSTT ưu tiên, chưa xác minh khai thác"),IF(G23&gt;0,"Chủ yếu công bố học thuật","Mới ở đầu ra nghiên cứu")))</f>
        <v>TSTT ưu tiên + có dấu hiệu ứng dụng</v>
      </c>
      <c r="K23" s="13" t="str">
        <f aca="false">IF(AND(L23&gt;0,H23=0),"Có đầu ra IP mức Cao nhưng chưa nối được hồ sơ bảo hộ; cần sàng lọc/đối chiếu",IF(AND(I23&gt;0,H23=0,F23&gt;0),"Có ứng dụng nhưng chưa xác định cơ chế quyền SHTT",""))</f>
        <v>Có ứng dụng nhưng chưa xác định cơ chế quyền SHTT</v>
      </c>
      <c r="L23" s="4" t="n">
        <f aca="false">COUNTIFS(02_OUTPUT_ALL!$B:$B,A23,02_OUTPUT_ALL!$K:$K,"Cao")</f>
        <v>0</v>
      </c>
    </row>
    <row r="24" customFormat="false" ht="15" hidden="false" customHeight="false" outlineLevel="0" collapsed="false">
      <c r="A24" s="1" t="str">
        <f aca="false">01_PROJECT_ALL!A24</f>
        <v>P2023-08</v>
      </c>
      <c r="B24" s="1" t="n">
        <f aca="false">01_PROJECT_ALL!B24</f>
        <v>2023</v>
      </c>
      <c r="C24" s="1" t="str">
        <f aca="false">01_PROJECT_ALL!D24</f>
        <v>Ứng dụng mô hình hợp tác giáo dục giữa Nhà trường - Doanh nghiệp trong nghiên cứu chiết xuất tinh dầu từ vỏ bưởi</v>
      </c>
      <c r="D24" s="1" t="str">
        <f aca="false">01_PROJECT_ALL!I24</f>
        <v>Wellness &amp; Care</v>
      </c>
      <c r="E24" s="1" t="n">
        <f aca="false">COUNTIF(02_OUTPUT_ALL!$B:$B,A24)</f>
        <v>3</v>
      </c>
      <c r="F24" s="1" t="n">
        <f aca="false">COUNTIF(03_IP_PRIORITY_ALL!$C:$C,A24)</f>
        <v>2</v>
      </c>
      <c r="G24" s="1" t="n">
        <f aca="false">COUNTIF(12_PUBLICATION_LINKS!$C:$C,A24)</f>
        <v>1</v>
      </c>
      <c r="H24" s="13" t="n">
        <f aca="false">COUNTIF(14_PROJECT_PROTECTION_LINK!$B:$B,A24)</f>
        <v>1</v>
      </c>
      <c r="I24" s="1" t="n">
        <f aca="false">COUNTIFS(02_OUTPUT_ALL!$B:$B,A24,02_OUTPUT_ALL!$L:$L,"Có")</f>
        <v>2</v>
      </c>
      <c r="J24" s="1" t="str">
        <f aca="false">IF(H24&gt;0,"Bảo hộ/xác lập có liên kết",IF(F24&gt;0,IF(I24&gt;0,"TSTT ưu tiên + có dấu hiệu ứng dụng","TSTT ưu tiên, chưa xác minh khai thác"),IF(G24&gt;0,"Chủ yếu công bố học thuật","Mới ở đầu ra nghiên cứu")))</f>
        <v>Bảo hộ/xác lập có liên kết</v>
      </c>
      <c r="K24" s="13" t="str">
        <f aca="false">IF(AND(L24&gt;0,H24=0),"Có đầu ra IP mức Cao nhưng chưa nối được hồ sơ bảo hộ; cần sàng lọc/đối chiếu",IF(AND(I24&gt;0,H24=0,F24&gt;0),"Có ứng dụng nhưng chưa xác định cơ chế quyền SHTT",""))</f>
        <v/>
      </c>
      <c r="L24" s="4" t="n">
        <f aca="false">COUNTIFS(02_OUTPUT_ALL!$B:$B,A24,02_OUTPUT_ALL!$K:$K,"Cao")</f>
        <v>2</v>
      </c>
    </row>
    <row r="25" customFormat="false" ht="15" hidden="false" customHeight="false" outlineLevel="0" collapsed="false">
      <c r="A25" s="1" t="str">
        <f aca="false">01_PROJECT_ALL!A25</f>
        <v>P2024-06</v>
      </c>
      <c r="B25" s="1" t="n">
        <f aca="false">01_PROJECT_ALL!B25</f>
        <v>2024</v>
      </c>
      <c r="C25" s="1" t="str">
        <f aca="false">01_PROJECT_ALL!D25</f>
        <v>Nghiên cứu ứng dụng quy trình sản xuất xà phòng tảo biển hữu cơ</v>
      </c>
      <c r="D25" s="1" t="str">
        <f aca="false">01_PROJECT_ALL!I25</f>
        <v>Wellness &amp; Care</v>
      </c>
      <c r="E25" s="1" t="n">
        <f aca="false">COUNTIF(02_OUTPUT_ALL!$B:$B,A25)</f>
        <v>4</v>
      </c>
      <c r="F25" s="1" t="n">
        <f aca="false">COUNTIF(03_IP_PRIORITY_ALL!$C:$C,A25)</f>
        <v>2</v>
      </c>
      <c r="G25" s="1" t="n">
        <f aca="false">COUNTIF(12_PUBLICATION_LINKS!$C:$C,A25)</f>
        <v>1</v>
      </c>
      <c r="H25" s="13" t="n">
        <f aca="false">COUNTIF(14_PROJECT_PROTECTION_LINK!$B:$B,A25)</f>
        <v>0</v>
      </c>
      <c r="I25" s="1" t="n">
        <f aca="false">COUNTIFS(02_OUTPUT_ALL!$B:$B,A25,02_OUTPUT_ALL!$L:$L,"Có")</f>
        <v>2</v>
      </c>
      <c r="J25" s="1" t="str">
        <f aca="false">IF(H25&gt;0,"Bảo hộ/xác lập có liên kết",IF(F25&gt;0,IF(I25&gt;0,"TSTT ưu tiên + có dấu hiệu ứng dụng","TSTT ưu tiên, chưa xác minh khai thác"),IF(G25&gt;0,"Chủ yếu công bố học thuật","Mới ở đầu ra nghiên cứu")))</f>
        <v>TSTT ưu tiên + có dấu hiệu ứng dụng</v>
      </c>
      <c r="K25" s="13" t="str">
        <f aca="false">IF(AND(L25&gt;0,H25=0),"Có đầu ra IP mức Cao nhưng chưa nối được hồ sơ bảo hộ; cần sàng lọc/đối chiếu",IF(AND(I25&gt;0,H25=0,F25&gt;0),"Có ứng dụng nhưng chưa xác định cơ chế quyền SHTT",""))</f>
        <v>Có đầu ra IP mức Cao nhưng chưa nối được hồ sơ bảo hộ; cần sàng lọc/đối chiếu</v>
      </c>
      <c r="L25" s="4" t="n">
        <f aca="false">COUNTIFS(02_OUTPUT_ALL!$B:$B,A25,02_OUTPUT_ALL!$K:$K,"Cao")</f>
        <v>2</v>
      </c>
    </row>
    <row r="26" customFormat="false" ht="15" hidden="false" customHeight="false" outlineLevel="0" collapsed="false">
      <c r="A26" s="1" t="str">
        <f aca="false">01_PROJECT_ALL!A26</f>
        <v>P2024-07</v>
      </c>
      <c r="B26" s="1" t="n">
        <f aca="false">01_PROJECT_ALL!B26</f>
        <v>2024</v>
      </c>
      <c r="C26" s="1" t="str">
        <f aca="false">01_PROJECT_ALL!D26</f>
        <v>Nghiên cứu xây dựng bộ tiêu bản hiển vi cố định trong giảng dạy học phần Ký sinh trùng tại Trường Đại học Thành Đô</v>
      </c>
      <c r="D26" s="1" t="str">
        <f aca="false">01_PROJECT_ALL!I26</f>
        <v>Wellness &amp; Care</v>
      </c>
      <c r="E26" s="1" t="n">
        <f aca="false">COUNTIF(02_OUTPUT_ALL!$B:$B,A26)</f>
        <v>4</v>
      </c>
      <c r="F26" s="1" t="n">
        <f aca="false">COUNTIF(03_IP_PRIORITY_ALL!$C:$C,A26)</f>
        <v>2</v>
      </c>
      <c r="G26" s="1" t="n">
        <f aca="false">COUNTIF(12_PUBLICATION_LINKS!$C:$C,A26)</f>
        <v>0</v>
      </c>
      <c r="H26" s="13" t="n">
        <f aca="false">COUNTIF(14_PROJECT_PROTECTION_LINK!$B:$B,A26)</f>
        <v>0</v>
      </c>
      <c r="I26" s="1" t="n">
        <f aca="false">COUNTIFS(02_OUTPUT_ALL!$B:$B,A26,02_OUTPUT_ALL!$L:$L,"Có")</f>
        <v>2</v>
      </c>
      <c r="J26" s="1" t="str">
        <f aca="false">IF(H26&gt;0,"Bảo hộ/xác lập có liên kết",IF(F26&gt;0,IF(I26&gt;0,"TSTT ưu tiên + có dấu hiệu ứng dụng","TSTT ưu tiên, chưa xác minh khai thác"),IF(G26&gt;0,"Chủ yếu công bố học thuật","Mới ở đầu ra nghiên cứu")))</f>
        <v>TSTT ưu tiên + có dấu hiệu ứng dụng</v>
      </c>
      <c r="K26" s="13" t="str">
        <f aca="false">IF(AND(L26&gt;0,H26=0),"Có đầu ra IP mức Cao nhưng chưa nối được hồ sơ bảo hộ; cần sàng lọc/đối chiếu",IF(AND(I26&gt;0,H26=0,F26&gt;0),"Có ứng dụng nhưng chưa xác định cơ chế quyền SHTT",""))</f>
        <v>Có ứng dụng nhưng chưa xác định cơ chế quyền SHTT</v>
      </c>
      <c r="L26" s="4" t="n">
        <f aca="false">COUNTIFS(02_OUTPUT_ALL!$B:$B,A26,02_OUTPUT_ALL!$K:$K,"Cao")</f>
        <v>0</v>
      </c>
    </row>
    <row r="27" customFormat="false" ht="15" hidden="false" customHeight="false" outlineLevel="0" collapsed="false">
      <c r="A27" s="1" t="str">
        <f aca="false">01_PROJECT_ALL!A27</f>
        <v>P2024-08</v>
      </c>
      <c r="B27" s="1" t="n">
        <f aca="false">01_PROJECT_ALL!B27</f>
        <v>2024</v>
      </c>
      <c r="C27" s="1" t="str">
        <f aca="false">01_PROJECT_ALL!D27</f>
        <v>Cải tiến quy trình chiết xuất Rutin từ hoa Hòe (Sophora japonica L.) trong giảng dạy tại Trường Đại học Thành Đô</v>
      </c>
      <c r="D27" s="1" t="str">
        <f aca="false">01_PROJECT_ALL!I27</f>
        <v>Wellness &amp; Care</v>
      </c>
      <c r="E27" s="1" t="n">
        <f aca="false">COUNTIF(02_OUTPUT_ALL!$B:$B,A27)</f>
        <v>5</v>
      </c>
      <c r="F27" s="1" t="n">
        <f aca="false">COUNTIF(03_IP_PRIORITY_ALL!$C:$C,A27)</f>
        <v>2</v>
      </c>
      <c r="G27" s="1" t="n">
        <f aca="false">COUNTIF(12_PUBLICATION_LINKS!$C:$C,A27)</f>
        <v>0</v>
      </c>
      <c r="H27" s="13" t="n">
        <f aca="false">COUNTIF(14_PROJECT_PROTECTION_LINK!$B:$B,A27)</f>
        <v>0</v>
      </c>
      <c r="I27" s="1" t="n">
        <f aca="false">COUNTIFS(02_OUTPUT_ALL!$B:$B,A27,02_OUTPUT_ALL!$L:$L,"Có")</f>
        <v>2</v>
      </c>
      <c r="J27" s="1" t="str">
        <f aca="false">IF(H27&gt;0,"Bảo hộ/xác lập có liên kết",IF(F27&gt;0,IF(I27&gt;0,"TSTT ưu tiên + có dấu hiệu ứng dụng","TSTT ưu tiên, chưa xác minh khai thác"),IF(G27&gt;0,"Chủ yếu công bố học thuật","Mới ở đầu ra nghiên cứu")))</f>
        <v>TSTT ưu tiên + có dấu hiệu ứng dụng</v>
      </c>
      <c r="K27" s="13" t="str">
        <f aca="false">IF(AND(L27&gt;0,H27=0),"Có đầu ra IP mức Cao nhưng chưa nối được hồ sơ bảo hộ; cần sàng lọc/đối chiếu",IF(AND(I27&gt;0,H27=0,F27&gt;0),"Có ứng dụng nhưng chưa xác định cơ chế quyền SHTT",""))</f>
        <v>Có đầu ra IP mức Cao nhưng chưa nối được hồ sơ bảo hộ; cần sàng lọc/đối chiếu</v>
      </c>
      <c r="L27" s="4" t="n">
        <f aca="false">COUNTIFS(02_OUTPUT_ALL!$B:$B,A27,02_OUTPUT_ALL!$K:$K,"Cao")</f>
        <v>2</v>
      </c>
    </row>
    <row r="28" customFormat="false" ht="15" hidden="false" customHeight="false" outlineLevel="0" collapsed="false">
      <c r="A28" s="1" t="str">
        <f aca="false">01_PROJECT_ALL!A28</f>
        <v>P2024-09</v>
      </c>
      <c r="B28" s="1" t="n">
        <f aca="false">01_PROJECT_ALL!B28</f>
        <v>2024</v>
      </c>
      <c r="C28" s="1" t="str">
        <f aca="false">01_PROJECT_ALL!D28</f>
        <v>Nghiên cứu bào chế sản phẩm hỗ trợ giảm cân theo y học cổ truyền</v>
      </c>
      <c r="D28" s="1" t="str">
        <f aca="false">01_PROJECT_ALL!I28</f>
        <v>Wellness &amp; Care</v>
      </c>
      <c r="E28" s="1" t="n">
        <f aca="false">COUNTIF(02_OUTPUT_ALL!$B:$B,A28)</f>
        <v>4</v>
      </c>
      <c r="F28" s="1" t="n">
        <f aca="false">COUNTIF(03_IP_PRIORITY_ALL!$C:$C,A28)</f>
        <v>2</v>
      </c>
      <c r="G28" s="1" t="n">
        <f aca="false">COUNTIF(12_PUBLICATION_LINKS!$C:$C,A28)</f>
        <v>0</v>
      </c>
      <c r="H28" s="13" t="n">
        <f aca="false">COUNTIF(14_PROJECT_PROTECTION_LINK!$B:$B,A28)</f>
        <v>0</v>
      </c>
      <c r="I28" s="1" t="n">
        <f aca="false">COUNTIFS(02_OUTPUT_ALL!$B:$B,A28,02_OUTPUT_ALL!$L:$L,"Có")</f>
        <v>2</v>
      </c>
      <c r="J28" s="1" t="str">
        <f aca="false">IF(H28&gt;0,"Bảo hộ/xác lập có liên kết",IF(F28&gt;0,IF(I28&gt;0,"TSTT ưu tiên + có dấu hiệu ứng dụng","TSTT ưu tiên, chưa xác minh khai thác"),IF(G28&gt;0,"Chủ yếu công bố học thuật","Mới ở đầu ra nghiên cứu")))</f>
        <v>TSTT ưu tiên + có dấu hiệu ứng dụng</v>
      </c>
      <c r="K28" s="13" t="str">
        <f aca="false">IF(AND(L28&gt;0,H28=0),"Có đầu ra IP mức Cao nhưng chưa nối được hồ sơ bảo hộ; cần sàng lọc/đối chiếu",IF(AND(I28&gt;0,H28=0,F28&gt;0),"Có ứng dụng nhưng chưa xác định cơ chế quyền SHTT",""))</f>
        <v>Có đầu ra IP mức Cao nhưng chưa nối được hồ sơ bảo hộ; cần sàng lọc/đối chiếu</v>
      </c>
      <c r="L28" s="4" t="n">
        <f aca="false">COUNTIFS(02_OUTPUT_ALL!$B:$B,A28,02_OUTPUT_ALL!$K:$K,"Cao")</f>
        <v>2</v>
      </c>
    </row>
    <row r="29" customFormat="false" ht="15" hidden="false" customHeight="false" outlineLevel="0" collapsed="false">
      <c r="A29" s="1" t="str">
        <f aca="false">01_PROJECT_ALL!A29</f>
        <v>P2024-10</v>
      </c>
      <c r="B29" s="1" t="n">
        <f aca="false">01_PROJECT_ALL!B29</f>
        <v>2024</v>
      </c>
      <c r="C29" s="1" t="str">
        <f aca="false">01_PROJECT_ALL!D29</f>
        <v>Triết lý nhân sinh trong thơ văn của Nguyễn Đình Chiểu và vận dụng giáo dục đạo đức cho sinh viên Trường Đại học Thành Đô hiện nay</v>
      </c>
      <c r="D29" s="1" t="str">
        <f aca="false">01_PROJECT_ALL!I29</f>
        <v>Khác/Chưa phân loại</v>
      </c>
      <c r="E29" s="1" t="n">
        <f aca="false">COUNTIF(02_OUTPUT_ALL!$B:$B,A29)</f>
        <v>2</v>
      </c>
      <c r="F29" s="1" t="n">
        <f aca="false">COUNTIF(03_IP_PRIORITY_ALL!$C:$C,A29)</f>
        <v>0</v>
      </c>
      <c r="G29" s="1" t="n">
        <f aca="false">COUNTIF(12_PUBLICATION_LINKS!$C:$C,A29)</f>
        <v>1</v>
      </c>
      <c r="H29" s="13" t="n">
        <f aca="false">COUNTIF(14_PROJECT_PROTECTION_LINK!$B:$B,A29)</f>
        <v>0</v>
      </c>
      <c r="I29" s="1" t="n">
        <f aca="false">COUNTIFS(02_OUTPUT_ALL!$B:$B,A29,02_OUTPUT_ALL!$L:$L,"Có")</f>
        <v>0</v>
      </c>
      <c r="J29" s="1" t="str">
        <f aca="false">IF(H29&gt;0,"Bảo hộ/xác lập có liên kết",IF(F29&gt;0,IF(I29&gt;0,"TSTT ưu tiên + có dấu hiệu ứng dụng","TSTT ưu tiên, chưa xác minh khai thác"),IF(G29&gt;0,"Chủ yếu công bố học thuật","Mới ở đầu ra nghiên cứu")))</f>
        <v>Chủ yếu công bố học thuật</v>
      </c>
      <c r="K29" s="13" t="str">
        <f aca="false">IF(AND(L29&gt;0,H29=0),"Có đầu ra IP mức Cao nhưng chưa nối được hồ sơ bảo hộ; cần sàng lọc/đối chiếu",IF(AND(I29&gt;0,H29=0,F29&gt;0),"Có ứng dụng nhưng chưa xác định cơ chế quyền SHTT",""))</f>
        <v/>
      </c>
      <c r="L29" s="4" t="n">
        <f aca="false">COUNTIFS(02_OUTPUT_ALL!$B:$B,A29,02_OUTPUT_ALL!$K:$K,"Cao")</f>
        <v>0</v>
      </c>
    </row>
    <row r="30" customFormat="false" ht="15" hidden="false" customHeight="false" outlineLevel="0" collapsed="false">
      <c r="A30" s="1" t="str">
        <f aca="false">01_PROJECT_ALL!A30</f>
        <v>P2024-12</v>
      </c>
      <c r="B30" s="1" t="n">
        <f aca="false">01_PROJECT_ALL!B30</f>
        <v>2024</v>
      </c>
      <c r="C30" s="1" t="str">
        <f aca="false">01_PROJECT_ALL!D30</f>
        <v>Tích hợp giáo dục vì sự phát triển bền vững trong dạy học “sinh thái học và môi trường” (Sinh học 12)</v>
      </c>
      <c r="D30" s="1" t="str">
        <f aca="false">01_PROJECT_ALL!I30</f>
        <v>Khác/Chưa phân loại</v>
      </c>
      <c r="E30" s="1" t="n">
        <f aca="false">COUNTIF(02_OUTPUT_ALL!$B:$B,A30)</f>
        <v>3</v>
      </c>
      <c r="F30" s="1" t="n">
        <f aca="false">COUNTIF(03_IP_PRIORITY_ALL!$C:$C,A30)</f>
        <v>0</v>
      </c>
      <c r="G30" s="1" t="n">
        <f aca="false">COUNTIF(12_PUBLICATION_LINKS!$C:$C,A30)</f>
        <v>1</v>
      </c>
      <c r="H30" s="13" t="n">
        <f aca="false">COUNTIF(14_PROJECT_PROTECTION_LINK!$B:$B,A30)</f>
        <v>0</v>
      </c>
      <c r="I30" s="1" t="n">
        <f aca="false">COUNTIFS(02_OUTPUT_ALL!$B:$B,A30,02_OUTPUT_ALL!$L:$L,"Có")</f>
        <v>0</v>
      </c>
      <c r="J30" s="1" t="str">
        <f aca="false">IF(H30&gt;0,"Bảo hộ/xác lập có liên kết",IF(F30&gt;0,IF(I30&gt;0,"TSTT ưu tiên + có dấu hiệu ứng dụng","TSTT ưu tiên, chưa xác minh khai thác"),IF(G30&gt;0,"Chủ yếu công bố học thuật","Mới ở đầu ra nghiên cứu")))</f>
        <v>Chủ yếu công bố học thuật</v>
      </c>
      <c r="K30" s="13" t="str">
        <f aca="false">IF(AND(L30&gt;0,H30=0),"Có đầu ra IP mức Cao nhưng chưa nối được hồ sơ bảo hộ; cần sàng lọc/đối chiếu",IF(AND(I30&gt;0,H30=0,F30&gt;0),"Có ứng dụng nhưng chưa xác định cơ chế quyền SHTT",""))</f>
        <v/>
      </c>
      <c r="L30" s="4" t="n">
        <f aca="false">COUNTIFS(02_OUTPUT_ALL!$B:$B,A30,02_OUTPUT_ALL!$K:$K,"Cao")</f>
        <v>0</v>
      </c>
    </row>
    <row r="31" customFormat="false" ht="15" hidden="false" customHeight="false" outlineLevel="0" collapsed="false">
      <c r="A31" s="1" t="str">
        <f aca="false">01_PROJECT_ALL!A31</f>
        <v>P2024-13</v>
      </c>
      <c r="B31" s="1" t="n">
        <f aca="false">01_PROJECT_ALL!B31</f>
        <v>2024</v>
      </c>
      <c r="C31" s="1" t="str">
        <f aca="false">01_PROJECT_ALL!D31</f>
        <v>Quan điểm của Francis Fukuyama về sự cáo chung của lịch sử trong tác phẩm Sự cáo chung của lịch sử và Con người cuối cùng</v>
      </c>
      <c r="D31" s="1" t="str">
        <f aca="false">01_PROJECT_ALL!I31</f>
        <v>Khác/Chưa phân loại</v>
      </c>
      <c r="E31" s="1" t="n">
        <f aca="false">COUNTIF(02_OUTPUT_ALL!$B:$B,A31)</f>
        <v>2</v>
      </c>
      <c r="F31" s="1" t="n">
        <f aca="false">COUNTIF(03_IP_PRIORITY_ALL!$C:$C,A31)</f>
        <v>0</v>
      </c>
      <c r="G31" s="1" t="n">
        <f aca="false">COUNTIF(12_PUBLICATION_LINKS!$C:$C,A31)</f>
        <v>1</v>
      </c>
      <c r="H31" s="13" t="n">
        <f aca="false">COUNTIF(14_PROJECT_PROTECTION_LINK!$B:$B,A31)</f>
        <v>0</v>
      </c>
      <c r="I31" s="1" t="n">
        <f aca="false">COUNTIFS(02_OUTPUT_ALL!$B:$B,A31,02_OUTPUT_ALL!$L:$L,"Có")</f>
        <v>0</v>
      </c>
      <c r="J31" s="1" t="str">
        <f aca="false">IF(H31&gt;0,"Bảo hộ/xác lập có liên kết",IF(F31&gt;0,IF(I31&gt;0,"TSTT ưu tiên + có dấu hiệu ứng dụng","TSTT ưu tiên, chưa xác minh khai thác"),IF(G31&gt;0,"Chủ yếu công bố học thuật","Mới ở đầu ra nghiên cứu")))</f>
        <v>Chủ yếu công bố học thuật</v>
      </c>
      <c r="K31" s="13" t="str">
        <f aca="false">IF(AND(L31&gt;0,H31=0),"Có đầu ra IP mức Cao nhưng chưa nối được hồ sơ bảo hộ; cần sàng lọc/đối chiếu",IF(AND(I31&gt;0,H31=0,F31&gt;0),"Có ứng dụng nhưng chưa xác định cơ chế quyền SHTT",""))</f>
        <v/>
      </c>
      <c r="L31" s="4" t="n">
        <f aca="false">COUNTIFS(02_OUTPUT_ALL!$B:$B,A31,02_OUTPUT_ALL!$K:$K,"Cao")</f>
        <v>0</v>
      </c>
    </row>
    <row r="32" customFormat="false" ht="15" hidden="false" customHeight="false" outlineLevel="0" collapsed="false">
      <c r="A32" s="1" t="str">
        <f aca="false">01_PROJECT_ALL!A32</f>
        <v>P2024-14</v>
      </c>
      <c r="B32" s="1" t="n">
        <f aca="false">01_PROJECT_ALL!B32</f>
        <v>2024</v>
      </c>
      <c r="C32" s="1" t="str">
        <f aca="false">01_PROJECT_ALL!D32</f>
        <v>Rèn luyện năng lực dạy học tích hợp giáo dục vì sự phát triển bền vững cho sinh viên ngành sư phạm sinh học</v>
      </c>
      <c r="D32" s="1" t="str">
        <f aca="false">01_PROJECT_ALL!I32</f>
        <v>Khác/Chưa phân loại</v>
      </c>
      <c r="E32" s="1" t="n">
        <f aca="false">COUNTIF(02_OUTPUT_ALL!$B:$B,A32)</f>
        <v>3</v>
      </c>
      <c r="F32" s="1" t="n">
        <f aca="false">COUNTIF(03_IP_PRIORITY_ALL!$C:$C,A32)</f>
        <v>0</v>
      </c>
      <c r="G32" s="1" t="n">
        <f aca="false">COUNTIF(12_PUBLICATION_LINKS!$C:$C,A32)</f>
        <v>1</v>
      </c>
      <c r="H32" s="13" t="n">
        <f aca="false">COUNTIF(14_PROJECT_PROTECTION_LINK!$B:$B,A32)</f>
        <v>0</v>
      </c>
      <c r="I32" s="1" t="n">
        <f aca="false">COUNTIFS(02_OUTPUT_ALL!$B:$B,A32,02_OUTPUT_ALL!$L:$L,"Có")</f>
        <v>0</v>
      </c>
      <c r="J32" s="1" t="str">
        <f aca="false">IF(H32&gt;0,"Bảo hộ/xác lập có liên kết",IF(F32&gt;0,IF(I32&gt;0,"TSTT ưu tiên + có dấu hiệu ứng dụng","TSTT ưu tiên, chưa xác minh khai thác"),IF(G32&gt;0,"Chủ yếu công bố học thuật","Mới ở đầu ra nghiên cứu")))</f>
        <v>Chủ yếu công bố học thuật</v>
      </c>
      <c r="K32" s="13" t="str">
        <f aca="false">IF(AND(L32&gt;0,H32=0),"Có đầu ra IP mức Cao nhưng chưa nối được hồ sơ bảo hộ; cần sàng lọc/đối chiếu",IF(AND(I32&gt;0,H32=0,F32&gt;0),"Có ứng dụng nhưng chưa xác định cơ chế quyền SHTT",""))</f>
        <v/>
      </c>
      <c r="L32" s="4" t="n">
        <f aca="false">COUNTIFS(02_OUTPUT_ALL!$B:$B,A32,02_OUTPUT_ALL!$K:$K,"Cao")</f>
        <v>0</v>
      </c>
    </row>
    <row r="33" customFormat="false" ht="15" hidden="false" customHeight="false" outlineLevel="0" collapsed="false">
      <c r="A33" s="1" t="str">
        <f aca="false">01_PROJECT_ALL!A33</f>
        <v>P2025-01</v>
      </c>
      <c r="B33" s="1" t="n">
        <f aca="false">01_PROJECT_ALL!B33</f>
        <v>2025</v>
      </c>
      <c r="C33" s="1" t="str">
        <f aca="false">01_PROJECT_ALL!D33</f>
        <v>Sử dụng chiến lược scaffolding để tăng cường sự tham gia của sinh viên trong lớp học tiếng Anh đa trình độ</v>
      </c>
      <c r="D33" s="1" t="str">
        <f aca="false">01_PROJECT_ALL!I33</f>
        <v>Global Communication</v>
      </c>
      <c r="E33" s="1" t="n">
        <f aca="false">COUNTIF(02_OUTPUT_ALL!$B:$B,A33)</f>
        <v>2</v>
      </c>
      <c r="F33" s="1" t="n">
        <f aca="false">COUNTIF(03_IP_PRIORITY_ALL!$C:$C,A33)</f>
        <v>0</v>
      </c>
      <c r="G33" s="1" t="n">
        <f aca="false">COUNTIF(12_PUBLICATION_LINKS!$C:$C,A33)</f>
        <v>0</v>
      </c>
      <c r="H33" s="13" t="n">
        <f aca="false">COUNTIF(14_PROJECT_PROTECTION_LINK!$B:$B,A33)</f>
        <v>0</v>
      </c>
      <c r="I33" s="1" t="n">
        <f aca="false">COUNTIFS(02_OUTPUT_ALL!$B:$B,A33,02_OUTPUT_ALL!$L:$L,"Có")</f>
        <v>0</v>
      </c>
      <c r="J33" s="1" t="str">
        <f aca="false">IF(H33&gt;0,"Bảo hộ/xác lập có liên kết",IF(F33&gt;0,IF(I33&gt;0,"TSTT ưu tiên + có dấu hiệu ứng dụng","TSTT ưu tiên, chưa xác minh khai thác"),IF(G33&gt;0,"Chủ yếu công bố học thuật","Mới ở đầu ra nghiên cứu")))</f>
        <v>Mới ở đầu ra nghiên cứu</v>
      </c>
      <c r="K33" s="13" t="str">
        <f aca="false">IF(AND(L33&gt;0,H33=0),"Có đầu ra IP mức Cao nhưng chưa nối được hồ sơ bảo hộ; cần sàng lọc/đối chiếu",IF(AND(I33&gt;0,H33=0,F33&gt;0),"Có ứng dụng nhưng chưa xác định cơ chế quyền SHTT",""))</f>
        <v/>
      </c>
      <c r="L33" s="4" t="n">
        <f aca="false">COUNTIFS(02_OUTPUT_ALL!$B:$B,A33,02_OUTPUT_ALL!$K:$K,"Cao")</f>
        <v>0</v>
      </c>
    </row>
    <row r="34" customFormat="false" ht="15" hidden="false" customHeight="false" outlineLevel="0" collapsed="false">
      <c r="A34" s="1" t="str">
        <f aca="false">01_PROJECT_ALL!A34</f>
        <v>P2025-02</v>
      </c>
      <c r="B34" s="1" t="n">
        <f aca="false">01_PROJECT_ALL!B34</f>
        <v>2025</v>
      </c>
      <c r="C34" s="1" t="str">
        <f aca="false">01_PROJECT_ALL!D34</f>
        <v>Phát triển kiến thức và kỹ năng đổi mới sáng tạo cho sinh viên ngành quản trị kinh doanh Trường Đại học Thành Đô</v>
      </c>
      <c r="D34" s="1" t="str">
        <f aca="false">01_PROJECT_ALL!I34</f>
        <v>Digital Services</v>
      </c>
      <c r="E34" s="1" t="n">
        <f aca="false">COUNTIF(02_OUTPUT_ALL!$B:$B,A34)</f>
        <v>2</v>
      </c>
      <c r="F34" s="1" t="n">
        <f aca="false">COUNTIF(03_IP_PRIORITY_ALL!$C:$C,A34)</f>
        <v>0</v>
      </c>
      <c r="G34" s="1" t="n">
        <f aca="false">COUNTIF(12_PUBLICATION_LINKS!$C:$C,A34)</f>
        <v>1</v>
      </c>
      <c r="H34" s="13" t="n">
        <f aca="false">COUNTIF(14_PROJECT_PROTECTION_LINK!$B:$B,A34)</f>
        <v>0</v>
      </c>
      <c r="I34" s="1" t="n">
        <f aca="false">COUNTIFS(02_OUTPUT_ALL!$B:$B,A34,02_OUTPUT_ALL!$L:$L,"Có")</f>
        <v>0</v>
      </c>
      <c r="J34" s="1" t="str">
        <f aca="false">IF(H34&gt;0,"Bảo hộ/xác lập có liên kết",IF(F34&gt;0,IF(I34&gt;0,"TSTT ưu tiên + có dấu hiệu ứng dụng","TSTT ưu tiên, chưa xác minh khai thác"),IF(G34&gt;0,"Chủ yếu công bố học thuật","Mới ở đầu ra nghiên cứu")))</f>
        <v>Chủ yếu công bố học thuật</v>
      </c>
      <c r="K34" s="13" t="str">
        <f aca="false">IF(AND(L34&gt;0,H34=0),"Có đầu ra IP mức Cao nhưng chưa nối được hồ sơ bảo hộ; cần sàng lọc/đối chiếu",IF(AND(I34&gt;0,H34=0,F34&gt;0),"Có ứng dụng nhưng chưa xác định cơ chế quyền SHTT",""))</f>
        <v/>
      </c>
      <c r="L34" s="4" t="n">
        <f aca="false">COUNTIFS(02_OUTPUT_ALL!$B:$B,A34,02_OUTPUT_ALL!$K:$K,"Cao")</f>
        <v>0</v>
      </c>
    </row>
    <row r="35" customFormat="false" ht="15" hidden="false" customHeight="false" outlineLevel="0" collapsed="false">
      <c r="A35" s="1" t="str">
        <f aca="false">01_PROJECT_ALL!A35</f>
        <v>P2025-03</v>
      </c>
      <c r="B35" s="1" t="n">
        <f aca="false">01_PROJECT_ALL!B35</f>
        <v>2025</v>
      </c>
      <c r="C35" s="1" t="str">
        <f aca="false">01_PROJECT_ALL!D35</f>
        <v>Nghiên cứu các nhân tố ảnh hưởng đến khả năng tự quyết toán thuế TNCN của người nộp thuế TNCN trên địa bàn thành phố Hà Nội</v>
      </c>
      <c r="D35" s="1" t="str">
        <f aca="false">01_PROJECT_ALL!I35</f>
        <v>Digital Services</v>
      </c>
      <c r="E35" s="1" t="n">
        <f aca="false">COUNTIF(02_OUTPUT_ALL!$B:$B,A35)</f>
        <v>2</v>
      </c>
      <c r="F35" s="1" t="n">
        <f aca="false">COUNTIF(03_IP_PRIORITY_ALL!$C:$C,A35)</f>
        <v>0</v>
      </c>
      <c r="G35" s="1" t="n">
        <f aca="false">COUNTIF(12_PUBLICATION_LINKS!$C:$C,A35)</f>
        <v>0</v>
      </c>
      <c r="H35" s="13" t="n">
        <f aca="false">COUNTIF(14_PROJECT_PROTECTION_LINK!$B:$B,A35)</f>
        <v>0</v>
      </c>
      <c r="I35" s="1" t="n">
        <f aca="false">COUNTIFS(02_OUTPUT_ALL!$B:$B,A35,02_OUTPUT_ALL!$L:$L,"Có")</f>
        <v>0</v>
      </c>
      <c r="J35" s="1" t="str">
        <f aca="false">IF(H35&gt;0,"Bảo hộ/xác lập có liên kết",IF(F35&gt;0,IF(I35&gt;0,"TSTT ưu tiên + có dấu hiệu ứng dụng","TSTT ưu tiên, chưa xác minh khai thác"),IF(G35&gt;0,"Chủ yếu công bố học thuật","Mới ở đầu ra nghiên cứu")))</f>
        <v>Mới ở đầu ra nghiên cứu</v>
      </c>
      <c r="K35" s="13" t="str">
        <f aca="false">IF(AND(L35&gt;0,H35=0),"Có đầu ra IP mức Cao nhưng chưa nối được hồ sơ bảo hộ; cần sàng lọc/đối chiếu",IF(AND(I35&gt;0,H35=0,F35&gt;0),"Có ứng dụng nhưng chưa xác định cơ chế quyền SHTT",""))</f>
        <v/>
      </c>
      <c r="L35" s="4" t="n">
        <f aca="false">COUNTIFS(02_OUTPUT_ALL!$B:$B,A35,02_OUTPUT_ALL!$K:$K,"Cao")</f>
        <v>0</v>
      </c>
    </row>
    <row r="36" customFormat="false" ht="15" hidden="false" customHeight="false" outlineLevel="0" collapsed="false">
      <c r="A36" s="1" t="str">
        <f aca="false">01_PROJECT_ALL!A36</f>
        <v>P2025-04</v>
      </c>
      <c r="B36" s="1" t="n">
        <f aca="false">01_PROJECT_ALL!B36</f>
        <v>2025</v>
      </c>
      <c r="C36" s="1" t="str">
        <f aca="false">01_PROJECT_ALL!D36</f>
        <v>Hoàn thiện kỹ năng soạn thảo hợp đồng cho sinh viên Trường Đại học Thành Đô</v>
      </c>
      <c r="D36" s="1" t="str">
        <f aca="false">01_PROJECT_ALL!I36</f>
        <v>Khác/Chưa phân loại</v>
      </c>
      <c r="E36" s="1" t="n">
        <f aca="false">COUNTIF(02_OUTPUT_ALL!$B:$B,A36)</f>
        <v>1</v>
      </c>
      <c r="F36" s="1" t="n">
        <f aca="false">COUNTIF(03_IP_PRIORITY_ALL!$C:$C,A36)</f>
        <v>0</v>
      </c>
      <c r="G36" s="1" t="n">
        <f aca="false">COUNTIF(12_PUBLICATION_LINKS!$C:$C,A36)</f>
        <v>0</v>
      </c>
      <c r="H36" s="13" t="n">
        <f aca="false">COUNTIF(14_PROJECT_PROTECTION_LINK!$B:$B,A36)</f>
        <v>0</v>
      </c>
      <c r="I36" s="1" t="n">
        <f aca="false">COUNTIFS(02_OUTPUT_ALL!$B:$B,A36,02_OUTPUT_ALL!$L:$L,"Có")</f>
        <v>0</v>
      </c>
      <c r="J36" s="1" t="str">
        <f aca="false">IF(H36&gt;0,"Bảo hộ/xác lập có liên kết",IF(F36&gt;0,IF(I36&gt;0,"TSTT ưu tiên + có dấu hiệu ứng dụng","TSTT ưu tiên, chưa xác minh khai thác"),IF(G36&gt;0,"Chủ yếu công bố học thuật","Mới ở đầu ra nghiên cứu")))</f>
        <v>Mới ở đầu ra nghiên cứu</v>
      </c>
      <c r="K36" s="13" t="str">
        <f aca="false">IF(AND(L36&gt;0,H36=0),"Có đầu ra IP mức Cao nhưng chưa nối được hồ sơ bảo hộ; cần sàng lọc/đối chiếu",IF(AND(I36&gt;0,H36=0,F36&gt;0),"Có ứng dụng nhưng chưa xác định cơ chế quyền SHTT",""))</f>
        <v/>
      </c>
      <c r="L36" s="4" t="n">
        <f aca="false">COUNTIFS(02_OUTPUT_ALL!$B:$B,A36,02_OUTPUT_ALL!$K:$K,"Cao")</f>
        <v>0</v>
      </c>
    </row>
    <row r="37" customFormat="false" ht="15" hidden="false" customHeight="false" outlineLevel="0" collapsed="false">
      <c r="A37" s="1" t="str">
        <f aca="false">01_PROJECT_ALL!A37</f>
        <v>P2025-06</v>
      </c>
      <c r="B37" s="1" t="n">
        <f aca="false">01_PROJECT_ALL!B37</f>
        <v>2025</v>
      </c>
      <c r="C37" s="1" t="str">
        <f aca="false">01_PROJECT_ALL!D37</f>
        <v>Nghiên cứu bào chế cồn thuốc xoa bóp hỗ trợ giảm đau nhức xương khớp quy mô phòng thí nghiệm</v>
      </c>
      <c r="D37" s="1" t="str">
        <f aca="false">01_PROJECT_ALL!I37</f>
        <v>Wellness &amp; Care</v>
      </c>
      <c r="E37" s="1" t="n">
        <f aca="false">COUNTIF(02_OUTPUT_ALL!$B:$B,A37)</f>
        <v>3</v>
      </c>
      <c r="F37" s="1" t="n">
        <f aca="false">COUNTIF(03_IP_PRIORITY_ALL!$C:$C,A37)</f>
        <v>2</v>
      </c>
      <c r="G37" s="1" t="n">
        <f aca="false">COUNTIF(12_PUBLICATION_LINKS!$C:$C,A37)</f>
        <v>0</v>
      </c>
      <c r="H37" s="13" t="n">
        <f aca="false">COUNTIF(14_PROJECT_PROTECTION_LINK!$B:$B,A37)</f>
        <v>0</v>
      </c>
      <c r="I37" s="1" t="n">
        <f aca="false">COUNTIFS(02_OUTPUT_ALL!$B:$B,A37,02_OUTPUT_ALL!$L:$L,"Có")</f>
        <v>2</v>
      </c>
      <c r="J37" s="1" t="str">
        <f aca="false">IF(H37&gt;0,"Bảo hộ/xác lập có liên kết",IF(F37&gt;0,IF(I37&gt;0,"TSTT ưu tiên + có dấu hiệu ứng dụng","TSTT ưu tiên, chưa xác minh khai thác"),IF(G37&gt;0,"Chủ yếu công bố học thuật","Mới ở đầu ra nghiên cứu")))</f>
        <v>TSTT ưu tiên + có dấu hiệu ứng dụng</v>
      </c>
      <c r="K37" s="13" t="str">
        <f aca="false">IF(AND(L37&gt;0,H37=0),"Có đầu ra IP mức Cao nhưng chưa nối được hồ sơ bảo hộ; cần sàng lọc/đối chiếu",IF(AND(I37&gt;0,H37=0,F37&gt;0),"Có ứng dụng nhưng chưa xác định cơ chế quyền SHTT",""))</f>
        <v>Có đầu ra IP mức Cao nhưng chưa nối được hồ sơ bảo hộ; cần sàng lọc/đối chiếu</v>
      </c>
      <c r="L37" s="4" t="n">
        <f aca="false">COUNTIFS(02_OUTPUT_ALL!$B:$B,A37,02_OUTPUT_ALL!$K:$K,"Cao")</f>
        <v>2</v>
      </c>
    </row>
    <row r="38" customFormat="false" ht="15" hidden="false" customHeight="false" outlineLevel="0" collapsed="false">
      <c r="A38" s="1" t="str">
        <f aca="false">01_PROJECT_ALL!A38</f>
        <v>P2025-07</v>
      </c>
      <c r="B38" s="1" t="n">
        <f aca="false">01_PROJECT_ALL!B38</f>
        <v>2025</v>
      </c>
      <c r="C38" s="1" t="str">
        <f aca="false">01_PROJECT_ALL!D38</f>
        <v>Nghiên cứu bào chế viên ngậm hỗ trợ giảm ho từ Gừng và Húng chanh</v>
      </c>
      <c r="D38" s="1" t="str">
        <f aca="false">01_PROJECT_ALL!I38</f>
        <v>Wellness &amp; Care</v>
      </c>
      <c r="E38" s="1" t="n">
        <f aca="false">COUNTIF(02_OUTPUT_ALL!$B:$B,A38)</f>
        <v>4</v>
      </c>
      <c r="F38" s="1" t="n">
        <f aca="false">COUNTIF(03_IP_PRIORITY_ALL!$C:$C,A38)</f>
        <v>2</v>
      </c>
      <c r="G38" s="1" t="n">
        <f aca="false">COUNTIF(12_PUBLICATION_LINKS!$C:$C,A38)</f>
        <v>0</v>
      </c>
      <c r="H38" s="13" t="n">
        <f aca="false">COUNTIF(14_PROJECT_PROTECTION_LINK!$B:$B,A38)</f>
        <v>0</v>
      </c>
      <c r="I38" s="1" t="n">
        <f aca="false">COUNTIFS(02_OUTPUT_ALL!$B:$B,A38,02_OUTPUT_ALL!$L:$L,"Có")</f>
        <v>2</v>
      </c>
      <c r="J38" s="1" t="str">
        <f aca="false">IF(H38&gt;0,"Bảo hộ/xác lập có liên kết",IF(F38&gt;0,IF(I38&gt;0,"TSTT ưu tiên + có dấu hiệu ứng dụng","TSTT ưu tiên, chưa xác minh khai thác"),IF(G38&gt;0,"Chủ yếu công bố học thuật","Mới ở đầu ra nghiên cứu")))</f>
        <v>TSTT ưu tiên + có dấu hiệu ứng dụng</v>
      </c>
      <c r="K38" s="13" t="str">
        <f aca="false">IF(AND(L38&gt;0,H38=0),"Có đầu ra IP mức Cao nhưng chưa nối được hồ sơ bảo hộ; cần sàng lọc/đối chiếu",IF(AND(I38&gt;0,H38=0,F38&gt;0),"Có ứng dụng nhưng chưa xác định cơ chế quyền SHTT",""))</f>
        <v>Có đầu ra IP mức Cao nhưng chưa nối được hồ sơ bảo hộ; cần sàng lọc/đối chiếu</v>
      </c>
      <c r="L38" s="4" t="n">
        <f aca="false">COUNTIFS(02_OUTPUT_ALL!$B:$B,A38,02_OUTPUT_ALL!$K:$K,"Cao")</f>
        <v>2</v>
      </c>
    </row>
    <row r="39" customFormat="false" ht="15" hidden="false" customHeight="false" outlineLevel="0" collapsed="false">
      <c r="A39" s="1" t="str">
        <f aca="false">01_PROJECT_ALL!A39</f>
        <v>P2025-09</v>
      </c>
      <c r="B39" s="1" t="n">
        <f aca="false">01_PROJECT_ALL!B39</f>
        <v>2025</v>
      </c>
      <c r="C39" s="1" t="str">
        <f aca="false">01_PROJECT_ALL!D39</f>
        <v>Nghiên cứu chiết xuất và đánh giá hoạt tính dược học của lá Quế hoa (Osmanthus fragrans) hướng tới ứng dụng trong thực phẩm chức năng</v>
      </c>
      <c r="D39" s="1" t="str">
        <f aca="false">01_PROJECT_ALL!I39</f>
        <v>Wellness &amp; Care</v>
      </c>
      <c r="E39" s="1" t="n">
        <f aca="false">COUNTIF(02_OUTPUT_ALL!$B:$B,A39)</f>
        <v>3</v>
      </c>
      <c r="F39" s="1" t="n">
        <f aca="false">COUNTIF(03_IP_PRIORITY_ALL!$C:$C,A39)</f>
        <v>1</v>
      </c>
      <c r="G39" s="1" t="n">
        <f aca="false">COUNTIF(12_PUBLICATION_LINKS!$C:$C,A39)</f>
        <v>0</v>
      </c>
      <c r="H39" s="13" t="n">
        <f aca="false">COUNTIF(14_PROJECT_PROTECTION_LINK!$B:$B,A39)</f>
        <v>1</v>
      </c>
      <c r="I39" s="1" t="n">
        <f aca="false">COUNTIFS(02_OUTPUT_ALL!$B:$B,A39,02_OUTPUT_ALL!$L:$L,"Có")</f>
        <v>0</v>
      </c>
      <c r="J39" s="1" t="str">
        <f aca="false">IF(H39&gt;0,"Bảo hộ/xác lập có liên kết",IF(F39&gt;0,IF(I39&gt;0,"TSTT ưu tiên + có dấu hiệu ứng dụng","TSTT ưu tiên, chưa xác minh khai thác"),IF(G39&gt;0,"Chủ yếu công bố học thuật","Mới ở đầu ra nghiên cứu")))</f>
        <v>Bảo hộ/xác lập có liên kết</v>
      </c>
      <c r="K39" s="13" t="str">
        <f aca="false">IF(AND(L39&gt;0,H39=0),"Có đầu ra IP mức Cao nhưng chưa nối được hồ sơ bảo hộ; cần sàng lọc/đối chiếu",IF(AND(I39&gt;0,H39=0,F39&gt;0),"Có ứng dụng nhưng chưa xác định cơ chế quyền SHTT",""))</f>
        <v/>
      </c>
      <c r="L39" s="4" t="n">
        <f aca="false">COUNTIFS(02_OUTPUT_ALL!$B:$B,A39,02_OUTPUT_ALL!$K:$K,"Cao")</f>
        <v>1</v>
      </c>
    </row>
  </sheetData>
  <conditionalFormatting sqref="K2:K39">
    <cfRule type="expression" priority="2" aboveAverage="0" equalAverage="0" bottom="0" percent="0" rank="0" text="" dxfId="6">
      <formula>K2&lt;&gt;""</formula>
    </cfRule>
  </conditionalFormatting>
  <conditionalFormatting sqref="H2:H39">
    <cfRule type="dataBar" priority="3">
      <dataBar showValue="1" minLength="10" maxLength="90">
        <cfvo type="min" val="0"/>
        <cfvo type="max" val="0"/>
        <color rgb="FFA02B93"/>
      </dataBar>
      <extLst>
        <ext xmlns:x14="http://schemas.microsoft.com/office/spreadsheetml/2009/9/main" uri="{B025F937-C7B1-47D3-B67F-A62EFF666E3E}">
          <x14:id>{1C90B448-C5F2-4F28-8D52-3A60208CD490}</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1C90B448-C5F2-4F28-8D52-3A60208CD490}">
            <x14:dataBar minLength="10" maxLength="90" axisPosition="none" gradient="true">
              <x14:cfvo type="min"/>
              <x14:cfvo type="max"/>
              <x14:negativeFillColor rgb="FFA02B93"/>
              <x14:axisColor rgb="FF000000"/>
            </x14:dataBar>
          </x14:cfRule>
          <xm:sqref>H2:H39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52"/>
    <col collapsed="false" customWidth="true" hidden="false" outlineLevel="0" max="4" min="4" style="1" width="58"/>
    <col collapsed="false" customWidth="true" hidden="false" outlineLevel="0" max="5" min="5" style="1" width="56"/>
    <col collapsed="false" customWidth="true" hidden="false" outlineLevel="0" max="6" min="6" style="1" width="46"/>
    <col collapsed="false" customWidth="true" hidden="false" outlineLevel="0" max="7" min="7" style="1" width="54"/>
    <col collapsed="false" customWidth="true" hidden="false" outlineLevel="0" max="8" min="8" style="1" width="14"/>
  </cols>
  <sheetData>
    <row r="1" customFormat="false" ht="28.35" hidden="false" customHeight="false" outlineLevel="0" collapsed="false">
      <c r="A1" s="3" t="s">
        <v>1466</v>
      </c>
      <c r="B1" s="3" t="s">
        <v>1467</v>
      </c>
      <c r="C1" s="3" t="s">
        <v>751</v>
      </c>
      <c r="D1" s="3" t="s">
        <v>1468</v>
      </c>
      <c r="E1" s="3" t="s">
        <v>1469</v>
      </c>
      <c r="F1" s="3" t="s">
        <v>1470</v>
      </c>
      <c r="G1" s="3" t="s">
        <v>1471</v>
      </c>
      <c r="H1" s="3" t="s">
        <v>1472</v>
      </c>
    </row>
    <row r="2" customFormat="false" ht="15" hidden="false" customHeight="false" outlineLevel="0" collapsed="false">
      <c r="A2" s="1" t="s">
        <v>1473</v>
      </c>
      <c r="B2" s="1" t="s">
        <v>1474</v>
      </c>
      <c r="C2" s="1" t="s">
        <v>1475</v>
      </c>
      <c r="D2" s="1" t="s">
        <v>1476</v>
      </c>
      <c r="E2" s="1" t="s">
        <v>1477</v>
      </c>
      <c r="F2" s="1" t="s">
        <v>1478</v>
      </c>
      <c r="G2" s="1" t="s">
        <v>1479</v>
      </c>
      <c r="H2" s="1" t="s">
        <v>650</v>
      </c>
    </row>
    <row r="3" customFormat="false" ht="15" hidden="false" customHeight="false" outlineLevel="0" collapsed="false">
      <c r="A3" s="1" t="s">
        <v>1480</v>
      </c>
      <c r="B3" s="1" t="s">
        <v>1481</v>
      </c>
      <c r="C3" s="1" t="s">
        <v>1482</v>
      </c>
      <c r="D3" s="1" t="s">
        <v>1483</v>
      </c>
      <c r="E3" s="1" t="s">
        <v>1484</v>
      </c>
      <c r="F3" s="1" t="s">
        <v>1485</v>
      </c>
      <c r="G3" s="1" t="s">
        <v>1486</v>
      </c>
      <c r="H3" s="1" t="s">
        <v>650</v>
      </c>
    </row>
    <row r="4" customFormat="false" ht="15" hidden="false" customHeight="false" outlineLevel="0" collapsed="false">
      <c r="A4" s="1" t="s">
        <v>1487</v>
      </c>
      <c r="B4" s="13" t="s">
        <v>1488</v>
      </c>
      <c r="C4" s="1" t="s">
        <v>1489</v>
      </c>
      <c r="D4" s="1" t="s">
        <v>1490</v>
      </c>
      <c r="E4" s="1" t="s">
        <v>1491</v>
      </c>
      <c r="F4" s="1" t="s">
        <v>1492</v>
      </c>
      <c r="G4" s="1" t="s">
        <v>1493</v>
      </c>
      <c r="H4" s="1" t="s">
        <v>650</v>
      </c>
    </row>
    <row r="5" customFormat="false" ht="15" hidden="false" customHeight="false" outlineLevel="0" collapsed="false">
      <c r="A5" s="1" t="s">
        <v>1494</v>
      </c>
      <c r="B5" s="13" t="s">
        <v>1495</v>
      </c>
      <c r="C5" s="1" t="s">
        <v>1496</v>
      </c>
      <c r="D5" s="1" t="s">
        <v>1497</v>
      </c>
      <c r="E5" s="1" t="s">
        <v>1498</v>
      </c>
      <c r="F5" s="1" t="s">
        <v>1499</v>
      </c>
      <c r="G5" s="1" t="s">
        <v>1500</v>
      </c>
      <c r="H5" s="1" t="s">
        <v>650</v>
      </c>
    </row>
    <row r="6" customFormat="false" ht="15" hidden="false" customHeight="false" outlineLevel="0" collapsed="false">
      <c r="A6" s="1" t="s">
        <v>1501</v>
      </c>
      <c r="B6" s="13" t="s">
        <v>1502</v>
      </c>
      <c r="C6" s="1" t="s">
        <v>1503</v>
      </c>
      <c r="D6" s="1" t="s">
        <v>1504</v>
      </c>
      <c r="E6" s="1" t="s">
        <v>1505</v>
      </c>
      <c r="F6" s="1" t="s">
        <v>1506</v>
      </c>
      <c r="G6" s="1" t="s">
        <v>1507</v>
      </c>
      <c r="H6" s="1" t="s">
        <v>650</v>
      </c>
    </row>
    <row r="7" customFormat="false" ht="15" hidden="false" customHeight="false" outlineLevel="0" collapsed="false">
      <c r="A7" s="1" t="s">
        <v>1508</v>
      </c>
      <c r="B7" s="1" t="s">
        <v>1509</v>
      </c>
      <c r="C7" s="1" t="s">
        <v>1510</v>
      </c>
      <c r="D7" s="1" t="s">
        <v>1511</v>
      </c>
      <c r="E7" s="1" t="s">
        <v>1512</v>
      </c>
      <c r="F7" s="1" t="s">
        <v>1513</v>
      </c>
      <c r="G7" s="1" t="s">
        <v>1514</v>
      </c>
      <c r="H7" s="1" t="s">
        <v>358</v>
      </c>
    </row>
  </sheetData>
  <conditionalFormatting sqref="B4:B6">
    <cfRule type="expression" priority="2" aboveAverage="0" equalAverage="0" bottom="0" percent="0" rank="0" text="" dxfId="7">
      <formula>LEFT(B4,9)="Không có "</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3"/>
    <col collapsed="false" customWidth="true" hidden="false" outlineLevel="0" max="3" min="3" style="1" width="20"/>
    <col collapsed="false" customWidth="true" hidden="false" outlineLevel="0" max="4" min="4" style="1" width="32"/>
    <col collapsed="false" customWidth="true" hidden="false" outlineLevel="0" max="5" min="5" style="1" width="62"/>
    <col collapsed="false" customWidth="true" hidden="false" outlineLevel="0" max="6" min="6" style="1" width="42"/>
    <col collapsed="false" customWidth="true" hidden="false" outlineLevel="0" max="7" min="7" style="1" width="58"/>
    <col collapsed="false" customWidth="true" hidden="false" outlineLevel="0" max="8" min="8" style="1" width="52"/>
    <col collapsed="false" customWidth="true" hidden="false" outlineLevel="0" max="9" min="9" style="1" width="34"/>
    <col collapsed="false" customWidth="true" hidden="false" outlineLevel="0" max="10" min="10" style="1" width="14"/>
    <col collapsed="false" customWidth="true" hidden="false" outlineLevel="0" max="11" min="11" style="1" width="58"/>
    <col collapsed="false" customWidth="true" hidden="false" outlineLevel="0" max="12" min="12" style="1" width="52"/>
  </cols>
  <sheetData>
    <row r="1" customFormat="false" ht="15" hidden="false" customHeight="false" outlineLevel="0" collapsed="false">
      <c r="A1" s="3" t="s">
        <v>1515</v>
      </c>
      <c r="B1" s="3" t="s">
        <v>747</v>
      </c>
      <c r="C1" s="3" t="s">
        <v>1516</v>
      </c>
      <c r="D1" s="3" t="s">
        <v>1517</v>
      </c>
      <c r="E1" s="3" t="s">
        <v>1518</v>
      </c>
      <c r="F1" s="3" t="s">
        <v>1519</v>
      </c>
      <c r="G1" s="3" t="s">
        <v>1520</v>
      </c>
      <c r="H1" s="3" t="s">
        <v>1521</v>
      </c>
      <c r="I1" s="3" t="s">
        <v>1522</v>
      </c>
      <c r="J1" s="3" t="s">
        <v>1523</v>
      </c>
      <c r="K1" s="3" t="s">
        <v>1524</v>
      </c>
      <c r="L1" s="3" t="s">
        <v>1525</v>
      </c>
    </row>
    <row r="2" customFormat="false" ht="15" hidden="false" customHeight="false" outlineLevel="0" collapsed="false">
      <c r="A2" s="1" t="s">
        <v>1526</v>
      </c>
      <c r="B2" s="1" t="s">
        <v>1527</v>
      </c>
      <c r="C2" s="1" t="s">
        <v>1528</v>
      </c>
      <c r="D2" s="1" t="s">
        <v>1529</v>
      </c>
      <c r="E2" s="1" t="s">
        <v>1530</v>
      </c>
      <c r="F2" s="13" t="s">
        <v>1531</v>
      </c>
      <c r="G2" s="1" t="s">
        <v>1532</v>
      </c>
      <c r="H2" s="1" t="s">
        <v>1533</v>
      </c>
      <c r="I2" s="1" t="s">
        <v>1534</v>
      </c>
      <c r="J2" s="13" t="s">
        <v>341</v>
      </c>
      <c r="K2" s="1" t="s">
        <v>1535</v>
      </c>
      <c r="L2" s="1" t="s">
        <v>1536</v>
      </c>
    </row>
    <row r="3" customFormat="false" ht="15" hidden="false" customHeight="false" outlineLevel="0" collapsed="false">
      <c r="A3" s="1" t="s">
        <v>1537</v>
      </c>
      <c r="B3" s="1" t="s">
        <v>1538</v>
      </c>
      <c r="C3" s="1" t="s">
        <v>1528</v>
      </c>
      <c r="D3" s="1" t="s">
        <v>1539</v>
      </c>
      <c r="E3" s="1" t="s">
        <v>1540</v>
      </c>
      <c r="F3" s="13" t="s">
        <v>1541</v>
      </c>
      <c r="G3" s="1" t="s">
        <v>1542</v>
      </c>
      <c r="H3" s="1" t="s">
        <v>1543</v>
      </c>
      <c r="I3" s="1" t="s">
        <v>1544</v>
      </c>
      <c r="J3" s="13" t="s">
        <v>358</v>
      </c>
      <c r="K3" s="1" t="s">
        <v>1545</v>
      </c>
      <c r="L3" s="1" t="s">
        <v>1546</v>
      </c>
    </row>
    <row r="4" customFormat="false" ht="15" hidden="false" customHeight="false" outlineLevel="0" collapsed="false">
      <c r="A4" s="1" t="s">
        <v>1547</v>
      </c>
      <c r="B4" s="1" t="s">
        <v>1548</v>
      </c>
      <c r="C4" s="1" t="s">
        <v>1528</v>
      </c>
      <c r="D4" s="1" t="s">
        <v>1549</v>
      </c>
      <c r="E4" s="1" t="s">
        <v>1550</v>
      </c>
      <c r="F4" s="13" t="s">
        <v>1531</v>
      </c>
      <c r="G4" s="1" t="s">
        <v>1551</v>
      </c>
      <c r="H4" s="1" t="s">
        <v>1552</v>
      </c>
      <c r="I4" s="1" t="s">
        <v>1553</v>
      </c>
      <c r="J4" s="13" t="s">
        <v>650</v>
      </c>
      <c r="K4" s="1" t="s">
        <v>1554</v>
      </c>
      <c r="L4" s="1" t="s">
        <v>1536</v>
      </c>
    </row>
    <row r="5" customFormat="false" ht="15" hidden="false" customHeight="false" outlineLevel="0" collapsed="false">
      <c r="A5" s="1" t="s">
        <v>1555</v>
      </c>
      <c r="B5" s="1" t="s">
        <v>1556</v>
      </c>
      <c r="C5" s="1" t="s">
        <v>1528</v>
      </c>
      <c r="D5" s="1" t="s">
        <v>1557</v>
      </c>
      <c r="E5" s="1" t="s">
        <v>1558</v>
      </c>
      <c r="F5" s="13" t="s">
        <v>1559</v>
      </c>
      <c r="G5" s="1" t="s">
        <v>1560</v>
      </c>
      <c r="H5" s="1" t="s">
        <v>1561</v>
      </c>
      <c r="I5" s="1" t="s">
        <v>1562</v>
      </c>
      <c r="J5" s="13" t="s">
        <v>358</v>
      </c>
      <c r="K5" s="1" t="s">
        <v>1563</v>
      </c>
      <c r="L5" s="1" t="s">
        <v>1546</v>
      </c>
    </row>
    <row r="6" customFormat="false" ht="15" hidden="false" customHeight="false" outlineLevel="0" collapsed="false">
      <c r="A6" s="1" t="s">
        <v>1564</v>
      </c>
      <c r="B6" s="1" t="s">
        <v>1565</v>
      </c>
      <c r="C6" s="1" t="s">
        <v>1528</v>
      </c>
      <c r="D6" s="1" t="s">
        <v>1566</v>
      </c>
      <c r="E6" s="1" t="s">
        <v>1567</v>
      </c>
      <c r="F6" s="13" t="s">
        <v>1568</v>
      </c>
      <c r="G6" s="1" t="s">
        <v>1569</v>
      </c>
      <c r="H6" s="1" t="s">
        <v>1570</v>
      </c>
      <c r="I6" s="1" t="s">
        <v>1571</v>
      </c>
      <c r="J6" s="13" t="s">
        <v>358</v>
      </c>
      <c r="K6" s="1" t="s">
        <v>1572</v>
      </c>
      <c r="L6" s="1" t="s">
        <v>1573</v>
      </c>
    </row>
    <row r="7" customFormat="false" ht="15" hidden="false" customHeight="false" outlineLevel="0" collapsed="false">
      <c r="A7" s="1" t="s">
        <v>1574</v>
      </c>
      <c r="B7" s="1" t="s">
        <v>1575</v>
      </c>
      <c r="C7" s="1" t="s">
        <v>1576</v>
      </c>
      <c r="D7" s="1" t="s">
        <v>1577</v>
      </c>
      <c r="E7" s="1" t="s">
        <v>1578</v>
      </c>
      <c r="F7" s="13" t="s">
        <v>1579</v>
      </c>
      <c r="G7" s="1" t="s">
        <v>1580</v>
      </c>
      <c r="H7" s="1" t="s">
        <v>1581</v>
      </c>
      <c r="I7" s="1" t="s">
        <v>1582</v>
      </c>
      <c r="J7" s="13" t="s">
        <v>650</v>
      </c>
      <c r="K7" s="1" t="s">
        <v>1583</v>
      </c>
      <c r="L7" s="1" t="s">
        <v>1546</v>
      </c>
    </row>
    <row r="8" customFormat="false" ht="15" hidden="false" customHeight="false" outlineLevel="0" collapsed="false">
      <c r="A8" s="1" t="s">
        <v>1584</v>
      </c>
      <c r="B8" s="1" t="s">
        <v>1585</v>
      </c>
      <c r="C8" s="1" t="s">
        <v>1586</v>
      </c>
      <c r="D8" s="1" t="s">
        <v>1587</v>
      </c>
      <c r="E8" s="1" t="s">
        <v>1588</v>
      </c>
      <c r="F8" s="13" t="s">
        <v>1589</v>
      </c>
      <c r="G8" s="1" t="s">
        <v>1590</v>
      </c>
      <c r="H8" s="1" t="s">
        <v>1591</v>
      </c>
      <c r="I8" s="1" t="s">
        <v>1592</v>
      </c>
      <c r="J8" s="13" t="s">
        <v>341</v>
      </c>
      <c r="K8" s="1" t="s">
        <v>1593</v>
      </c>
      <c r="L8" s="1" t="s">
        <v>1594</v>
      </c>
    </row>
    <row r="9" customFormat="false" ht="15" hidden="false" customHeight="false" outlineLevel="0" collapsed="false">
      <c r="A9" s="1" t="s">
        <v>1595</v>
      </c>
      <c r="B9" s="1" t="s">
        <v>1596</v>
      </c>
      <c r="C9" s="1" t="s">
        <v>1586</v>
      </c>
      <c r="D9" s="1" t="s">
        <v>1597</v>
      </c>
      <c r="E9" s="1" t="s">
        <v>1598</v>
      </c>
      <c r="F9" s="13" t="s">
        <v>1599</v>
      </c>
      <c r="G9" s="1" t="s">
        <v>1600</v>
      </c>
      <c r="H9" s="1" t="s">
        <v>1601</v>
      </c>
      <c r="I9" s="1" t="s">
        <v>1602</v>
      </c>
      <c r="J9" s="13" t="s">
        <v>650</v>
      </c>
      <c r="K9" s="1" t="s">
        <v>1603</v>
      </c>
      <c r="L9" s="1" t="s">
        <v>1604</v>
      </c>
    </row>
    <row r="10" customFormat="false" ht="15" hidden="false" customHeight="false" outlineLevel="0" collapsed="false">
      <c r="A10" s="1" t="s">
        <v>1605</v>
      </c>
      <c r="B10" s="1" t="s">
        <v>1606</v>
      </c>
      <c r="C10" s="1" t="s">
        <v>1528</v>
      </c>
      <c r="D10" s="1" t="s">
        <v>1607</v>
      </c>
      <c r="E10" s="1" t="s">
        <v>1608</v>
      </c>
      <c r="F10" s="13" t="s">
        <v>1609</v>
      </c>
      <c r="G10" s="1" t="s">
        <v>1610</v>
      </c>
      <c r="H10" s="1" t="s">
        <v>1611</v>
      </c>
      <c r="I10" s="1" t="s">
        <v>1612</v>
      </c>
      <c r="J10" s="13" t="s">
        <v>650</v>
      </c>
      <c r="K10" s="1" t="s">
        <v>1613</v>
      </c>
      <c r="L10" s="1" t="s">
        <v>1614</v>
      </c>
    </row>
    <row r="11" customFormat="false" ht="15" hidden="false" customHeight="false" outlineLevel="0" collapsed="false">
      <c r="A11" s="1" t="s">
        <v>1615</v>
      </c>
      <c r="B11" s="1" t="s">
        <v>801</v>
      </c>
      <c r="C11" s="1" t="s">
        <v>1616</v>
      </c>
      <c r="D11" s="1" t="s">
        <v>1617</v>
      </c>
      <c r="E11" s="1" t="s">
        <v>1618</v>
      </c>
      <c r="F11" s="13" t="s">
        <v>1619</v>
      </c>
      <c r="G11" s="1" t="s">
        <v>1620</v>
      </c>
      <c r="H11" s="1" t="s">
        <v>1621</v>
      </c>
      <c r="I11" s="1" t="s">
        <v>358</v>
      </c>
      <c r="J11" s="13" t="s">
        <v>1622</v>
      </c>
      <c r="K11" s="1" t="s">
        <v>1623</v>
      </c>
    </row>
    <row r="12" customFormat="false" ht="15" hidden="false" customHeight="false" outlineLevel="0" collapsed="false">
      <c r="A12" s="1" t="s">
        <v>1624</v>
      </c>
      <c r="B12" s="1" t="s">
        <v>1625</v>
      </c>
      <c r="C12" s="1" t="s">
        <v>1528</v>
      </c>
      <c r="D12" s="1" t="s">
        <v>1549</v>
      </c>
      <c r="E12" s="1" t="s">
        <v>1626</v>
      </c>
      <c r="F12" s="13" t="s">
        <v>1531</v>
      </c>
      <c r="G12" s="1" t="s">
        <v>1627</v>
      </c>
      <c r="H12" s="1" t="s">
        <v>1628</v>
      </c>
      <c r="I12" s="1" t="s">
        <v>1629</v>
      </c>
      <c r="J12" s="13" t="s">
        <v>358</v>
      </c>
      <c r="K12" s="1" t="s">
        <v>1630</v>
      </c>
      <c r="L12" s="1" t="s">
        <v>1536</v>
      </c>
    </row>
    <row r="13" customFormat="false" ht="15" hidden="false" customHeight="false" outlineLevel="0" collapsed="false">
      <c r="A13" s="1" t="s">
        <v>1631</v>
      </c>
      <c r="B13" s="1" t="s">
        <v>1632</v>
      </c>
      <c r="C13" s="1" t="s">
        <v>1586</v>
      </c>
      <c r="D13" s="1" t="s">
        <v>1633</v>
      </c>
      <c r="E13" s="1" t="s">
        <v>1634</v>
      </c>
      <c r="F13" s="13" t="s">
        <v>1635</v>
      </c>
      <c r="G13" s="1" t="s">
        <v>1636</v>
      </c>
      <c r="H13" s="1" t="s">
        <v>1637</v>
      </c>
      <c r="I13" s="1" t="s">
        <v>1638</v>
      </c>
      <c r="J13" s="13" t="s">
        <v>358</v>
      </c>
      <c r="K13" s="1" t="s">
        <v>1639</v>
      </c>
      <c r="L13" s="1" t="s">
        <v>1640</v>
      </c>
    </row>
  </sheetData>
  <conditionalFormatting sqref="F2:F13">
    <cfRule type="expression" priority="2" aboveAverage="0" equalAverage="0" bottom="0" percent="0" rank="0" text="" dxfId="8">
      <formula>ISNUMBER(SEARCH("CẦN XÁC MINH",F2))</formula>
    </cfRule>
  </conditionalFormatting>
  <conditionalFormatting sqref="J2:J13">
    <cfRule type="expression" priority="3" aboveAverage="0" equalAverage="0" bottom="0" percent="0" rank="0" text="" dxfId="4">
      <formula>J2="Rất cao"</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3" min="3" style="1" width="58"/>
    <col collapsed="false" customWidth="true" hidden="false" outlineLevel="0" max="4" min="4" style="1" width="34"/>
    <col collapsed="false" customWidth="true" hidden="false" outlineLevel="0" max="5" min="5" style="1" width="30"/>
    <col collapsed="false" customWidth="true" hidden="false" outlineLevel="0" max="6" min="6" style="1" width="52"/>
    <col collapsed="false" customWidth="true" hidden="false" outlineLevel="0" max="7" min="7" style="1" width="48"/>
    <col collapsed="false" customWidth="true" hidden="false" outlineLevel="0" max="8" min="8" style="1" width="30"/>
  </cols>
  <sheetData>
    <row r="1" customFormat="false" ht="18.65" hidden="false" customHeight="true" outlineLevel="0" collapsed="false">
      <c r="A1" s="18" t="s">
        <v>1641</v>
      </c>
      <c r="B1" s="18"/>
      <c r="C1" s="18"/>
      <c r="D1" s="18"/>
      <c r="E1" s="18"/>
      <c r="F1" s="18"/>
      <c r="G1" s="18"/>
      <c r="H1" s="18"/>
    </row>
    <row r="3" customFormat="false" ht="15" hidden="false" customHeight="false" outlineLevel="0" collapsed="false">
      <c r="A3" s="3" t="s">
        <v>1642</v>
      </c>
      <c r="B3" s="3" t="s">
        <v>1643</v>
      </c>
      <c r="C3" s="3" t="s">
        <v>1644</v>
      </c>
      <c r="D3" s="3" t="s">
        <v>1645</v>
      </c>
      <c r="E3" s="3" t="s">
        <v>1646</v>
      </c>
      <c r="F3" s="3" t="s">
        <v>1647</v>
      </c>
      <c r="G3" s="3" t="s">
        <v>1648</v>
      </c>
      <c r="H3" s="3" t="s">
        <v>1649</v>
      </c>
    </row>
    <row r="4" customFormat="false" ht="15" hidden="false" customHeight="false" outlineLevel="0" collapsed="false">
      <c r="A4" s="1" t="s">
        <v>1650</v>
      </c>
      <c r="B4" s="1" t="s">
        <v>1651</v>
      </c>
      <c r="C4" s="1" t="s">
        <v>1652</v>
      </c>
      <c r="D4" s="1" t="s">
        <v>1653</v>
      </c>
      <c r="E4" s="1" t="s">
        <v>1654</v>
      </c>
      <c r="F4" s="1" t="s">
        <v>1655</v>
      </c>
      <c r="G4" s="1" t="s">
        <v>1656</v>
      </c>
      <c r="H4" s="1" t="s">
        <v>1657</v>
      </c>
    </row>
    <row r="5" customFormat="false" ht="15" hidden="false" customHeight="false" outlineLevel="0" collapsed="false">
      <c r="A5" s="1" t="s">
        <v>1658</v>
      </c>
      <c r="B5" s="1" t="s">
        <v>1651</v>
      </c>
      <c r="C5" s="1" t="s">
        <v>1659</v>
      </c>
      <c r="D5" s="1" t="s">
        <v>1660</v>
      </c>
      <c r="E5" s="1" t="s">
        <v>1661</v>
      </c>
      <c r="F5" s="1" t="s">
        <v>1662</v>
      </c>
      <c r="G5" s="1" t="s">
        <v>1663</v>
      </c>
      <c r="H5" s="1" t="s">
        <v>1664</v>
      </c>
    </row>
    <row r="6" customFormat="false" ht="15" hidden="false" customHeight="false" outlineLevel="0" collapsed="false">
      <c r="A6" s="1" t="s">
        <v>1665</v>
      </c>
      <c r="B6" s="1" t="s">
        <v>1666</v>
      </c>
      <c r="C6" s="1" t="s">
        <v>1667</v>
      </c>
      <c r="D6" s="1" t="s">
        <v>1668</v>
      </c>
      <c r="E6" s="1" t="s">
        <v>1669</v>
      </c>
      <c r="F6" s="1" t="s">
        <v>1670</v>
      </c>
      <c r="G6" s="1" t="s">
        <v>1671</v>
      </c>
      <c r="H6" s="1" t="s">
        <v>1672</v>
      </c>
    </row>
    <row r="7" customFormat="false" ht="15" hidden="false" customHeight="false" outlineLevel="0" collapsed="false">
      <c r="A7" s="1" t="s">
        <v>1673</v>
      </c>
      <c r="B7" s="1" t="s">
        <v>118</v>
      </c>
      <c r="C7" s="1" t="s">
        <v>1674</v>
      </c>
      <c r="D7" s="1" t="s">
        <v>1675</v>
      </c>
      <c r="E7" s="1" t="s">
        <v>1676</v>
      </c>
      <c r="F7" s="1" t="s">
        <v>1677</v>
      </c>
      <c r="G7" s="1" t="s">
        <v>1678</v>
      </c>
      <c r="H7" s="1" t="s">
        <v>1679</v>
      </c>
    </row>
    <row r="8" customFormat="false" ht="15" hidden="false" customHeight="false" outlineLevel="0" collapsed="false">
      <c r="A8" s="1" t="s">
        <v>1680</v>
      </c>
      <c r="B8" s="1" t="s">
        <v>1681</v>
      </c>
      <c r="C8" s="1" t="s">
        <v>1682</v>
      </c>
      <c r="D8" s="1" t="s">
        <v>1683</v>
      </c>
      <c r="E8" s="1" t="s">
        <v>1684</v>
      </c>
      <c r="F8" s="1" t="s">
        <v>1685</v>
      </c>
      <c r="G8" s="1" t="s">
        <v>1686</v>
      </c>
      <c r="H8" s="1" t="s">
        <v>1687</v>
      </c>
    </row>
    <row r="9" customFormat="false" ht="15" hidden="false" customHeight="false" outlineLevel="0" collapsed="false">
      <c r="A9" s="1" t="s">
        <v>1688</v>
      </c>
      <c r="B9" s="1" t="s">
        <v>1681</v>
      </c>
      <c r="C9" s="1" t="s">
        <v>1689</v>
      </c>
      <c r="D9" s="1" t="s">
        <v>1690</v>
      </c>
      <c r="E9" s="1" t="s">
        <v>1691</v>
      </c>
      <c r="F9" s="1" t="s">
        <v>1692</v>
      </c>
      <c r="G9" s="1" t="s">
        <v>1693</v>
      </c>
      <c r="H9" s="1" t="s">
        <v>1694</v>
      </c>
    </row>
    <row r="10" customFormat="false" ht="15" hidden="false" customHeight="false" outlineLevel="0" collapsed="false">
      <c r="A10" s="1" t="s">
        <v>1695</v>
      </c>
      <c r="B10" s="1" t="s">
        <v>1696</v>
      </c>
      <c r="C10" s="1" t="s">
        <v>1697</v>
      </c>
      <c r="D10" s="1" t="s">
        <v>1698</v>
      </c>
      <c r="E10" s="1" t="s">
        <v>1699</v>
      </c>
      <c r="F10" s="1" t="s">
        <v>1700</v>
      </c>
      <c r="G10" s="1" t="s">
        <v>1701</v>
      </c>
      <c r="H10" s="1" t="s">
        <v>1702</v>
      </c>
    </row>
    <row r="11" customFormat="false" ht="15" hidden="false" customHeight="false" outlineLevel="0" collapsed="false">
      <c r="A11" s="1" t="s">
        <v>1703</v>
      </c>
      <c r="B11" s="1" t="s">
        <v>1704</v>
      </c>
      <c r="C11" s="1" t="s">
        <v>1705</v>
      </c>
      <c r="D11" s="1" t="s">
        <v>1706</v>
      </c>
      <c r="E11" s="1" t="s">
        <v>1707</v>
      </c>
      <c r="F11" s="1" t="s">
        <v>1708</v>
      </c>
      <c r="G11" s="1" t="s">
        <v>1709</v>
      </c>
      <c r="H11" s="1" t="s">
        <v>1710</v>
      </c>
    </row>
    <row r="12" customFormat="false" ht="15" hidden="false" customHeight="false" outlineLevel="0" collapsed="false">
      <c r="A12" s="1" t="s">
        <v>1711</v>
      </c>
      <c r="B12" s="1" t="s">
        <v>1712</v>
      </c>
      <c r="C12" s="1" t="s">
        <v>1713</v>
      </c>
      <c r="D12" s="1" t="s">
        <v>1714</v>
      </c>
      <c r="E12" s="1" t="s">
        <v>1715</v>
      </c>
      <c r="F12" s="1" t="s">
        <v>1716</v>
      </c>
      <c r="G12" s="1" t="s">
        <v>1717</v>
      </c>
      <c r="H12" s="1" t="s">
        <v>1718</v>
      </c>
    </row>
    <row r="13" customFormat="false" ht="15" hidden="false" customHeight="false" outlineLevel="0" collapsed="false">
      <c r="A13" s="1" t="s">
        <v>1719</v>
      </c>
      <c r="B13" s="1" t="s">
        <v>1720</v>
      </c>
      <c r="C13" s="1" t="s">
        <v>1721</v>
      </c>
      <c r="D13" s="1" t="s">
        <v>1722</v>
      </c>
      <c r="E13" s="1" t="s">
        <v>1723</v>
      </c>
      <c r="F13" s="1" t="s">
        <v>1724</v>
      </c>
      <c r="G13" s="1" t="s">
        <v>1725</v>
      </c>
      <c r="H13" s="1" t="s">
        <v>1726</v>
      </c>
    </row>
    <row r="14" customFormat="false" ht="15" hidden="false" customHeight="false" outlineLevel="0" collapsed="false">
      <c r="A14" s="1" t="s">
        <v>1727</v>
      </c>
      <c r="B14" s="1" t="s">
        <v>1728</v>
      </c>
      <c r="C14" s="1" t="s">
        <v>1729</v>
      </c>
      <c r="D14" s="1" t="s">
        <v>1730</v>
      </c>
      <c r="E14" s="1" t="s">
        <v>1731</v>
      </c>
      <c r="F14" s="1" t="s">
        <v>1732</v>
      </c>
      <c r="G14" s="1" t="s">
        <v>1733</v>
      </c>
      <c r="H14" s="1" t="s">
        <v>1734</v>
      </c>
    </row>
    <row r="15" customFormat="false" ht="15" hidden="false" customHeight="false" outlineLevel="0" collapsed="false">
      <c r="A15" s="1" t="s">
        <v>1735</v>
      </c>
      <c r="B15" s="1" t="s">
        <v>1736</v>
      </c>
      <c r="C15" s="1" t="s">
        <v>1737</v>
      </c>
      <c r="D15" s="1" t="s">
        <v>1738</v>
      </c>
      <c r="E15" s="1" t="s">
        <v>1739</v>
      </c>
      <c r="F15" s="1" t="s">
        <v>1740</v>
      </c>
      <c r="G15" s="1" t="s">
        <v>1741</v>
      </c>
      <c r="H15" s="1" t="s">
        <v>1742</v>
      </c>
    </row>
    <row r="16" customFormat="false" ht="15" hidden="false" customHeight="false" outlineLevel="0" collapsed="false">
      <c r="A16" s="1" t="s">
        <v>1743</v>
      </c>
      <c r="B16" s="1" t="s">
        <v>1744</v>
      </c>
      <c r="C16" s="1" t="s">
        <v>1745</v>
      </c>
      <c r="D16" s="1" t="s">
        <v>1746</v>
      </c>
      <c r="E16" s="1" t="s">
        <v>1747</v>
      </c>
      <c r="F16" s="1" t="s">
        <v>1748</v>
      </c>
      <c r="G16" s="1" t="s">
        <v>1749</v>
      </c>
      <c r="H16" s="1" t="s">
        <v>1750</v>
      </c>
    </row>
    <row r="17" customFormat="false" ht="15" hidden="false" customHeight="false" outlineLevel="0" collapsed="false">
      <c r="A17" s="1" t="s">
        <v>1751</v>
      </c>
      <c r="B17" s="1" t="s">
        <v>1752</v>
      </c>
      <c r="C17" s="1" t="s">
        <v>1753</v>
      </c>
      <c r="D17" s="1" t="s">
        <v>1754</v>
      </c>
      <c r="E17" s="1" t="s">
        <v>1747</v>
      </c>
      <c r="F17" s="1" t="s">
        <v>1755</v>
      </c>
      <c r="G17" s="1" t="s">
        <v>1756</v>
      </c>
      <c r="H17" s="1" t="s">
        <v>1757</v>
      </c>
    </row>
    <row r="18" customFormat="false" ht="15" hidden="false" customHeight="false" outlineLevel="0" collapsed="false">
      <c r="A18" s="1" t="s">
        <v>1758</v>
      </c>
      <c r="B18" s="1" t="s">
        <v>1759</v>
      </c>
      <c r="C18" s="1" t="s">
        <v>1760</v>
      </c>
      <c r="D18" s="1" t="s">
        <v>1761</v>
      </c>
      <c r="E18" s="1" t="s">
        <v>1747</v>
      </c>
      <c r="F18" s="1" t="s">
        <v>1762</v>
      </c>
      <c r="G18" s="1" t="s">
        <v>1763</v>
      </c>
      <c r="H18" s="1" t="s">
        <v>1764</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4"/>
    <col collapsed="false" customWidth="true" hidden="false" outlineLevel="0" max="3" min="3" style="1" width="28"/>
    <col collapsed="false" customWidth="true" hidden="false" outlineLevel="0" max="4" min="4" style="1" width="42"/>
    <col collapsed="false" customWidth="true" hidden="false" outlineLevel="0" max="5" min="5" style="1" width="36"/>
    <col collapsed="false" customWidth="true" hidden="false" outlineLevel="0" max="7" min="6" style="1" width="42"/>
    <col collapsed="false" customWidth="true" hidden="false" outlineLevel="0" max="8" min="8" style="1" width="34"/>
    <col collapsed="false" customWidth="true" hidden="false" outlineLevel="0" max="9" min="9" style="1" width="50"/>
    <col collapsed="false" customWidth="true" hidden="false" outlineLevel="0" max="10" min="10" style="1" width="38"/>
    <col collapsed="false" customWidth="true" hidden="false" outlineLevel="0" max="11" min="11" style="1" width="58"/>
    <col collapsed="false" customWidth="true" hidden="false" outlineLevel="0" max="12" min="12" style="1" width="42"/>
    <col collapsed="false" customWidth="true" hidden="false" outlineLevel="0" max="13" min="13" style="1" width="54"/>
  </cols>
  <sheetData>
    <row r="1" customFormat="false" ht="15" hidden="false" customHeight="false" outlineLevel="0" collapsed="false">
      <c r="A1" s="3" t="s">
        <v>1765</v>
      </c>
      <c r="B1" s="3" t="s">
        <v>56</v>
      </c>
      <c r="C1" s="3" t="s">
        <v>1766</v>
      </c>
      <c r="D1" s="3" t="s">
        <v>1767</v>
      </c>
      <c r="E1" s="3" t="s">
        <v>1768</v>
      </c>
      <c r="F1" s="3" t="s">
        <v>1769</v>
      </c>
      <c r="G1" s="3" t="s">
        <v>1770</v>
      </c>
      <c r="H1" s="3" t="s">
        <v>1771</v>
      </c>
      <c r="I1" s="3" t="s">
        <v>1772</v>
      </c>
      <c r="J1" s="3" t="s">
        <v>1773</v>
      </c>
      <c r="K1" s="3" t="s">
        <v>1774</v>
      </c>
      <c r="L1" s="3" t="s">
        <v>1775</v>
      </c>
      <c r="M1" s="3" t="s">
        <v>1776</v>
      </c>
    </row>
    <row r="2" customFormat="false" ht="15" hidden="false" customHeight="false" outlineLevel="0" collapsed="false">
      <c r="A2" s="1" t="s">
        <v>1777</v>
      </c>
      <c r="B2" s="1" t="s">
        <v>207</v>
      </c>
      <c r="C2" s="1" t="s">
        <v>1715</v>
      </c>
      <c r="D2" s="1" t="s">
        <v>1778</v>
      </c>
      <c r="E2" s="1" t="s">
        <v>1779</v>
      </c>
      <c r="F2" s="1" t="s">
        <v>1780</v>
      </c>
      <c r="G2" s="1" t="s">
        <v>1781</v>
      </c>
      <c r="H2" s="1" t="s">
        <v>1782</v>
      </c>
      <c r="I2" s="1" t="s">
        <v>1783</v>
      </c>
      <c r="J2" s="1" t="s">
        <v>1784</v>
      </c>
      <c r="K2" s="1" t="s">
        <v>1785</v>
      </c>
      <c r="L2" s="1" t="s">
        <v>1786</v>
      </c>
      <c r="M2" s="1" t="s">
        <v>1787</v>
      </c>
    </row>
    <row r="3" customFormat="false" ht="15" hidden="false" customHeight="false" outlineLevel="0" collapsed="false">
      <c r="A3" s="1" t="s">
        <v>1788</v>
      </c>
      <c r="B3" s="1" t="s">
        <v>288</v>
      </c>
      <c r="C3" s="1" t="s">
        <v>1789</v>
      </c>
      <c r="D3" s="1" t="s">
        <v>1790</v>
      </c>
      <c r="E3" s="1" t="s">
        <v>1791</v>
      </c>
      <c r="F3" s="1" t="s">
        <v>1792</v>
      </c>
      <c r="G3" s="1" t="s">
        <v>1793</v>
      </c>
      <c r="H3" s="1" t="s">
        <v>1794</v>
      </c>
      <c r="I3" s="1" t="s">
        <v>1795</v>
      </c>
      <c r="J3" s="1" t="s">
        <v>1796</v>
      </c>
      <c r="K3" s="1" t="s">
        <v>1797</v>
      </c>
      <c r="L3" s="1" t="s">
        <v>1798</v>
      </c>
      <c r="M3" s="1" t="s">
        <v>1799</v>
      </c>
    </row>
    <row r="4" customFormat="false" ht="15" hidden="false" customHeight="false" outlineLevel="0" collapsed="false">
      <c r="A4" s="1" t="s">
        <v>1800</v>
      </c>
      <c r="B4" s="1" t="s">
        <v>214</v>
      </c>
      <c r="C4" s="1" t="s">
        <v>1801</v>
      </c>
      <c r="D4" s="1" t="s">
        <v>1802</v>
      </c>
      <c r="E4" s="1" t="s">
        <v>1803</v>
      </c>
      <c r="F4" s="1" t="s">
        <v>1804</v>
      </c>
      <c r="G4" s="1" t="s">
        <v>1805</v>
      </c>
      <c r="H4" s="1" t="s">
        <v>1806</v>
      </c>
      <c r="I4" s="1" t="s">
        <v>1807</v>
      </c>
      <c r="J4" s="1" t="s">
        <v>1808</v>
      </c>
      <c r="K4" s="1" t="s">
        <v>1809</v>
      </c>
      <c r="L4" s="1" t="s">
        <v>1810</v>
      </c>
      <c r="M4" s="1" t="s">
        <v>1811</v>
      </c>
    </row>
    <row r="5" customFormat="false" ht="15" hidden="false" customHeight="false" outlineLevel="0" collapsed="false">
      <c r="A5" s="1" t="s">
        <v>1812</v>
      </c>
      <c r="B5" s="1" t="s">
        <v>277</v>
      </c>
      <c r="C5" s="1" t="s">
        <v>1813</v>
      </c>
      <c r="D5" s="1" t="s">
        <v>1814</v>
      </c>
      <c r="E5" s="1" t="s">
        <v>1815</v>
      </c>
      <c r="F5" s="1" t="s">
        <v>1816</v>
      </c>
      <c r="G5" s="1" t="s">
        <v>1817</v>
      </c>
      <c r="H5" s="1" t="s">
        <v>1818</v>
      </c>
      <c r="I5" s="1" t="s">
        <v>1819</v>
      </c>
      <c r="J5" s="1" t="s">
        <v>1796</v>
      </c>
      <c r="K5" s="1" t="s">
        <v>1820</v>
      </c>
      <c r="L5" s="1" t="s">
        <v>1821</v>
      </c>
      <c r="M5" s="1" t="s">
        <v>1822</v>
      </c>
    </row>
    <row r="6" customFormat="false" ht="15" hidden="false" customHeight="false" outlineLevel="0" collapsed="false">
      <c r="A6" s="1" t="s">
        <v>1823</v>
      </c>
      <c r="B6" s="1" t="s">
        <v>283</v>
      </c>
      <c r="C6" s="1" t="s">
        <v>1824</v>
      </c>
      <c r="D6" s="1" t="s">
        <v>1825</v>
      </c>
      <c r="E6" s="1" t="s">
        <v>1826</v>
      </c>
      <c r="F6" s="1" t="s">
        <v>1827</v>
      </c>
      <c r="G6" s="1" t="s">
        <v>1828</v>
      </c>
      <c r="H6" s="1" t="s">
        <v>1818</v>
      </c>
      <c r="I6" s="1" t="s">
        <v>1819</v>
      </c>
      <c r="J6" s="1" t="s">
        <v>1796</v>
      </c>
      <c r="K6" s="1" t="s">
        <v>1829</v>
      </c>
      <c r="L6" s="1" t="s">
        <v>1830</v>
      </c>
      <c r="M6" s="1" t="s">
        <v>1831</v>
      </c>
    </row>
    <row r="7" customFormat="false" ht="15" hidden="false" customHeight="false" outlineLevel="0" collapsed="false">
      <c r="A7" s="1" t="s">
        <v>1832</v>
      </c>
      <c r="B7" s="1" t="s">
        <v>145</v>
      </c>
      <c r="C7" s="1" t="s">
        <v>1833</v>
      </c>
      <c r="D7" s="1" t="s">
        <v>1834</v>
      </c>
      <c r="E7" s="1" t="s">
        <v>1835</v>
      </c>
      <c r="F7" s="1" t="s">
        <v>1836</v>
      </c>
      <c r="G7" s="1" t="s">
        <v>1837</v>
      </c>
      <c r="H7" s="1" t="s">
        <v>1838</v>
      </c>
      <c r="I7" s="1" t="s">
        <v>1839</v>
      </c>
      <c r="J7" s="1" t="s">
        <v>1840</v>
      </c>
      <c r="K7" s="1" t="s">
        <v>1841</v>
      </c>
      <c r="L7" s="1" t="s">
        <v>1842</v>
      </c>
      <c r="M7" s="1" t="s">
        <v>1843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62"/>
    <col collapsed="false" customWidth="true" hidden="false" outlineLevel="0" max="3" min="3" style="1" width="42"/>
    <col collapsed="false" customWidth="true" hidden="false" outlineLevel="0" max="4" min="4" style="1" width="30"/>
    <col collapsed="false" customWidth="true" hidden="false" outlineLevel="0" max="5" min="5" style="1" width="38"/>
    <col collapsed="false" customWidth="true" hidden="false" outlineLevel="0" max="6" min="6" style="1" width="54"/>
  </cols>
  <sheetData>
    <row r="1" customFormat="false" ht="18.65" hidden="false" customHeight="true" outlineLevel="0" collapsed="false">
      <c r="A1" s="18" t="s">
        <v>1844</v>
      </c>
      <c r="B1" s="18"/>
      <c r="C1" s="18"/>
      <c r="D1" s="18"/>
      <c r="E1" s="18"/>
      <c r="F1" s="18"/>
    </row>
    <row r="3" customFormat="false" ht="15" hidden="false" customHeight="false" outlineLevel="0" collapsed="false">
      <c r="A3" s="3" t="s">
        <v>1845</v>
      </c>
      <c r="B3" s="3" t="s">
        <v>2</v>
      </c>
      <c r="C3" s="3" t="s">
        <v>1099</v>
      </c>
      <c r="D3" s="3" t="s">
        <v>1846</v>
      </c>
      <c r="E3" s="3" t="s">
        <v>1847</v>
      </c>
      <c r="F3" s="3" t="s">
        <v>1112</v>
      </c>
    </row>
    <row r="4" customFormat="false" ht="15" hidden="false" customHeight="false" outlineLevel="0" collapsed="false">
      <c r="A4" s="1" t="s">
        <v>1848</v>
      </c>
      <c r="B4" s="1" t="s">
        <v>1849</v>
      </c>
      <c r="C4" s="1" t="s">
        <v>1850</v>
      </c>
      <c r="D4" s="1" t="s">
        <v>1851</v>
      </c>
      <c r="E4" s="1" t="s">
        <v>1852</v>
      </c>
      <c r="F4" s="1" t="s">
        <v>1853</v>
      </c>
    </row>
    <row r="5" customFormat="false" ht="15" hidden="false" customHeight="false" outlineLevel="0" collapsed="false">
      <c r="A5" s="1" t="s">
        <v>1854</v>
      </c>
      <c r="B5" s="1" t="s">
        <v>1855</v>
      </c>
      <c r="C5" s="1" t="s">
        <v>1856</v>
      </c>
      <c r="D5" s="1" t="s">
        <v>1857</v>
      </c>
      <c r="E5" s="1" t="s">
        <v>1858</v>
      </c>
      <c r="F5" s="1" t="s">
        <v>1859</v>
      </c>
    </row>
    <row r="6" customFormat="false" ht="15" hidden="false" customHeight="false" outlineLevel="0" collapsed="false">
      <c r="A6" s="1" t="s">
        <v>1860</v>
      </c>
      <c r="B6" s="1" t="s">
        <v>1861</v>
      </c>
      <c r="C6" s="1" t="s">
        <v>1862</v>
      </c>
      <c r="D6" s="1" t="s">
        <v>1863</v>
      </c>
      <c r="E6" s="1" t="s">
        <v>1864</v>
      </c>
      <c r="F6" s="1" t="s">
        <v>1865</v>
      </c>
    </row>
    <row r="7" customFormat="false" ht="15" hidden="false" customHeight="false" outlineLevel="0" collapsed="false">
      <c r="A7" s="1" t="s">
        <v>1866</v>
      </c>
      <c r="B7" s="1" t="s">
        <v>1867</v>
      </c>
      <c r="C7" s="1" t="s">
        <v>1868</v>
      </c>
      <c r="D7" s="1" t="s">
        <v>1869</v>
      </c>
      <c r="E7" s="1" t="s">
        <v>1870</v>
      </c>
      <c r="F7" s="1" t="s">
        <v>1871</v>
      </c>
    </row>
    <row r="8" customFormat="false" ht="15" hidden="false" customHeight="false" outlineLevel="0" collapsed="false">
      <c r="A8" s="1" t="s">
        <v>1872</v>
      </c>
      <c r="B8" s="1" t="s">
        <v>1873</v>
      </c>
      <c r="C8" s="1" t="s">
        <v>1874</v>
      </c>
      <c r="D8" s="1" t="s">
        <v>1875</v>
      </c>
      <c r="E8" s="1" t="s">
        <v>1876</v>
      </c>
      <c r="F8" s="1" t="s">
        <v>1877</v>
      </c>
    </row>
    <row r="9" customFormat="false" ht="15" hidden="false" customHeight="false" outlineLevel="0" collapsed="false">
      <c r="A9" s="1" t="s">
        <v>1878</v>
      </c>
      <c r="B9" s="1" t="s">
        <v>1879</v>
      </c>
      <c r="C9" s="1" t="s">
        <v>1880</v>
      </c>
      <c r="D9" s="1" t="s">
        <v>1881</v>
      </c>
      <c r="E9" s="1" t="s">
        <v>1882</v>
      </c>
      <c r="F9" s="1" t="s">
        <v>1883</v>
      </c>
    </row>
    <row r="10" customFormat="false" ht="15" hidden="false" customHeight="false" outlineLevel="0" collapsed="false">
      <c r="A10" s="1" t="s">
        <v>1884</v>
      </c>
      <c r="B10" s="1" t="s">
        <v>1885</v>
      </c>
      <c r="C10" s="1" t="s">
        <v>1886</v>
      </c>
      <c r="D10" s="1" t="s">
        <v>1887</v>
      </c>
      <c r="E10" s="1" t="s">
        <v>1888</v>
      </c>
      <c r="F10" s="1" t="s">
        <v>1889</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6"/>
    <col collapsed="false" customWidth="true" hidden="false" outlineLevel="0" max="3" min="3" style="1" width="46"/>
    <col collapsed="false" customWidth="true" hidden="false" outlineLevel="0" max="4" min="4" style="1" width="40"/>
    <col collapsed="false" customWidth="true" hidden="false" outlineLevel="0" max="5" min="5" style="1" width="46"/>
    <col collapsed="false" customWidth="true" hidden="false" outlineLevel="0" max="6" min="6" style="1" width="56"/>
    <col collapsed="false" customWidth="true" hidden="false" outlineLevel="0" max="7" min="7" style="1" width="54"/>
    <col collapsed="false" customWidth="true" hidden="false" outlineLevel="0" max="8" min="8" style="1" width="42"/>
  </cols>
  <sheetData>
    <row r="1" customFormat="false" ht="18.65" hidden="false" customHeight="true" outlineLevel="0" collapsed="false">
      <c r="A1" s="18" t="s">
        <v>1890</v>
      </c>
      <c r="B1" s="18"/>
      <c r="C1" s="18"/>
      <c r="D1" s="18"/>
      <c r="E1" s="18"/>
      <c r="F1" s="18"/>
      <c r="G1" s="18"/>
      <c r="H1" s="18"/>
    </row>
    <row r="3" customFormat="false" ht="15" hidden="false" customHeight="false" outlineLevel="0" collapsed="false">
      <c r="A3" s="3" t="s">
        <v>1</v>
      </c>
      <c r="B3" s="3" t="s">
        <v>1891</v>
      </c>
      <c r="C3" s="3" t="s">
        <v>1892</v>
      </c>
      <c r="D3" s="3" t="s">
        <v>1893</v>
      </c>
      <c r="E3" s="3" t="s">
        <v>1894</v>
      </c>
      <c r="F3" s="3" t="s">
        <v>1895</v>
      </c>
      <c r="G3" s="3" t="s">
        <v>1896</v>
      </c>
      <c r="H3" s="3" t="s">
        <v>1897</v>
      </c>
    </row>
    <row r="4" customFormat="false" ht="15" hidden="false" customHeight="false" outlineLevel="0" collapsed="false">
      <c r="A4" s="1" t="s">
        <v>1898</v>
      </c>
      <c r="B4" s="1" t="s">
        <v>1899</v>
      </c>
      <c r="C4" s="1" t="s">
        <v>1900</v>
      </c>
      <c r="D4" s="1" t="s">
        <v>1901</v>
      </c>
      <c r="E4" s="1" t="s">
        <v>1902</v>
      </c>
      <c r="F4" s="1" t="s">
        <v>1903</v>
      </c>
      <c r="G4" s="1" t="s">
        <v>1904</v>
      </c>
      <c r="H4" s="1" t="s">
        <v>1905</v>
      </c>
    </row>
    <row r="5" customFormat="false" ht="15" hidden="false" customHeight="false" outlineLevel="0" collapsed="false">
      <c r="A5" s="1" t="s">
        <v>1906</v>
      </c>
      <c r="B5" s="1" t="s">
        <v>1907</v>
      </c>
      <c r="C5" s="1" t="s">
        <v>1908</v>
      </c>
      <c r="D5" s="1" t="s">
        <v>1909</v>
      </c>
      <c r="E5" s="1" t="s">
        <v>1910</v>
      </c>
      <c r="F5" s="1" t="s">
        <v>1911</v>
      </c>
      <c r="G5" s="1" t="s">
        <v>1912</v>
      </c>
      <c r="H5" s="1" t="s">
        <v>1913</v>
      </c>
    </row>
    <row r="6" customFormat="false" ht="15" hidden="false" customHeight="false" outlineLevel="0" collapsed="false">
      <c r="A6" s="1" t="s">
        <v>1914</v>
      </c>
      <c r="B6" s="1" t="s">
        <v>1915</v>
      </c>
      <c r="C6" s="1" t="s">
        <v>1916</v>
      </c>
      <c r="D6" s="1" t="s">
        <v>1917</v>
      </c>
      <c r="E6" s="1" t="s">
        <v>1918</v>
      </c>
      <c r="F6" s="1" t="s">
        <v>1919</v>
      </c>
      <c r="G6" s="1" t="s">
        <v>1920</v>
      </c>
      <c r="H6" s="1" t="s">
        <v>1921</v>
      </c>
    </row>
    <row r="7" customFormat="false" ht="15" hidden="false" customHeight="false" outlineLevel="0" collapsed="false">
      <c r="A7" s="1" t="s">
        <v>1922</v>
      </c>
      <c r="B7" s="1" t="s">
        <v>1923</v>
      </c>
      <c r="C7" s="1" t="s">
        <v>1924</v>
      </c>
      <c r="D7" s="1" t="s">
        <v>1925</v>
      </c>
      <c r="E7" s="1" t="s">
        <v>1926</v>
      </c>
      <c r="F7" s="1" t="s">
        <v>1927</v>
      </c>
      <c r="G7" s="1" t="s">
        <v>1928</v>
      </c>
      <c r="H7" s="1" t="s">
        <v>1929</v>
      </c>
    </row>
    <row r="8" customFormat="false" ht="15" hidden="false" customHeight="false" outlineLevel="0" collapsed="false">
      <c r="A8" s="1" t="s">
        <v>1930</v>
      </c>
      <c r="B8" s="1" t="s">
        <v>1931</v>
      </c>
      <c r="C8" s="1" t="s">
        <v>1932</v>
      </c>
      <c r="D8" s="1" t="s">
        <v>1933</v>
      </c>
      <c r="E8" s="1" t="s">
        <v>1934</v>
      </c>
      <c r="F8" s="1" t="s">
        <v>1935</v>
      </c>
      <c r="G8" s="1" t="s">
        <v>1936</v>
      </c>
      <c r="H8" s="1" t="s">
        <v>1937</v>
      </c>
    </row>
    <row r="9" customFormat="false" ht="15" hidden="false" customHeight="false" outlineLevel="0" collapsed="false">
      <c r="A9" s="1" t="s">
        <v>1938</v>
      </c>
      <c r="B9" s="1" t="s">
        <v>1939</v>
      </c>
      <c r="C9" s="1" t="s">
        <v>1940</v>
      </c>
      <c r="D9" s="1" t="s">
        <v>1941</v>
      </c>
      <c r="E9" s="1" t="s">
        <v>1942</v>
      </c>
      <c r="F9" s="1" t="s">
        <v>1943</v>
      </c>
      <c r="G9" s="1" t="s">
        <v>1944</v>
      </c>
      <c r="H9" s="1" t="s">
        <v>1945</v>
      </c>
    </row>
    <row r="10" customFormat="false" ht="15" hidden="false" customHeight="false" outlineLevel="0" collapsed="false">
      <c r="A10" s="1" t="s">
        <v>1946</v>
      </c>
      <c r="B10" s="1" t="s">
        <v>1947</v>
      </c>
      <c r="C10" s="1" t="s">
        <v>1948</v>
      </c>
      <c r="D10" s="1" t="s">
        <v>1949</v>
      </c>
      <c r="E10" s="1" t="s">
        <v>1950</v>
      </c>
      <c r="F10" s="1" t="s">
        <v>1951</v>
      </c>
      <c r="G10" s="1" t="s">
        <v>1952</v>
      </c>
      <c r="H10" s="1" t="s">
        <v>1953</v>
      </c>
    </row>
    <row r="11" customFormat="false" ht="15" hidden="false" customHeight="false" outlineLevel="0" collapsed="false">
      <c r="A11" s="1" t="s">
        <v>1954</v>
      </c>
      <c r="B11" s="1" t="s">
        <v>1955</v>
      </c>
      <c r="C11" s="1" t="s">
        <v>1956</v>
      </c>
      <c r="D11" s="1" t="s">
        <v>1957</v>
      </c>
      <c r="E11" s="1" t="s">
        <v>1958</v>
      </c>
      <c r="F11" s="1" t="s">
        <v>1959</v>
      </c>
      <c r="G11" s="1" t="s">
        <v>1960</v>
      </c>
      <c r="H11" s="1" t="s">
        <v>1961</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48"/>
    <col collapsed="false" customWidth="true" hidden="false" outlineLevel="0" max="4" min="4" style="1" width="38"/>
    <col collapsed="false" customWidth="true" hidden="false" outlineLevel="0" max="5" min="5" style="1" width="44"/>
    <col collapsed="false" customWidth="true" hidden="false" outlineLevel="0" max="6" min="6" style="1" width="58"/>
    <col collapsed="false" customWidth="true" hidden="false" outlineLevel="0" max="7" min="7" style="1" width="14"/>
  </cols>
  <sheetData>
    <row r="1" customFormat="false" ht="15" hidden="false" customHeight="false" outlineLevel="0" collapsed="false">
      <c r="A1" s="3" t="s">
        <v>1962</v>
      </c>
      <c r="B1" s="3" t="s">
        <v>1963</v>
      </c>
      <c r="C1" s="3" t="s">
        <v>1964</v>
      </c>
      <c r="D1" s="3" t="s">
        <v>1340</v>
      </c>
      <c r="E1" s="3" t="s">
        <v>1965</v>
      </c>
      <c r="F1" s="3" t="s">
        <v>1966</v>
      </c>
      <c r="G1" s="3" t="s">
        <v>528</v>
      </c>
    </row>
    <row r="2" customFormat="false" ht="15" hidden="false" customHeight="false" outlineLevel="0" collapsed="false">
      <c r="A2" s="1" t="s">
        <v>1967</v>
      </c>
      <c r="B2" s="1" t="s">
        <v>1968</v>
      </c>
      <c r="C2" s="1" t="s">
        <v>1969</v>
      </c>
      <c r="D2" s="1" t="s">
        <v>1970</v>
      </c>
      <c r="E2" s="1" t="s">
        <v>1971</v>
      </c>
      <c r="F2" s="1" t="s">
        <v>1972</v>
      </c>
      <c r="G2" s="1" t="s">
        <v>1973</v>
      </c>
    </row>
    <row r="3" customFormat="false" ht="15" hidden="false" customHeight="false" outlineLevel="0" collapsed="false">
      <c r="A3" s="1" t="s">
        <v>1974</v>
      </c>
      <c r="B3" s="1" t="s">
        <v>1968</v>
      </c>
      <c r="C3" s="1" t="s">
        <v>1975</v>
      </c>
      <c r="D3" s="1" t="s">
        <v>1976</v>
      </c>
      <c r="E3" s="1" t="s">
        <v>1977</v>
      </c>
      <c r="F3" s="1" t="s">
        <v>1978</v>
      </c>
      <c r="G3" s="1" t="s">
        <v>1973</v>
      </c>
    </row>
    <row r="4" customFormat="false" ht="15" hidden="false" customHeight="false" outlineLevel="0" collapsed="false">
      <c r="A4" s="1" t="s">
        <v>1979</v>
      </c>
      <c r="B4" s="1" t="s">
        <v>1980</v>
      </c>
      <c r="C4" s="1" t="s">
        <v>1981</v>
      </c>
      <c r="D4" s="1" t="s">
        <v>1982</v>
      </c>
      <c r="E4" s="1" t="s">
        <v>1983</v>
      </c>
      <c r="F4" s="1" t="s">
        <v>1984</v>
      </c>
      <c r="G4" s="1" t="s">
        <v>1973</v>
      </c>
    </row>
    <row r="5" customFormat="false" ht="15" hidden="false" customHeight="false" outlineLevel="0" collapsed="false">
      <c r="A5" s="1" t="s">
        <v>1985</v>
      </c>
      <c r="B5" s="1" t="s">
        <v>1968</v>
      </c>
      <c r="C5" s="1" t="s">
        <v>1986</v>
      </c>
      <c r="D5" s="1" t="s">
        <v>52</v>
      </c>
      <c r="E5" s="1" t="s">
        <v>1987</v>
      </c>
      <c r="F5" s="1" t="s">
        <v>1988</v>
      </c>
      <c r="G5" s="1" t="s">
        <v>1973</v>
      </c>
    </row>
    <row r="6" customFormat="false" ht="15" hidden="false" customHeight="false" outlineLevel="0" collapsed="false">
      <c r="A6" s="1" t="s">
        <v>1989</v>
      </c>
      <c r="B6" s="1" t="s">
        <v>1980</v>
      </c>
      <c r="C6" s="1" t="s">
        <v>1990</v>
      </c>
      <c r="D6" s="1" t="s">
        <v>52</v>
      </c>
      <c r="E6" s="1" t="s">
        <v>1991</v>
      </c>
      <c r="F6" s="1" t="s">
        <v>1992</v>
      </c>
      <c r="G6" s="1" t="s">
        <v>1993</v>
      </c>
    </row>
    <row r="7" customFormat="false" ht="15" hidden="false" customHeight="false" outlineLevel="0" collapsed="false">
      <c r="A7" s="1" t="s">
        <v>1994</v>
      </c>
      <c r="B7" s="1" t="s">
        <v>1968</v>
      </c>
      <c r="C7" s="1" t="s">
        <v>1995</v>
      </c>
      <c r="D7" s="1" t="s">
        <v>1291</v>
      </c>
      <c r="E7" s="1" t="s">
        <v>1996</v>
      </c>
      <c r="F7" s="1" t="s">
        <v>1997</v>
      </c>
      <c r="G7" s="1" t="s">
        <v>1973</v>
      </c>
    </row>
    <row r="8" customFormat="false" ht="15" hidden="false" customHeight="false" outlineLevel="0" collapsed="false">
      <c r="A8" s="1" t="s">
        <v>1998</v>
      </c>
      <c r="B8" s="1" t="s">
        <v>1999</v>
      </c>
      <c r="C8" s="1" t="s">
        <v>2000</v>
      </c>
      <c r="D8" s="1" t="s">
        <v>1291</v>
      </c>
      <c r="E8" s="1" t="s">
        <v>2001</v>
      </c>
      <c r="F8" s="1" t="s">
        <v>2002</v>
      </c>
      <c r="G8" s="1" t="s">
        <v>1973</v>
      </c>
    </row>
    <row r="9" customFormat="false" ht="15" hidden="false" customHeight="false" outlineLevel="0" collapsed="false">
      <c r="A9" s="1" t="s">
        <v>2003</v>
      </c>
      <c r="B9" s="1" t="s">
        <v>1968</v>
      </c>
      <c r="C9" s="1" t="s">
        <v>2004</v>
      </c>
      <c r="D9" s="1" t="s">
        <v>1982</v>
      </c>
      <c r="E9" s="1" t="s">
        <v>2005</v>
      </c>
      <c r="F9" s="1" t="s">
        <v>2006</v>
      </c>
      <c r="G9" s="1" t="s">
        <v>1973</v>
      </c>
    </row>
    <row r="10" customFormat="false" ht="15" hidden="false" customHeight="false" outlineLevel="0" collapsed="false">
      <c r="A10" s="1" t="s">
        <v>2007</v>
      </c>
      <c r="B10" s="1" t="s">
        <v>1968</v>
      </c>
      <c r="C10" s="1" t="s">
        <v>2008</v>
      </c>
      <c r="D10" s="1" t="s">
        <v>1303</v>
      </c>
      <c r="E10" s="1" t="s">
        <v>2009</v>
      </c>
      <c r="F10" s="1" t="s">
        <v>2010</v>
      </c>
      <c r="G10" s="1" t="s">
        <v>1973</v>
      </c>
    </row>
    <row r="11" customFormat="false" ht="15" hidden="false" customHeight="false" outlineLevel="0" collapsed="false">
      <c r="A11" s="1" t="s">
        <v>2011</v>
      </c>
      <c r="B11" s="1" t="s">
        <v>1980</v>
      </c>
      <c r="C11" s="1" t="s">
        <v>2012</v>
      </c>
      <c r="D11" s="1" t="s">
        <v>2013</v>
      </c>
      <c r="E11" s="1" t="s">
        <v>2014</v>
      </c>
      <c r="F11" s="1" t="s">
        <v>2015</v>
      </c>
      <c r="G11" s="1" t="s">
        <v>1993</v>
      </c>
    </row>
    <row r="12" customFormat="false" ht="15" hidden="false" customHeight="false" outlineLevel="0" collapsed="false">
      <c r="A12" s="1" t="s">
        <v>2016</v>
      </c>
      <c r="B12" s="1" t="s">
        <v>1968</v>
      </c>
      <c r="C12" s="1" t="s">
        <v>2017</v>
      </c>
      <c r="D12" s="1" t="s">
        <v>1291</v>
      </c>
      <c r="E12" s="1" t="s">
        <v>2018</v>
      </c>
      <c r="F12" s="1" t="s">
        <v>2019</v>
      </c>
      <c r="G12" s="1" t="s">
        <v>1973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110"/>
    <col collapsed="false" customWidth="true" hidden="false" outlineLevel="0" max="4" min="4" style="1" width="48"/>
  </cols>
  <sheetData>
    <row r="1" customFormat="false" ht="18.65" hidden="false" customHeight="true" outlineLevel="0" collapsed="false">
      <c r="A1" s="18" t="s">
        <v>2020</v>
      </c>
      <c r="B1" s="18"/>
      <c r="C1" s="18"/>
      <c r="D1" s="18"/>
    </row>
    <row r="3" customFormat="false" ht="15" hidden="false" customHeight="false" outlineLevel="0" collapsed="false">
      <c r="A3" s="3" t="s">
        <v>1</v>
      </c>
      <c r="B3" s="3" t="s">
        <v>2021</v>
      </c>
      <c r="C3" s="3" t="s">
        <v>2022</v>
      </c>
      <c r="D3" s="3" t="s">
        <v>2023</v>
      </c>
    </row>
    <row r="4" customFormat="false" ht="15" hidden="false" customHeight="false" outlineLevel="0" collapsed="false">
      <c r="A4" s="1" t="s">
        <v>1898</v>
      </c>
      <c r="B4" s="1" t="s">
        <v>2024</v>
      </c>
      <c r="C4" s="1" t="s">
        <v>2025</v>
      </c>
      <c r="D4" s="1" t="s">
        <v>2026</v>
      </c>
    </row>
    <row r="5" customFormat="false" ht="15" hidden="false" customHeight="false" outlineLevel="0" collapsed="false">
      <c r="A5" s="1" t="s">
        <v>1898</v>
      </c>
      <c r="B5" s="1" t="s">
        <v>2027</v>
      </c>
      <c r="C5" s="1" t="s">
        <v>2028</v>
      </c>
      <c r="D5" s="1" t="s">
        <v>2029</v>
      </c>
    </row>
    <row r="6" customFormat="false" ht="15" hidden="false" customHeight="false" outlineLevel="0" collapsed="false">
      <c r="A6" s="1" t="s">
        <v>1906</v>
      </c>
      <c r="B6" s="1" t="s">
        <v>2024</v>
      </c>
      <c r="C6" s="1" t="s">
        <v>2030</v>
      </c>
      <c r="D6" s="1" t="s">
        <v>2031</v>
      </c>
    </row>
    <row r="7" customFormat="false" ht="15" hidden="false" customHeight="false" outlineLevel="0" collapsed="false">
      <c r="A7" s="1" t="s">
        <v>1906</v>
      </c>
      <c r="B7" s="1" t="s">
        <v>2027</v>
      </c>
      <c r="C7" s="1" t="s">
        <v>2032</v>
      </c>
      <c r="D7" s="1" t="s">
        <v>2033</v>
      </c>
    </row>
    <row r="8" customFormat="false" ht="15" hidden="false" customHeight="false" outlineLevel="0" collapsed="false">
      <c r="A8" s="1" t="s">
        <v>1914</v>
      </c>
      <c r="B8" s="1" t="s">
        <v>2024</v>
      </c>
      <c r="C8" s="1" t="s">
        <v>2034</v>
      </c>
      <c r="D8" s="1" t="s">
        <v>2035</v>
      </c>
    </row>
    <row r="9" customFormat="false" ht="15" hidden="false" customHeight="false" outlineLevel="0" collapsed="false">
      <c r="A9" s="1" t="s">
        <v>1914</v>
      </c>
      <c r="B9" s="1" t="s">
        <v>2027</v>
      </c>
      <c r="C9" s="1" t="s">
        <v>2036</v>
      </c>
      <c r="D9" s="1" t="s">
        <v>52</v>
      </c>
    </row>
    <row r="10" customFormat="false" ht="15" hidden="false" customHeight="false" outlineLevel="0" collapsed="false">
      <c r="A10" s="1" t="s">
        <v>1922</v>
      </c>
      <c r="B10" s="1" t="s">
        <v>2024</v>
      </c>
      <c r="C10" s="1" t="s">
        <v>2037</v>
      </c>
      <c r="D10" s="1" t="s">
        <v>2038</v>
      </c>
    </row>
    <row r="11" customFormat="false" ht="15" hidden="false" customHeight="false" outlineLevel="0" collapsed="false">
      <c r="A11" s="1" t="s">
        <v>1922</v>
      </c>
      <c r="B11" s="1" t="s">
        <v>2027</v>
      </c>
      <c r="C11" s="1" t="s">
        <v>2039</v>
      </c>
      <c r="D11" s="1" t="s">
        <v>2040</v>
      </c>
    </row>
    <row r="12" customFormat="false" ht="15" hidden="false" customHeight="false" outlineLevel="0" collapsed="false">
      <c r="A12" s="1" t="s">
        <v>1922</v>
      </c>
      <c r="B12" s="1" t="s">
        <v>2041</v>
      </c>
      <c r="C12" s="1" t="s">
        <v>2042</v>
      </c>
      <c r="D12" s="1" t="s">
        <v>2043</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30"/>
    <col collapsed="false" customWidth="true" hidden="false" outlineLevel="0" max="7" min="4" style="1" width="15"/>
    <col collapsed="false" customWidth="true" hidden="false" outlineLevel="0" max="8" min="8" style="1" width="18"/>
    <col collapsed="false" customWidth="true" hidden="false" outlineLevel="0" max="9" min="9" style="1" width="22"/>
    <col collapsed="false" customWidth="true" hidden="false" outlineLevel="0" max="10" min="10" style="1" width="28"/>
    <col collapsed="false" customWidth="true" hidden="false" outlineLevel="0" max="11" min="11" style="1" width="20"/>
    <col collapsed="false" customWidth="true" hidden="false" outlineLevel="0" max="12" min="12" style="1" width="15"/>
    <col collapsed="false" customWidth="true" hidden="false" outlineLevel="0" max="13" min="13" style="1" width="20"/>
    <col collapsed="false" customWidth="true" hidden="false" outlineLevel="0" max="14" min="14" style="1" width="18"/>
    <col collapsed="false" customWidth="true" hidden="false" outlineLevel="0" max="15" min="15" style="1" width="16"/>
    <col collapsed="false" customWidth="true" hidden="false" outlineLevel="0" max="16" min="16" style="1" width="46"/>
    <col collapsed="false" customWidth="true" hidden="false" outlineLevel="0" max="17" min="17" style="1" width="48"/>
  </cols>
  <sheetData>
    <row r="1" customFormat="false" ht="28.35" hidden="false" customHeight="false" outlineLevel="0" collapsed="false">
      <c r="A1" s="3" t="s">
        <v>1000</v>
      </c>
      <c r="B1" s="3" t="s">
        <v>954</v>
      </c>
      <c r="C1" s="3" t="s">
        <v>1003</v>
      </c>
      <c r="D1" s="3" t="s">
        <v>1006</v>
      </c>
      <c r="E1" s="3" t="s">
        <v>1008</v>
      </c>
      <c r="F1" s="3" t="s">
        <v>1011</v>
      </c>
      <c r="G1" s="3" t="s">
        <v>1014</v>
      </c>
      <c r="H1" s="3" t="s">
        <v>1017</v>
      </c>
      <c r="I1" s="3" t="s">
        <v>2044</v>
      </c>
      <c r="J1" s="3" t="s">
        <v>1019</v>
      </c>
      <c r="K1" s="3" t="s">
        <v>1021</v>
      </c>
      <c r="L1" s="3" t="s">
        <v>1024</v>
      </c>
      <c r="M1" s="3" t="s">
        <v>1027</v>
      </c>
      <c r="N1" s="3" t="s">
        <v>1029</v>
      </c>
      <c r="O1" s="3" t="s">
        <v>1032</v>
      </c>
      <c r="P1" s="3" t="s">
        <v>2045</v>
      </c>
      <c r="Q1" s="3" t="s">
        <v>1112</v>
      </c>
    </row>
    <row r="2" customFormat="false" ht="15" hidden="false" customHeight="false" outlineLevel="0" collapsed="false">
      <c r="A2" s="1" t="s">
        <v>2046</v>
      </c>
      <c r="B2" s="1" t="s">
        <v>2047</v>
      </c>
      <c r="C2" s="1" t="s">
        <v>2048</v>
      </c>
      <c r="D2" s="11"/>
      <c r="E2" s="11"/>
      <c r="F2" s="11"/>
      <c r="G2" s="11"/>
      <c r="J2" s="1" t="s">
        <v>2049</v>
      </c>
      <c r="K2" s="1" t="s">
        <v>1094</v>
      </c>
      <c r="L2" s="11"/>
      <c r="N2" s="12"/>
      <c r="O2" s="1" t="str">
        <f aca="false">IF(OR(D2="",G2=""),"",G2-D2)</f>
        <v/>
      </c>
      <c r="P2" s="1" t="s">
        <v>2050</v>
      </c>
      <c r="Q2" s="1" t="s">
        <v>2051</v>
      </c>
    </row>
    <row r="3" customFormat="false" ht="15" hidden="false" customHeight="false" outlineLevel="0" collapsed="false">
      <c r="A3" s="1" t="s">
        <v>2052</v>
      </c>
      <c r="B3" s="1" t="s">
        <v>2053</v>
      </c>
      <c r="C3" s="1" t="s">
        <v>2048</v>
      </c>
      <c r="D3" s="11"/>
      <c r="E3" s="11"/>
      <c r="F3" s="11"/>
      <c r="G3" s="11"/>
      <c r="J3" s="1" t="s">
        <v>2049</v>
      </c>
      <c r="K3" s="1" t="s">
        <v>1094</v>
      </c>
      <c r="L3" s="11"/>
      <c r="N3" s="12"/>
      <c r="O3" s="1" t="str">
        <f aca="false">IF(OR(D3="",G3=""),"",G3-D3)</f>
        <v/>
      </c>
      <c r="P3" s="1" t="s">
        <v>2050</v>
      </c>
      <c r="Q3" s="1" t="s">
        <v>2051</v>
      </c>
    </row>
    <row r="4" customFormat="false" ht="15" hidden="false" customHeight="false" outlineLevel="0" collapsed="false">
      <c r="D4" s="11"/>
      <c r="E4" s="11"/>
      <c r="F4" s="11"/>
      <c r="G4" s="11"/>
      <c r="L4" s="11"/>
      <c r="N4" s="12"/>
      <c r="O4" s="1" t="str">
        <f aca="false">IF(OR(D4="",G4=""),"",G4-D4)</f>
        <v/>
      </c>
    </row>
    <row r="5" customFormat="false" ht="15" hidden="false" customHeight="false" outlineLevel="0" collapsed="false">
      <c r="D5" s="11"/>
      <c r="E5" s="11"/>
      <c r="F5" s="11"/>
      <c r="G5" s="11"/>
      <c r="L5" s="11"/>
      <c r="N5" s="12"/>
      <c r="O5" s="1" t="str">
        <f aca="false">IF(OR(D5="",G5=""),"",G5-D5)</f>
        <v/>
      </c>
    </row>
    <row r="6" customFormat="false" ht="15" hidden="false" customHeight="false" outlineLevel="0" collapsed="false">
      <c r="D6" s="11"/>
      <c r="E6" s="11"/>
      <c r="F6" s="11"/>
      <c r="G6" s="11"/>
      <c r="L6" s="11"/>
      <c r="N6" s="12"/>
      <c r="O6" s="1" t="str">
        <f aca="false">IF(OR(D6="",G6=""),"",G6-D6)</f>
        <v/>
      </c>
    </row>
    <row r="7" customFormat="false" ht="15" hidden="false" customHeight="false" outlineLevel="0" collapsed="false">
      <c r="D7" s="11"/>
      <c r="E7" s="11"/>
      <c r="F7" s="11"/>
      <c r="G7" s="11"/>
      <c r="L7" s="11"/>
      <c r="N7" s="12"/>
      <c r="O7" s="1" t="str">
        <f aca="false">IF(OR(D7="",G7=""),"",G7-D7)</f>
        <v/>
      </c>
    </row>
    <row r="8" customFormat="false" ht="15" hidden="false" customHeight="false" outlineLevel="0" collapsed="false">
      <c r="D8" s="11"/>
      <c r="E8" s="11"/>
      <c r="F8" s="11"/>
      <c r="G8" s="11"/>
      <c r="L8" s="11"/>
      <c r="N8" s="12"/>
      <c r="O8" s="1" t="str">
        <f aca="false">IF(OR(D8="",G8=""),"",G8-D8)</f>
        <v/>
      </c>
    </row>
    <row r="9" customFormat="false" ht="15" hidden="false" customHeight="false" outlineLevel="0" collapsed="false">
      <c r="D9" s="11"/>
      <c r="E9" s="11"/>
      <c r="F9" s="11"/>
      <c r="G9" s="11"/>
      <c r="L9" s="11"/>
      <c r="N9" s="12"/>
      <c r="O9" s="1" t="str">
        <f aca="false">IF(OR(D9="",G9=""),"",G9-D9)</f>
        <v/>
      </c>
    </row>
    <row r="10" customFormat="false" ht="15" hidden="false" customHeight="false" outlineLevel="0" collapsed="false">
      <c r="D10" s="11"/>
      <c r="E10" s="11"/>
      <c r="F10" s="11"/>
      <c r="G10" s="11"/>
      <c r="L10" s="11"/>
      <c r="N10" s="12"/>
      <c r="O10" s="1" t="str">
        <f aca="false">IF(OR(D10="",G10=""),"",G10-D10)</f>
        <v/>
      </c>
    </row>
    <row r="11" customFormat="false" ht="15" hidden="false" customHeight="false" outlineLevel="0" collapsed="false">
      <c r="D11" s="11"/>
      <c r="E11" s="11"/>
      <c r="F11" s="11"/>
      <c r="G11" s="11"/>
      <c r="L11" s="11"/>
      <c r="N11" s="12"/>
      <c r="O11" s="1" t="str">
        <f aca="false">IF(OR(D11="",G11=""),"",G11-D11)</f>
        <v/>
      </c>
    </row>
    <row r="12" customFormat="false" ht="15" hidden="false" customHeight="false" outlineLevel="0" collapsed="false">
      <c r="D12" s="11"/>
      <c r="E12" s="11"/>
      <c r="F12" s="11"/>
      <c r="G12" s="11"/>
      <c r="L12" s="11"/>
      <c r="N12" s="12"/>
      <c r="O12" s="1" t="str">
        <f aca="false">IF(OR(D12="",G12=""),"",G12-D12)</f>
        <v/>
      </c>
    </row>
    <row r="13" customFormat="false" ht="15" hidden="false" customHeight="false" outlineLevel="0" collapsed="false">
      <c r="D13" s="11"/>
      <c r="E13" s="11"/>
      <c r="F13" s="11"/>
      <c r="G13" s="11"/>
      <c r="L13" s="11"/>
      <c r="N13" s="12"/>
      <c r="O13" s="1" t="str">
        <f aca="false">IF(OR(D13="",G13=""),"",G13-D13)</f>
        <v/>
      </c>
    </row>
    <row r="14" customFormat="false" ht="15" hidden="false" customHeight="false" outlineLevel="0" collapsed="false">
      <c r="D14" s="11"/>
      <c r="E14" s="11"/>
      <c r="F14" s="11"/>
      <c r="G14" s="11"/>
      <c r="L14" s="11"/>
      <c r="N14" s="12"/>
      <c r="O14" s="1" t="str">
        <f aca="false">IF(OR(D14="",G14=""),"",G14-D14)</f>
        <v/>
      </c>
    </row>
    <row r="15" customFormat="false" ht="15" hidden="false" customHeight="false" outlineLevel="0" collapsed="false">
      <c r="D15" s="11"/>
      <c r="E15" s="11"/>
      <c r="F15" s="11"/>
      <c r="G15" s="11"/>
      <c r="L15" s="11"/>
      <c r="N15" s="12"/>
      <c r="O15" s="1" t="str">
        <f aca="false">IF(OR(D15="",G15=""),"",G15-D15)</f>
        <v/>
      </c>
    </row>
    <row r="16" customFormat="false" ht="15" hidden="false" customHeight="false" outlineLevel="0" collapsed="false">
      <c r="D16" s="11"/>
      <c r="E16" s="11"/>
      <c r="F16" s="11"/>
      <c r="G16" s="11"/>
      <c r="L16" s="11"/>
      <c r="N16" s="12"/>
      <c r="O16" s="1" t="str">
        <f aca="false">IF(OR(D16="",G16=""),"",G16-D16)</f>
        <v/>
      </c>
    </row>
    <row r="17" customFormat="false" ht="15" hidden="false" customHeight="false" outlineLevel="0" collapsed="false">
      <c r="D17" s="11"/>
      <c r="E17" s="11"/>
      <c r="F17" s="11"/>
      <c r="G17" s="11"/>
      <c r="L17" s="11"/>
      <c r="N17" s="12"/>
      <c r="O17" s="1" t="str">
        <f aca="false">IF(OR(D17="",G17=""),"",G17-D17)</f>
        <v/>
      </c>
    </row>
    <row r="18" customFormat="false" ht="15" hidden="false" customHeight="false" outlineLevel="0" collapsed="false">
      <c r="D18" s="11"/>
      <c r="E18" s="11"/>
      <c r="F18" s="11"/>
      <c r="G18" s="11"/>
      <c r="L18" s="11"/>
      <c r="N18" s="12"/>
      <c r="O18" s="1" t="str">
        <f aca="false">IF(OR(D18="",G18=""),"",G18-D18)</f>
        <v/>
      </c>
    </row>
    <row r="19" customFormat="false" ht="15" hidden="false" customHeight="false" outlineLevel="0" collapsed="false">
      <c r="D19" s="11"/>
      <c r="E19" s="11"/>
      <c r="F19" s="11"/>
      <c r="G19" s="11"/>
      <c r="L19" s="11"/>
      <c r="N19" s="12"/>
      <c r="O19" s="1" t="str">
        <f aca="false">IF(OR(D19="",G19=""),"",G19-D19)</f>
        <v/>
      </c>
    </row>
    <row r="20" customFormat="false" ht="15" hidden="false" customHeight="false" outlineLevel="0" collapsed="false">
      <c r="D20" s="11"/>
      <c r="E20" s="11"/>
      <c r="F20" s="11"/>
      <c r="G20" s="11"/>
      <c r="L20" s="11"/>
      <c r="N20" s="12"/>
      <c r="O20" s="1" t="str">
        <f aca="false">IF(OR(D20="",G20=""),"",G20-D20)</f>
        <v/>
      </c>
    </row>
    <row r="21" customFormat="false" ht="15" hidden="false" customHeight="false" outlineLevel="0" collapsed="false">
      <c r="D21" s="11"/>
      <c r="E21" s="11"/>
      <c r="F21" s="11"/>
      <c r="G21" s="11"/>
      <c r="L21" s="11"/>
      <c r="N21" s="12"/>
      <c r="O21" s="1" t="str">
        <f aca="false">IF(OR(D21="",G21=""),"",G21-D21)</f>
        <v/>
      </c>
    </row>
    <row r="22" customFormat="false" ht="15" hidden="false" customHeight="false" outlineLevel="0" collapsed="false">
      <c r="D22" s="11"/>
      <c r="E22" s="11"/>
      <c r="F22" s="11"/>
      <c r="G22" s="11"/>
      <c r="L22" s="11"/>
      <c r="N22" s="12"/>
      <c r="O22" s="1" t="str">
        <f aca="false">IF(OR(D22="",G22=""),"",G22-D22)</f>
        <v/>
      </c>
    </row>
    <row r="23" customFormat="false" ht="15" hidden="false" customHeight="false" outlineLevel="0" collapsed="false">
      <c r="D23" s="11"/>
      <c r="E23" s="11"/>
      <c r="F23" s="11"/>
      <c r="G23" s="11"/>
      <c r="L23" s="11"/>
      <c r="N23" s="12"/>
      <c r="O23" s="1" t="str">
        <f aca="false">IF(OR(D23="",G23=""),"",G23-D23)</f>
        <v/>
      </c>
    </row>
    <row r="24" customFormat="false" ht="15" hidden="false" customHeight="false" outlineLevel="0" collapsed="false">
      <c r="D24" s="11"/>
      <c r="E24" s="11"/>
      <c r="F24" s="11"/>
      <c r="G24" s="11"/>
      <c r="L24" s="11"/>
      <c r="N24" s="12"/>
      <c r="O24" s="1" t="str">
        <f aca="false">IF(OR(D24="",G24=""),"",G24-D24)</f>
        <v/>
      </c>
    </row>
    <row r="25" customFormat="false" ht="15" hidden="false" customHeight="false" outlineLevel="0" collapsed="false">
      <c r="D25" s="11"/>
      <c r="E25" s="11"/>
      <c r="F25" s="11"/>
      <c r="G25" s="11"/>
      <c r="L25" s="11"/>
      <c r="N25" s="12"/>
      <c r="O25" s="1" t="str">
        <f aca="false">IF(OR(D25="",G25=""),"",G25-D25)</f>
        <v/>
      </c>
    </row>
    <row r="26" customFormat="false" ht="15" hidden="false" customHeight="false" outlineLevel="0" collapsed="false">
      <c r="D26" s="11"/>
      <c r="E26" s="11"/>
      <c r="F26" s="11"/>
      <c r="G26" s="11"/>
      <c r="L26" s="11"/>
      <c r="N26" s="12"/>
      <c r="O26" s="1" t="str">
        <f aca="false">IF(OR(D26="",G26=""),"",G26-D26)</f>
        <v/>
      </c>
    </row>
    <row r="27" customFormat="false" ht="15" hidden="false" customHeight="false" outlineLevel="0" collapsed="false">
      <c r="D27" s="11"/>
      <c r="E27" s="11"/>
      <c r="F27" s="11"/>
      <c r="G27" s="11"/>
      <c r="L27" s="11"/>
      <c r="N27" s="12"/>
      <c r="O27" s="1" t="str">
        <f aca="false">IF(OR(D27="",G27=""),"",G27-D27)</f>
        <v/>
      </c>
    </row>
    <row r="28" customFormat="false" ht="15" hidden="false" customHeight="false" outlineLevel="0" collapsed="false">
      <c r="D28" s="11"/>
      <c r="E28" s="11"/>
      <c r="F28" s="11"/>
      <c r="G28" s="11"/>
      <c r="L28" s="11"/>
      <c r="N28" s="12"/>
      <c r="O28" s="1" t="str">
        <f aca="false">IF(OR(D28="",G28=""),"",G28-D28)</f>
        <v/>
      </c>
    </row>
    <row r="29" customFormat="false" ht="15" hidden="false" customHeight="false" outlineLevel="0" collapsed="false">
      <c r="D29" s="11"/>
      <c r="E29" s="11"/>
      <c r="F29" s="11"/>
      <c r="G29" s="11"/>
      <c r="L29" s="11"/>
      <c r="N29" s="12"/>
      <c r="O29" s="1" t="str">
        <f aca="false">IF(OR(D29="",G29=""),"",G29-D29)</f>
        <v/>
      </c>
    </row>
    <row r="30" customFormat="false" ht="15" hidden="false" customHeight="false" outlineLevel="0" collapsed="false">
      <c r="D30" s="11"/>
      <c r="E30" s="11"/>
      <c r="F30" s="11"/>
      <c r="G30" s="11"/>
      <c r="L30" s="11"/>
      <c r="N30" s="12"/>
      <c r="O30" s="1" t="str">
        <f aca="false">IF(OR(D30="",G30=""),"",G30-D30)</f>
        <v/>
      </c>
    </row>
    <row r="31" customFormat="false" ht="15" hidden="false" customHeight="false" outlineLevel="0" collapsed="false">
      <c r="D31" s="11"/>
      <c r="E31" s="11"/>
      <c r="F31" s="11"/>
      <c r="G31" s="11"/>
      <c r="L31" s="11"/>
      <c r="N31" s="12"/>
      <c r="O31" s="1" t="str">
        <f aca="false">IF(OR(D31="",G31=""),"",G31-D31)</f>
        <v/>
      </c>
    </row>
    <row r="32" customFormat="false" ht="15" hidden="false" customHeight="false" outlineLevel="0" collapsed="false">
      <c r="D32" s="11"/>
      <c r="E32" s="11"/>
      <c r="F32" s="11"/>
      <c r="G32" s="11"/>
      <c r="L32" s="11"/>
      <c r="N32" s="12"/>
      <c r="O32" s="1" t="str">
        <f aca="false">IF(OR(D32="",G32=""),"",G32-D32)</f>
        <v/>
      </c>
    </row>
    <row r="33" customFormat="false" ht="15" hidden="false" customHeight="false" outlineLevel="0" collapsed="false">
      <c r="D33" s="11"/>
      <c r="E33" s="11"/>
      <c r="F33" s="11"/>
      <c r="G33" s="11"/>
      <c r="L33" s="11"/>
      <c r="N33" s="12"/>
      <c r="O33" s="1" t="str">
        <f aca="false">IF(OR(D33="",G33=""),"",G33-D33)</f>
        <v/>
      </c>
    </row>
    <row r="34" customFormat="false" ht="15" hidden="false" customHeight="false" outlineLevel="0" collapsed="false">
      <c r="D34" s="11"/>
      <c r="E34" s="11"/>
      <c r="F34" s="11"/>
      <c r="G34" s="11"/>
      <c r="L34" s="11"/>
      <c r="N34" s="12"/>
      <c r="O34" s="1" t="str">
        <f aca="false">IF(OR(D34="",G34=""),"",G34-D34)</f>
        <v/>
      </c>
    </row>
    <row r="35" customFormat="false" ht="15" hidden="false" customHeight="false" outlineLevel="0" collapsed="false">
      <c r="D35" s="11"/>
      <c r="E35" s="11"/>
      <c r="F35" s="11"/>
      <c r="G35" s="11"/>
      <c r="L35" s="11"/>
      <c r="N35" s="12"/>
      <c r="O35" s="1" t="str">
        <f aca="false">IF(OR(D35="",G35=""),"",G35-D35)</f>
        <v/>
      </c>
    </row>
    <row r="36" customFormat="false" ht="15" hidden="false" customHeight="false" outlineLevel="0" collapsed="false">
      <c r="D36" s="11"/>
      <c r="E36" s="11"/>
      <c r="F36" s="11"/>
      <c r="G36" s="11"/>
      <c r="L36" s="11"/>
      <c r="N36" s="12"/>
      <c r="O36" s="1" t="str">
        <f aca="false">IF(OR(D36="",G36=""),"",G36-D36)</f>
        <v/>
      </c>
    </row>
    <row r="37" customFormat="false" ht="15" hidden="false" customHeight="false" outlineLevel="0" collapsed="false">
      <c r="D37" s="11"/>
      <c r="E37" s="11"/>
      <c r="F37" s="11"/>
      <c r="G37" s="11"/>
      <c r="L37" s="11"/>
      <c r="N37" s="12"/>
      <c r="O37" s="1" t="str">
        <f aca="false">IF(OR(D37="",G37=""),"",G37-D37)</f>
        <v/>
      </c>
    </row>
    <row r="38" customFormat="false" ht="15" hidden="false" customHeight="false" outlineLevel="0" collapsed="false">
      <c r="D38" s="11"/>
      <c r="E38" s="11"/>
      <c r="F38" s="11"/>
      <c r="G38" s="11"/>
      <c r="L38" s="11"/>
      <c r="N38" s="12"/>
      <c r="O38" s="1" t="str">
        <f aca="false">IF(OR(D38="",G38=""),"",G38-D38)</f>
        <v/>
      </c>
    </row>
    <row r="39" customFormat="false" ht="15" hidden="false" customHeight="false" outlineLevel="0" collapsed="false">
      <c r="D39" s="11"/>
      <c r="E39" s="11"/>
      <c r="F39" s="11"/>
      <c r="G39" s="11"/>
      <c r="L39" s="11"/>
      <c r="N39" s="12"/>
      <c r="O39" s="1" t="str">
        <f aca="false">IF(OR(D39="",G39=""),"",G39-D39)</f>
        <v/>
      </c>
    </row>
    <row r="40" customFormat="false" ht="15" hidden="false" customHeight="false" outlineLevel="0" collapsed="false">
      <c r="D40" s="11"/>
      <c r="E40" s="11"/>
      <c r="F40" s="11"/>
      <c r="G40" s="11"/>
      <c r="L40" s="11"/>
      <c r="N40" s="12"/>
      <c r="O40" s="1" t="str">
        <f aca="false">IF(OR(D40="",G40=""),"",G40-D40)</f>
        <v/>
      </c>
    </row>
    <row r="41" customFormat="false" ht="15" hidden="false" customHeight="false" outlineLevel="0" collapsed="false">
      <c r="D41" s="11"/>
      <c r="E41" s="11"/>
      <c r="F41" s="11"/>
      <c r="G41" s="11"/>
      <c r="L41" s="11"/>
      <c r="N41" s="12"/>
      <c r="O41" s="1" t="str">
        <f aca="false">IF(OR(D41="",G41=""),"",G41-D41)</f>
        <v/>
      </c>
    </row>
    <row r="42" customFormat="false" ht="15" hidden="false" customHeight="false" outlineLevel="0" collapsed="false">
      <c r="D42" s="11"/>
      <c r="E42" s="11"/>
      <c r="F42" s="11"/>
      <c r="G42" s="11"/>
      <c r="L42" s="11"/>
      <c r="N42" s="12"/>
      <c r="O42" s="1" t="str">
        <f aca="false">IF(OR(D42="",G42=""),"",G42-D42)</f>
        <v/>
      </c>
    </row>
    <row r="43" customFormat="false" ht="15" hidden="false" customHeight="false" outlineLevel="0" collapsed="false">
      <c r="D43" s="11"/>
      <c r="E43" s="11"/>
      <c r="F43" s="11"/>
      <c r="G43" s="11"/>
      <c r="L43" s="11"/>
      <c r="N43" s="12"/>
      <c r="O43" s="1" t="str">
        <f aca="false">IF(OR(D43="",G43=""),"",G43-D43)</f>
        <v/>
      </c>
    </row>
    <row r="44" customFormat="false" ht="15" hidden="false" customHeight="false" outlineLevel="0" collapsed="false">
      <c r="D44" s="11"/>
      <c r="E44" s="11"/>
      <c r="F44" s="11"/>
      <c r="G44" s="11"/>
      <c r="L44" s="11"/>
      <c r="N44" s="12"/>
      <c r="O44" s="1" t="str">
        <f aca="false">IF(OR(D44="",G44=""),"",G44-D44)</f>
        <v/>
      </c>
    </row>
    <row r="45" customFormat="false" ht="15" hidden="false" customHeight="false" outlineLevel="0" collapsed="false">
      <c r="D45" s="11"/>
      <c r="E45" s="11"/>
      <c r="F45" s="11"/>
      <c r="G45" s="11"/>
      <c r="L45" s="11"/>
      <c r="N45" s="12"/>
      <c r="O45" s="1" t="str">
        <f aca="false">IF(OR(D45="",G45=""),"",G45-D45)</f>
        <v/>
      </c>
    </row>
    <row r="46" customFormat="false" ht="15" hidden="false" customHeight="false" outlineLevel="0" collapsed="false">
      <c r="D46" s="11"/>
      <c r="E46" s="11"/>
      <c r="F46" s="11"/>
      <c r="G46" s="11"/>
      <c r="L46" s="11"/>
      <c r="N46" s="12"/>
      <c r="O46" s="1" t="str">
        <f aca="false">IF(OR(D46="",G46=""),"",G46-D46)</f>
        <v/>
      </c>
    </row>
    <row r="47" customFormat="false" ht="15" hidden="false" customHeight="false" outlineLevel="0" collapsed="false">
      <c r="D47" s="11"/>
      <c r="E47" s="11"/>
      <c r="F47" s="11"/>
      <c r="G47" s="11"/>
      <c r="L47" s="11"/>
      <c r="N47" s="12"/>
      <c r="O47" s="1" t="str">
        <f aca="false">IF(OR(D47="",G47=""),"",G47-D47)</f>
        <v/>
      </c>
    </row>
    <row r="48" customFormat="false" ht="15" hidden="false" customHeight="false" outlineLevel="0" collapsed="false">
      <c r="D48" s="11"/>
      <c r="E48" s="11"/>
      <c r="F48" s="11"/>
      <c r="G48" s="11"/>
      <c r="L48" s="11"/>
      <c r="N48" s="12"/>
      <c r="O48" s="1" t="str">
        <f aca="false">IF(OR(D48="",G48=""),"",G48-D48)</f>
        <v/>
      </c>
    </row>
    <row r="49" customFormat="false" ht="15" hidden="false" customHeight="false" outlineLevel="0" collapsed="false">
      <c r="D49" s="11"/>
      <c r="E49" s="11"/>
      <c r="F49" s="11"/>
      <c r="G49" s="11"/>
      <c r="L49" s="11"/>
      <c r="N49" s="12"/>
      <c r="O49" s="1" t="str">
        <f aca="false">IF(OR(D49="",G49=""),"",G49-D49)</f>
        <v/>
      </c>
    </row>
    <row r="50" customFormat="false" ht="15" hidden="false" customHeight="false" outlineLevel="0" collapsed="false">
      <c r="D50" s="11"/>
      <c r="E50" s="11"/>
      <c r="F50" s="11"/>
      <c r="G50" s="11"/>
      <c r="L50" s="11"/>
      <c r="N50" s="12"/>
      <c r="O50" s="1" t="str">
        <f aca="false">IF(OR(D50="",G50=""),"",G50-D50)</f>
        <v/>
      </c>
    </row>
    <row r="51" customFormat="false" ht="15" hidden="false" customHeight="false" outlineLevel="0" collapsed="false">
      <c r="D51" s="11"/>
      <c r="E51" s="11"/>
      <c r="F51" s="11"/>
      <c r="G51" s="11"/>
      <c r="L51" s="11"/>
      <c r="N51" s="12"/>
      <c r="O51" s="1" t="str">
        <f aca="false">IF(OR(D51="",G51=""),"",G51-D51)</f>
        <v/>
      </c>
    </row>
    <row r="52" customFormat="false" ht="15" hidden="false" customHeight="false" outlineLevel="0" collapsed="false">
      <c r="D52" s="11"/>
      <c r="E52" s="11"/>
      <c r="F52" s="11"/>
      <c r="G52" s="11"/>
      <c r="L52" s="11"/>
      <c r="N52" s="12"/>
      <c r="O52" s="1" t="str">
        <f aca="false">IF(OR(D52="",G52=""),"",G52-D52)</f>
        <v/>
      </c>
    </row>
    <row r="53" customFormat="false" ht="15" hidden="false" customHeight="false" outlineLevel="0" collapsed="false">
      <c r="D53" s="11"/>
      <c r="E53" s="11"/>
      <c r="F53" s="11"/>
      <c r="G53" s="11"/>
      <c r="L53" s="11"/>
      <c r="N53" s="12"/>
      <c r="O53" s="1" t="str">
        <f aca="false">IF(OR(D53="",G53=""),"",G53-D53)</f>
        <v/>
      </c>
    </row>
    <row r="54" customFormat="false" ht="15" hidden="false" customHeight="false" outlineLevel="0" collapsed="false">
      <c r="D54" s="11"/>
      <c r="E54" s="11"/>
      <c r="F54" s="11"/>
      <c r="G54" s="11"/>
      <c r="L54" s="11"/>
      <c r="N54" s="12"/>
      <c r="O54" s="1" t="str">
        <f aca="false">IF(OR(D54="",G54=""),"",G54-D54)</f>
        <v/>
      </c>
    </row>
    <row r="55" customFormat="false" ht="15" hidden="false" customHeight="false" outlineLevel="0" collapsed="false">
      <c r="D55" s="11"/>
      <c r="E55" s="11"/>
      <c r="F55" s="11"/>
      <c r="G55" s="11"/>
      <c r="L55" s="11"/>
      <c r="N55" s="12"/>
      <c r="O55" s="1" t="str">
        <f aca="false">IF(OR(D55="",G55=""),"",G55-D55)</f>
        <v/>
      </c>
    </row>
    <row r="56" customFormat="false" ht="15" hidden="false" customHeight="false" outlineLevel="0" collapsed="false">
      <c r="D56" s="11"/>
      <c r="E56" s="11"/>
      <c r="F56" s="11"/>
      <c r="G56" s="11"/>
      <c r="L56" s="11"/>
      <c r="N56" s="12"/>
      <c r="O56" s="1" t="str">
        <f aca="false">IF(OR(D56="",G56=""),"",G56-D56)</f>
        <v/>
      </c>
    </row>
    <row r="57" customFormat="false" ht="15" hidden="false" customHeight="false" outlineLevel="0" collapsed="false">
      <c r="D57" s="11"/>
      <c r="E57" s="11"/>
      <c r="F57" s="11"/>
      <c r="G57" s="11"/>
      <c r="L57" s="11"/>
      <c r="N57" s="12"/>
      <c r="O57" s="1" t="str">
        <f aca="false">IF(OR(D57="",G57=""),"",G57-D57)</f>
        <v/>
      </c>
    </row>
    <row r="58" customFormat="false" ht="15" hidden="false" customHeight="false" outlineLevel="0" collapsed="false">
      <c r="D58" s="11"/>
      <c r="E58" s="11"/>
      <c r="F58" s="11"/>
      <c r="G58" s="11"/>
      <c r="L58" s="11"/>
      <c r="N58" s="12"/>
      <c r="O58" s="1" t="str">
        <f aca="false">IF(OR(D58="",G58=""),"",G58-D58)</f>
        <v/>
      </c>
    </row>
    <row r="59" customFormat="false" ht="15" hidden="false" customHeight="false" outlineLevel="0" collapsed="false">
      <c r="D59" s="11"/>
      <c r="E59" s="11"/>
      <c r="F59" s="11"/>
      <c r="G59" s="11"/>
      <c r="L59" s="11"/>
      <c r="N59" s="12"/>
      <c r="O59" s="1" t="str">
        <f aca="false">IF(OR(D59="",G59=""),"",G59-D59)</f>
        <v/>
      </c>
    </row>
    <row r="60" customFormat="false" ht="15" hidden="false" customHeight="false" outlineLevel="0" collapsed="false">
      <c r="D60" s="11"/>
      <c r="E60" s="11"/>
      <c r="F60" s="11"/>
      <c r="G60" s="11"/>
      <c r="L60" s="11"/>
      <c r="N60" s="12"/>
      <c r="O60" s="1" t="str">
        <f aca="false">IF(OR(D60="",G60=""),"",G60-D60)</f>
        <v/>
      </c>
    </row>
    <row r="61" customFormat="false" ht="15" hidden="false" customHeight="false" outlineLevel="0" collapsed="false">
      <c r="D61" s="11"/>
      <c r="E61" s="11"/>
      <c r="F61" s="11"/>
      <c r="G61" s="11"/>
      <c r="L61" s="11"/>
      <c r="N61" s="12"/>
      <c r="O61" s="1" t="str">
        <f aca="false">IF(OR(D61="",G61=""),"",G61-D61)</f>
        <v/>
      </c>
    </row>
    <row r="62" customFormat="false" ht="15" hidden="false" customHeight="false" outlineLevel="0" collapsed="false">
      <c r="D62" s="11"/>
      <c r="E62" s="11"/>
      <c r="F62" s="11"/>
      <c r="G62" s="11"/>
      <c r="L62" s="11"/>
      <c r="N62" s="12"/>
      <c r="O62" s="1" t="str">
        <f aca="false">IF(OR(D62="",G62=""),"",G62-D62)</f>
        <v/>
      </c>
    </row>
    <row r="63" customFormat="false" ht="15" hidden="false" customHeight="false" outlineLevel="0" collapsed="false">
      <c r="D63" s="11"/>
      <c r="E63" s="11"/>
      <c r="F63" s="11"/>
      <c r="G63" s="11"/>
      <c r="L63" s="11"/>
      <c r="N63" s="12"/>
      <c r="O63" s="1" t="str">
        <f aca="false">IF(OR(D63="",G63=""),"",G63-D63)</f>
        <v/>
      </c>
    </row>
    <row r="64" customFormat="false" ht="15" hidden="false" customHeight="false" outlineLevel="0" collapsed="false">
      <c r="D64" s="11"/>
      <c r="E64" s="11"/>
      <c r="F64" s="11"/>
      <c r="G64" s="11"/>
      <c r="L64" s="11"/>
      <c r="N64" s="12"/>
      <c r="O64" s="1" t="str">
        <f aca="false">IF(OR(D64="",G64=""),"",G64-D64)</f>
        <v/>
      </c>
    </row>
    <row r="65" customFormat="false" ht="15" hidden="false" customHeight="false" outlineLevel="0" collapsed="false">
      <c r="D65" s="11"/>
      <c r="E65" s="11"/>
      <c r="F65" s="11"/>
      <c r="G65" s="11"/>
      <c r="L65" s="11"/>
      <c r="N65" s="12"/>
      <c r="O65" s="1" t="str">
        <f aca="false">IF(OR(D65="",G65=""),"",G65-D65)</f>
        <v/>
      </c>
    </row>
    <row r="66" customFormat="false" ht="15" hidden="false" customHeight="false" outlineLevel="0" collapsed="false">
      <c r="D66" s="11"/>
      <c r="E66" s="11"/>
      <c r="F66" s="11"/>
      <c r="G66" s="11"/>
      <c r="L66" s="11"/>
      <c r="N66" s="12"/>
      <c r="O66" s="1" t="str">
        <f aca="false">IF(OR(D66="",G66=""),"",G66-D66)</f>
        <v/>
      </c>
    </row>
    <row r="67" customFormat="false" ht="15" hidden="false" customHeight="false" outlineLevel="0" collapsed="false">
      <c r="D67" s="11"/>
      <c r="E67" s="11"/>
      <c r="F67" s="11"/>
      <c r="G67" s="11"/>
      <c r="L67" s="11"/>
      <c r="N67" s="12"/>
      <c r="O67" s="1" t="str">
        <f aca="false">IF(OR(D67="",G67=""),"",G67-D67)</f>
        <v/>
      </c>
    </row>
    <row r="68" customFormat="false" ht="15" hidden="false" customHeight="false" outlineLevel="0" collapsed="false">
      <c r="D68" s="11"/>
      <c r="E68" s="11"/>
      <c r="F68" s="11"/>
      <c r="G68" s="11"/>
      <c r="L68" s="11"/>
      <c r="N68" s="12"/>
      <c r="O68" s="1" t="str">
        <f aca="false">IF(OR(D68="",G68=""),"",G68-D68)</f>
        <v/>
      </c>
    </row>
    <row r="69" customFormat="false" ht="15" hidden="false" customHeight="false" outlineLevel="0" collapsed="false">
      <c r="D69" s="11"/>
      <c r="E69" s="11"/>
      <c r="F69" s="11"/>
      <c r="G69" s="11"/>
      <c r="L69" s="11"/>
      <c r="N69" s="12"/>
      <c r="O69" s="1" t="str">
        <f aca="false">IF(OR(D69="",G69=""),"",G69-D69)</f>
        <v/>
      </c>
    </row>
    <row r="70" customFormat="false" ht="15" hidden="false" customHeight="false" outlineLevel="0" collapsed="false">
      <c r="D70" s="11"/>
      <c r="E70" s="11"/>
      <c r="F70" s="11"/>
      <c r="G70" s="11"/>
      <c r="L70" s="11"/>
      <c r="N70" s="12"/>
      <c r="O70" s="1" t="str">
        <f aca="false">IF(OR(D70="",G70=""),"",G70-D70)</f>
        <v/>
      </c>
    </row>
    <row r="71" customFormat="false" ht="15" hidden="false" customHeight="false" outlineLevel="0" collapsed="false">
      <c r="D71" s="11"/>
      <c r="E71" s="11"/>
      <c r="F71" s="11"/>
      <c r="G71" s="11"/>
      <c r="L71" s="11"/>
      <c r="N71" s="12"/>
      <c r="O71" s="1" t="str">
        <f aca="false">IF(OR(D71="",G71=""),"",G71-D71)</f>
        <v/>
      </c>
    </row>
    <row r="72" customFormat="false" ht="15" hidden="false" customHeight="false" outlineLevel="0" collapsed="false">
      <c r="D72" s="11"/>
      <c r="E72" s="11"/>
      <c r="F72" s="11"/>
      <c r="G72" s="11"/>
      <c r="L72" s="11"/>
      <c r="N72" s="12"/>
      <c r="O72" s="1" t="str">
        <f aca="false">IF(OR(D72="",G72=""),"",G72-D72)</f>
        <v/>
      </c>
    </row>
    <row r="73" customFormat="false" ht="15" hidden="false" customHeight="false" outlineLevel="0" collapsed="false">
      <c r="D73" s="11"/>
      <c r="E73" s="11"/>
      <c r="F73" s="11"/>
      <c r="G73" s="11"/>
      <c r="L73" s="11"/>
      <c r="N73" s="12"/>
      <c r="O73" s="1" t="str">
        <f aca="false">IF(OR(D73="",G73=""),"",G73-D73)</f>
        <v/>
      </c>
    </row>
    <row r="74" customFormat="false" ht="15" hidden="false" customHeight="false" outlineLevel="0" collapsed="false">
      <c r="D74" s="11"/>
      <c r="E74" s="11"/>
      <c r="F74" s="11"/>
      <c r="G74" s="11"/>
      <c r="L74" s="11"/>
      <c r="N74" s="12"/>
      <c r="O74" s="1" t="str">
        <f aca="false">IF(OR(D74="",G74=""),"",G74-D74)</f>
        <v/>
      </c>
    </row>
    <row r="75" customFormat="false" ht="15" hidden="false" customHeight="false" outlineLevel="0" collapsed="false">
      <c r="D75" s="11"/>
      <c r="E75" s="11"/>
      <c r="F75" s="11"/>
      <c r="G75" s="11"/>
      <c r="L75" s="11"/>
      <c r="N75" s="12"/>
      <c r="O75" s="1" t="str">
        <f aca="false">IF(OR(D75="",G75=""),"",G75-D75)</f>
        <v/>
      </c>
    </row>
    <row r="76" customFormat="false" ht="15" hidden="false" customHeight="false" outlineLevel="0" collapsed="false">
      <c r="D76" s="11"/>
      <c r="E76" s="11"/>
      <c r="F76" s="11"/>
      <c r="G76" s="11"/>
      <c r="L76" s="11"/>
      <c r="N76" s="12"/>
      <c r="O76" s="1" t="str">
        <f aca="false">IF(OR(D76="",G76=""),"",G76-D76)</f>
        <v/>
      </c>
    </row>
    <row r="77" customFormat="false" ht="15" hidden="false" customHeight="false" outlineLevel="0" collapsed="false">
      <c r="D77" s="11"/>
      <c r="E77" s="11"/>
      <c r="F77" s="11"/>
      <c r="G77" s="11"/>
      <c r="L77" s="11"/>
      <c r="N77" s="12"/>
      <c r="O77" s="1" t="str">
        <f aca="false">IF(OR(D77="",G77=""),"",G77-D77)</f>
        <v/>
      </c>
    </row>
    <row r="78" customFormat="false" ht="15" hidden="false" customHeight="false" outlineLevel="0" collapsed="false">
      <c r="D78" s="11"/>
      <c r="E78" s="11"/>
      <c r="F78" s="11"/>
      <c r="G78" s="11"/>
      <c r="L78" s="11"/>
      <c r="N78" s="12"/>
      <c r="O78" s="1" t="str">
        <f aca="false">IF(OR(D78="",G78=""),"",G78-D78)</f>
        <v/>
      </c>
    </row>
    <row r="79" customFormat="false" ht="15" hidden="false" customHeight="false" outlineLevel="0" collapsed="false">
      <c r="D79" s="11"/>
      <c r="E79" s="11"/>
      <c r="F79" s="11"/>
      <c r="G79" s="11"/>
      <c r="L79" s="11"/>
      <c r="N79" s="12"/>
      <c r="O79" s="1" t="str">
        <f aca="false">IF(OR(D79="",G79=""),"",G79-D79)</f>
        <v/>
      </c>
    </row>
    <row r="80" customFormat="false" ht="15" hidden="false" customHeight="false" outlineLevel="0" collapsed="false">
      <c r="D80" s="11"/>
      <c r="E80" s="11"/>
      <c r="F80" s="11"/>
      <c r="G80" s="11"/>
      <c r="L80" s="11"/>
      <c r="N80" s="12"/>
      <c r="O80" s="1" t="str">
        <f aca="false">IF(OR(D80="",G80=""),"",G80-D80)</f>
        <v/>
      </c>
    </row>
    <row r="81" customFormat="false" ht="15" hidden="false" customHeight="false" outlineLevel="0" collapsed="false">
      <c r="D81" s="11"/>
      <c r="E81" s="11"/>
      <c r="F81" s="11"/>
      <c r="G81" s="11"/>
      <c r="L81" s="11"/>
      <c r="N81" s="12"/>
      <c r="O81" s="1" t="str">
        <f aca="false">IF(OR(D81="",G81=""),"",G81-D81)</f>
        <v/>
      </c>
    </row>
    <row r="82" customFormat="false" ht="15" hidden="false" customHeight="false" outlineLevel="0" collapsed="false">
      <c r="D82" s="11"/>
      <c r="E82" s="11"/>
      <c r="F82" s="11"/>
      <c r="G82" s="11"/>
      <c r="L82" s="11"/>
      <c r="N82" s="12"/>
      <c r="O82" s="1" t="str">
        <f aca="false">IF(OR(D82="",G82=""),"",G82-D82)</f>
        <v/>
      </c>
    </row>
    <row r="83" customFormat="false" ht="15" hidden="false" customHeight="false" outlineLevel="0" collapsed="false">
      <c r="D83" s="11"/>
      <c r="E83" s="11"/>
      <c r="F83" s="11"/>
      <c r="G83" s="11"/>
      <c r="L83" s="11"/>
      <c r="N83" s="12"/>
      <c r="O83" s="1" t="str">
        <f aca="false">IF(OR(D83="",G83=""),"",G83-D83)</f>
        <v/>
      </c>
    </row>
    <row r="84" customFormat="false" ht="15" hidden="false" customHeight="false" outlineLevel="0" collapsed="false">
      <c r="D84" s="11"/>
      <c r="E84" s="11"/>
      <c r="F84" s="11"/>
      <c r="G84" s="11"/>
      <c r="L84" s="11"/>
      <c r="N84" s="12"/>
      <c r="O84" s="1" t="str">
        <f aca="false">IF(OR(D84="",G84=""),"",G84-D84)</f>
        <v/>
      </c>
    </row>
    <row r="85" customFormat="false" ht="15" hidden="false" customHeight="false" outlineLevel="0" collapsed="false">
      <c r="D85" s="11"/>
      <c r="E85" s="11"/>
      <c r="F85" s="11"/>
      <c r="G85" s="11"/>
      <c r="L85" s="11"/>
      <c r="N85" s="12"/>
      <c r="O85" s="1" t="str">
        <f aca="false">IF(OR(D85="",G85=""),"",G85-D85)</f>
        <v/>
      </c>
    </row>
    <row r="86" customFormat="false" ht="15" hidden="false" customHeight="false" outlineLevel="0" collapsed="false">
      <c r="D86" s="11"/>
      <c r="E86" s="11"/>
      <c r="F86" s="11"/>
      <c r="G86" s="11"/>
      <c r="L86" s="11"/>
      <c r="N86" s="12"/>
      <c r="O86" s="1" t="str">
        <f aca="false">IF(OR(D86="",G86=""),"",G86-D86)</f>
        <v/>
      </c>
    </row>
    <row r="87" customFormat="false" ht="15" hidden="false" customHeight="false" outlineLevel="0" collapsed="false">
      <c r="D87" s="11"/>
      <c r="E87" s="11"/>
      <c r="F87" s="11"/>
      <c r="G87" s="11"/>
      <c r="L87" s="11"/>
      <c r="N87" s="12"/>
      <c r="O87" s="1" t="str">
        <f aca="false">IF(OR(D87="",G87=""),"",G87-D87)</f>
        <v/>
      </c>
    </row>
    <row r="88" customFormat="false" ht="15" hidden="false" customHeight="false" outlineLevel="0" collapsed="false">
      <c r="D88" s="11"/>
      <c r="E88" s="11"/>
      <c r="F88" s="11"/>
      <c r="G88" s="11"/>
      <c r="L88" s="11"/>
      <c r="N88" s="12"/>
      <c r="O88" s="1" t="str">
        <f aca="false">IF(OR(D88="",G88=""),"",G88-D88)</f>
        <v/>
      </c>
    </row>
    <row r="89" customFormat="false" ht="15" hidden="false" customHeight="false" outlineLevel="0" collapsed="false">
      <c r="D89" s="11"/>
      <c r="E89" s="11"/>
      <c r="F89" s="11"/>
      <c r="G89" s="11"/>
      <c r="L89" s="11"/>
      <c r="N89" s="12"/>
      <c r="O89" s="1" t="str">
        <f aca="false">IF(OR(D89="",G89=""),"",G89-D89)</f>
        <v/>
      </c>
    </row>
    <row r="90" customFormat="false" ht="15" hidden="false" customHeight="false" outlineLevel="0" collapsed="false">
      <c r="D90" s="11"/>
      <c r="E90" s="11"/>
      <c r="F90" s="11"/>
      <c r="G90" s="11"/>
      <c r="L90" s="11"/>
      <c r="N90" s="12"/>
      <c r="O90" s="1" t="str">
        <f aca="false">IF(OR(D90="",G90=""),"",G90-D90)</f>
        <v/>
      </c>
    </row>
    <row r="91" customFormat="false" ht="15" hidden="false" customHeight="false" outlineLevel="0" collapsed="false">
      <c r="D91" s="11"/>
      <c r="E91" s="11"/>
      <c r="F91" s="11"/>
      <c r="G91" s="11"/>
      <c r="L91" s="11"/>
      <c r="N91" s="12"/>
      <c r="O91" s="1" t="str">
        <f aca="false">IF(OR(D91="",G91=""),"",G91-D91)</f>
        <v/>
      </c>
    </row>
    <row r="92" customFormat="false" ht="15" hidden="false" customHeight="false" outlineLevel="0" collapsed="false">
      <c r="D92" s="11"/>
      <c r="E92" s="11"/>
      <c r="F92" s="11"/>
      <c r="G92" s="11"/>
      <c r="L92" s="11"/>
      <c r="N92" s="12"/>
      <c r="O92" s="1" t="str">
        <f aca="false">IF(OR(D92="",G92=""),"",G92-D92)</f>
        <v/>
      </c>
    </row>
    <row r="93" customFormat="false" ht="15" hidden="false" customHeight="false" outlineLevel="0" collapsed="false">
      <c r="D93" s="11"/>
      <c r="E93" s="11"/>
      <c r="F93" s="11"/>
      <c r="G93" s="11"/>
      <c r="L93" s="11"/>
      <c r="N93" s="12"/>
      <c r="O93" s="1" t="str">
        <f aca="false">IF(OR(D93="",G93=""),"",G93-D93)</f>
        <v/>
      </c>
    </row>
    <row r="94" customFormat="false" ht="15" hidden="false" customHeight="false" outlineLevel="0" collapsed="false">
      <c r="D94" s="11"/>
      <c r="E94" s="11"/>
      <c r="F94" s="11"/>
      <c r="G94" s="11"/>
      <c r="L94" s="11"/>
      <c r="N94" s="12"/>
      <c r="O94" s="1" t="str">
        <f aca="false">IF(OR(D94="",G94=""),"",G94-D94)</f>
        <v/>
      </c>
    </row>
    <row r="95" customFormat="false" ht="15" hidden="false" customHeight="false" outlineLevel="0" collapsed="false">
      <c r="D95" s="11"/>
      <c r="E95" s="11"/>
      <c r="F95" s="11"/>
      <c r="G95" s="11"/>
      <c r="L95" s="11"/>
      <c r="N95" s="12"/>
      <c r="O95" s="1" t="str">
        <f aca="false">IF(OR(D95="",G95=""),"",G95-D95)</f>
        <v/>
      </c>
    </row>
    <row r="96" customFormat="false" ht="15" hidden="false" customHeight="false" outlineLevel="0" collapsed="false">
      <c r="D96" s="11"/>
      <c r="E96" s="11"/>
      <c r="F96" s="11"/>
      <c r="G96" s="11"/>
      <c r="L96" s="11"/>
      <c r="N96" s="12"/>
      <c r="O96" s="1" t="str">
        <f aca="false">IF(OR(D96="",G96=""),"",G96-D96)</f>
        <v/>
      </c>
    </row>
    <row r="97" customFormat="false" ht="15" hidden="false" customHeight="false" outlineLevel="0" collapsed="false">
      <c r="D97" s="11"/>
      <c r="E97" s="11"/>
      <c r="F97" s="11"/>
      <c r="G97" s="11"/>
      <c r="L97" s="11"/>
      <c r="N97" s="12"/>
      <c r="O97" s="1" t="str">
        <f aca="false">IF(OR(D97="",G97=""),"",G97-D97)</f>
        <v/>
      </c>
    </row>
    <row r="98" customFormat="false" ht="15" hidden="false" customHeight="false" outlineLevel="0" collapsed="false">
      <c r="D98" s="11"/>
      <c r="E98" s="11"/>
      <c r="F98" s="11"/>
      <c r="G98" s="11"/>
      <c r="L98" s="11"/>
      <c r="N98" s="12"/>
      <c r="O98" s="1" t="str">
        <f aca="false">IF(OR(D98="",G98=""),"",G98-D98)</f>
        <v/>
      </c>
    </row>
    <row r="99" customFormat="false" ht="15" hidden="false" customHeight="false" outlineLevel="0" collapsed="false">
      <c r="D99" s="11"/>
      <c r="E99" s="11"/>
      <c r="F99" s="11"/>
      <c r="G99" s="11"/>
      <c r="L99" s="11"/>
      <c r="N99" s="12"/>
      <c r="O99" s="1" t="str">
        <f aca="false">IF(OR(D99="",G99=""),"",G99-D99)</f>
        <v/>
      </c>
    </row>
    <row r="100" customFormat="false" ht="15" hidden="false" customHeight="false" outlineLevel="0" collapsed="false">
      <c r="D100" s="11"/>
      <c r="E100" s="11"/>
      <c r="F100" s="11"/>
      <c r="G100" s="11"/>
      <c r="L100" s="11"/>
      <c r="N100" s="12"/>
      <c r="O100" s="1" t="str">
        <f aca="false">IF(OR(D100="",G100=""),"",G100-D100)</f>
        <v/>
      </c>
    </row>
    <row r="101" customFormat="false" ht="15" hidden="false" customHeight="false" outlineLevel="0" collapsed="false">
      <c r="D101" s="11"/>
      <c r="E101" s="11"/>
      <c r="F101" s="11"/>
      <c r="G101" s="11"/>
      <c r="L101" s="11"/>
      <c r="N101" s="12"/>
      <c r="O101" s="1" t="str">
        <f aca="false">IF(OR(D101="",G101=""),"",G101-D101)</f>
        <v/>
      </c>
    </row>
    <row r="102" customFormat="false" ht="15" hidden="false" customHeight="false" outlineLevel="0" collapsed="false">
      <c r="D102" s="11"/>
      <c r="E102" s="11"/>
      <c r="F102" s="11"/>
      <c r="G102" s="11"/>
      <c r="L102" s="11"/>
      <c r="N102" s="12"/>
      <c r="O102" s="1" t="str">
        <f aca="false">IF(OR(D102="",G102=""),"",G102-D102)</f>
        <v/>
      </c>
    </row>
    <row r="103" customFormat="false" ht="15" hidden="false" customHeight="false" outlineLevel="0" collapsed="false">
      <c r="D103" s="11"/>
      <c r="E103" s="11"/>
      <c r="F103" s="11"/>
      <c r="G103" s="11"/>
      <c r="L103" s="11"/>
      <c r="N103" s="12"/>
      <c r="O103" s="1" t="str">
        <f aca="false">IF(OR(D103="",G103=""),"",G103-D103)</f>
        <v/>
      </c>
    </row>
    <row r="104" customFormat="false" ht="15" hidden="false" customHeight="false" outlineLevel="0" collapsed="false">
      <c r="D104" s="11"/>
      <c r="E104" s="11"/>
      <c r="F104" s="11"/>
      <c r="G104" s="11"/>
      <c r="L104" s="11"/>
      <c r="N104" s="12"/>
      <c r="O104" s="1" t="str">
        <f aca="false">IF(OR(D104="",G104=""),"",G104-D104)</f>
        <v/>
      </c>
    </row>
    <row r="105" customFormat="false" ht="15" hidden="false" customHeight="false" outlineLevel="0" collapsed="false">
      <c r="D105" s="11"/>
      <c r="E105" s="11"/>
      <c r="F105" s="11"/>
      <c r="G105" s="11"/>
      <c r="L105" s="11"/>
      <c r="N105" s="12"/>
      <c r="O105" s="1" t="str">
        <f aca="false">IF(OR(D105="",G105=""),"",G105-D105)</f>
        <v/>
      </c>
    </row>
    <row r="106" customFormat="false" ht="15" hidden="false" customHeight="false" outlineLevel="0" collapsed="false">
      <c r="D106" s="11"/>
      <c r="E106" s="11"/>
      <c r="F106" s="11"/>
      <c r="G106" s="11"/>
      <c r="L106" s="11"/>
      <c r="N106" s="12"/>
      <c r="O106" s="1" t="str">
        <f aca="false">IF(OR(D106="",G106=""),"",G106-D106)</f>
        <v/>
      </c>
    </row>
    <row r="107" customFormat="false" ht="15" hidden="false" customHeight="false" outlineLevel="0" collapsed="false">
      <c r="D107" s="11"/>
      <c r="E107" s="11"/>
      <c r="F107" s="11"/>
      <c r="G107" s="11"/>
      <c r="L107" s="11"/>
      <c r="N107" s="12"/>
      <c r="O107" s="1" t="str">
        <f aca="false">IF(OR(D107="",G107=""),"",G107-D107)</f>
        <v/>
      </c>
    </row>
    <row r="108" customFormat="false" ht="15" hidden="false" customHeight="false" outlineLevel="0" collapsed="false">
      <c r="D108" s="11"/>
      <c r="E108" s="11"/>
      <c r="F108" s="11"/>
      <c r="G108" s="11"/>
      <c r="L108" s="11"/>
      <c r="N108" s="12"/>
      <c r="O108" s="1" t="str">
        <f aca="false">IF(OR(D108="",G108=""),"",G108-D108)</f>
        <v/>
      </c>
    </row>
    <row r="109" customFormat="false" ht="15" hidden="false" customHeight="false" outlineLevel="0" collapsed="false">
      <c r="D109" s="11"/>
      <c r="E109" s="11"/>
      <c r="F109" s="11"/>
      <c r="G109" s="11"/>
      <c r="L109" s="11"/>
      <c r="N109" s="12"/>
      <c r="O109" s="1" t="str">
        <f aca="false">IF(OR(D109="",G109=""),"",G109-D109)</f>
        <v/>
      </c>
    </row>
    <row r="110" customFormat="false" ht="15" hidden="false" customHeight="false" outlineLevel="0" collapsed="false">
      <c r="D110" s="11"/>
      <c r="E110" s="11"/>
      <c r="F110" s="11"/>
      <c r="G110" s="11"/>
      <c r="L110" s="11"/>
      <c r="N110" s="12"/>
      <c r="O110" s="1" t="str">
        <f aca="false">IF(OR(D110="",G110=""),"",G110-D110)</f>
        <v/>
      </c>
    </row>
    <row r="111" customFormat="false" ht="15" hidden="false" customHeight="false" outlineLevel="0" collapsed="false">
      <c r="D111" s="11"/>
      <c r="E111" s="11"/>
      <c r="F111" s="11"/>
      <c r="G111" s="11"/>
      <c r="L111" s="11"/>
      <c r="N111" s="12"/>
      <c r="O111" s="1" t="str">
        <f aca="false">IF(OR(D111="",G111=""),"",G111-D111)</f>
        <v/>
      </c>
    </row>
    <row r="112" customFormat="false" ht="15" hidden="false" customHeight="false" outlineLevel="0" collapsed="false">
      <c r="D112" s="11"/>
      <c r="E112" s="11"/>
      <c r="F112" s="11"/>
      <c r="G112" s="11"/>
      <c r="L112" s="11"/>
      <c r="N112" s="12"/>
      <c r="O112" s="1" t="str">
        <f aca="false">IF(OR(D112="",G112=""),"",G112-D112)</f>
        <v/>
      </c>
    </row>
    <row r="113" customFormat="false" ht="15" hidden="false" customHeight="false" outlineLevel="0" collapsed="false">
      <c r="D113" s="11"/>
      <c r="E113" s="11"/>
      <c r="F113" s="11"/>
      <c r="G113" s="11"/>
      <c r="L113" s="11"/>
      <c r="N113" s="12"/>
      <c r="O113" s="1" t="str">
        <f aca="false">IF(OR(D113="",G113=""),"",G113-D113)</f>
        <v/>
      </c>
    </row>
    <row r="114" customFormat="false" ht="15" hidden="false" customHeight="false" outlineLevel="0" collapsed="false">
      <c r="D114" s="11"/>
      <c r="E114" s="11"/>
      <c r="F114" s="11"/>
      <c r="G114" s="11"/>
      <c r="L114" s="11"/>
      <c r="N114" s="12"/>
      <c r="O114" s="1" t="str">
        <f aca="false">IF(OR(D114="",G114=""),"",G114-D114)</f>
        <v/>
      </c>
    </row>
    <row r="115" customFormat="false" ht="15" hidden="false" customHeight="false" outlineLevel="0" collapsed="false">
      <c r="D115" s="11"/>
      <c r="E115" s="11"/>
      <c r="F115" s="11"/>
      <c r="G115" s="11"/>
      <c r="L115" s="11"/>
      <c r="N115" s="12"/>
      <c r="O115" s="1" t="str">
        <f aca="false">IF(OR(D115="",G115=""),"",G115-D115)</f>
        <v/>
      </c>
    </row>
    <row r="116" customFormat="false" ht="15" hidden="false" customHeight="false" outlineLevel="0" collapsed="false">
      <c r="D116" s="11"/>
      <c r="E116" s="11"/>
      <c r="F116" s="11"/>
      <c r="G116" s="11"/>
      <c r="L116" s="11"/>
      <c r="N116" s="12"/>
      <c r="O116" s="1" t="str">
        <f aca="false">IF(OR(D116="",G116=""),"",G116-D116)</f>
        <v/>
      </c>
    </row>
    <row r="117" customFormat="false" ht="15" hidden="false" customHeight="false" outlineLevel="0" collapsed="false">
      <c r="D117" s="11"/>
      <c r="E117" s="11"/>
      <c r="F117" s="11"/>
      <c r="G117" s="11"/>
      <c r="L117" s="11"/>
      <c r="N117" s="12"/>
      <c r="O117" s="1" t="str">
        <f aca="false">IF(OR(D117="",G117=""),"",G117-D117)</f>
        <v/>
      </c>
    </row>
    <row r="118" customFormat="false" ht="15" hidden="false" customHeight="false" outlineLevel="0" collapsed="false">
      <c r="D118" s="11"/>
      <c r="E118" s="11"/>
      <c r="F118" s="11"/>
      <c r="G118" s="11"/>
      <c r="L118" s="11"/>
      <c r="N118" s="12"/>
      <c r="O118" s="1" t="str">
        <f aca="false">IF(OR(D118="",G118=""),"",G118-D118)</f>
        <v/>
      </c>
    </row>
    <row r="119" customFormat="false" ht="15" hidden="false" customHeight="false" outlineLevel="0" collapsed="false">
      <c r="D119" s="11"/>
      <c r="E119" s="11"/>
      <c r="F119" s="11"/>
      <c r="G119" s="11"/>
      <c r="L119" s="11"/>
      <c r="N119" s="12"/>
      <c r="O119" s="1" t="str">
        <f aca="false">IF(OR(D119="",G119=""),"",G119-D119)</f>
        <v/>
      </c>
    </row>
    <row r="120" customFormat="false" ht="15" hidden="false" customHeight="false" outlineLevel="0" collapsed="false">
      <c r="D120" s="11"/>
      <c r="E120" s="11"/>
      <c r="F120" s="11"/>
      <c r="G120" s="11"/>
      <c r="L120" s="11"/>
      <c r="N120" s="12"/>
      <c r="O120" s="1" t="str">
        <f aca="false">IF(OR(D120="",G120=""),"",G120-D120)</f>
        <v/>
      </c>
    </row>
    <row r="121" customFormat="false" ht="15" hidden="false" customHeight="false" outlineLevel="0" collapsed="false">
      <c r="D121" s="11"/>
      <c r="E121" s="11"/>
      <c r="F121" s="11"/>
      <c r="G121" s="11"/>
      <c r="L121" s="11"/>
      <c r="N121" s="12"/>
      <c r="O121" s="1" t="str">
        <f aca="false">IF(OR(D121="",G121=""),"",G121-D121)</f>
        <v/>
      </c>
    </row>
    <row r="122" customFormat="false" ht="15" hidden="false" customHeight="false" outlineLevel="0" collapsed="false">
      <c r="D122" s="11"/>
      <c r="E122" s="11"/>
      <c r="F122" s="11"/>
      <c r="G122" s="11"/>
      <c r="L122" s="11"/>
      <c r="N122" s="12"/>
      <c r="O122" s="1" t="str">
        <f aca="false">IF(OR(D122="",G122=""),"",G122-D122)</f>
        <v/>
      </c>
    </row>
    <row r="123" customFormat="false" ht="15" hidden="false" customHeight="false" outlineLevel="0" collapsed="false">
      <c r="D123" s="11"/>
      <c r="E123" s="11"/>
      <c r="F123" s="11"/>
      <c r="G123" s="11"/>
      <c r="L123" s="11"/>
      <c r="N123" s="12"/>
      <c r="O123" s="1" t="str">
        <f aca="false">IF(OR(D123="",G123=""),"",G123-D123)</f>
        <v/>
      </c>
    </row>
    <row r="124" customFormat="false" ht="15" hidden="false" customHeight="false" outlineLevel="0" collapsed="false">
      <c r="D124" s="11"/>
      <c r="E124" s="11"/>
      <c r="F124" s="11"/>
      <c r="G124" s="11"/>
      <c r="L124" s="11"/>
      <c r="N124" s="12"/>
      <c r="O124" s="1" t="str">
        <f aca="false">IF(OR(D124="",G124=""),"",G124-D124)</f>
        <v/>
      </c>
    </row>
    <row r="125" customFormat="false" ht="15" hidden="false" customHeight="false" outlineLevel="0" collapsed="false">
      <c r="D125" s="11"/>
      <c r="E125" s="11"/>
      <c r="F125" s="11"/>
      <c r="G125" s="11"/>
      <c r="L125" s="11"/>
      <c r="N125" s="12"/>
      <c r="O125" s="1" t="str">
        <f aca="false">IF(OR(D125="",G125=""),"",G125-D125)</f>
        <v/>
      </c>
    </row>
    <row r="126" customFormat="false" ht="15" hidden="false" customHeight="false" outlineLevel="0" collapsed="false">
      <c r="D126" s="11"/>
      <c r="E126" s="11"/>
      <c r="F126" s="11"/>
      <c r="G126" s="11"/>
      <c r="L126" s="11"/>
      <c r="N126" s="12"/>
      <c r="O126" s="1" t="str">
        <f aca="false">IF(OR(D126="",G126=""),"",G126-D126)</f>
        <v/>
      </c>
    </row>
    <row r="127" customFormat="false" ht="15" hidden="false" customHeight="false" outlineLevel="0" collapsed="false">
      <c r="D127" s="11"/>
      <c r="E127" s="11"/>
      <c r="F127" s="11"/>
      <c r="G127" s="11"/>
      <c r="L127" s="11"/>
      <c r="N127" s="12"/>
      <c r="O127" s="1" t="str">
        <f aca="false">IF(OR(D127="",G127=""),"",G127-D127)</f>
        <v/>
      </c>
    </row>
    <row r="128" customFormat="false" ht="15" hidden="false" customHeight="false" outlineLevel="0" collapsed="false">
      <c r="D128" s="11"/>
      <c r="E128" s="11"/>
      <c r="F128" s="11"/>
      <c r="G128" s="11"/>
      <c r="L128" s="11"/>
      <c r="N128" s="12"/>
      <c r="O128" s="1" t="str">
        <f aca="false">IF(OR(D128="",G128=""),"",G128-D128)</f>
        <v/>
      </c>
    </row>
    <row r="129" customFormat="false" ht="15" hidden="false" customHeight="false" outlineLevel="0" collapsed="false">
      <c r="D129" s="11"/>
      <c r="E129" s="11"/>
      <c r="F129" s="11"/>
      <c r="G129" s="11"/>
      <c r="L129" s="11"/>
      <c r="N129" s="12"/>
      <c r="O129" s="1" t="str">
        <f aca="false">IF(OR(D129="",G129=""),"",G129-D129)</f>
        <v/>
      </c>
    </row>
    <row r="130" customFormat="false" ht="15" hidden="false" customHeight="false" outlineLevel="0" collapsed="false">
      <c r="D130" s="11"/>
      <c r="E130" s="11"/>
      <c r="F130" s="11"/>
      <c r="G130" s="11"/>
      <c r="L130" s="11"/>
      <c r="N130" s="12"/>
      <c r="O130" s="1" t="str">
        <f aca="false">IF(OR(D130="",G130=""),"",G130-D130)</f>
        <v/>
      </c>
    </row>
    <row r="131" customFormat="false" ht="15" hidden="false" customHeight="false" outlineLevel="0" collapsed="false">
      <c r="D131" s="11"/>
      <c r="E131" s="11"/>
      <c r="F131" s="11"/>
      <c r="G131" s="11"/>
      <c r="L131" s="11"/>
      <c r="N131" s="12"/>
      <c r="O131" s="1" t="str">
        <f aca="false">IF(OR(D131="",G131=""),"",G131-D131)</f>
        <v/>
      </c>
    </row>
    <row r="132" customFormat="false" ht="15" hidden="false" customHeight="false" outlineLevel="0" collapsed="false">
      <c r="D132" s="11"/>
      <c r="E132" s="11"/>
      <c r="F132" s="11"/>
      <c r="G132" s="11"/>
      <c r="L132" s="11"/>
      <c r="N132" s="12"/>
      <c r="O132" s="1" t="str">
        <f aca="false">IF(OR(D132="",G132=""),"",G132-D132)</f>
        <v/>
      </c>
    </row>
    <row r="133" customFormat="false" ht="15" hidden="false" customHeight="false" outlineLevel="0" collapsed="false">
      <c r="D133" s="11"/>
      <c r="E133" s="11"/>
      <c r="F133" s="11"/>
      <c r="G133" s="11"/>
      <c r="L133" s="11"/>
      <c r="N133" s="12"/>
      <c r="O133" s="1" t="str">
        <f aca="false">IF(OR(D133="",G133=""),"",G133-D133)</f>
        <v/>
      </c>
    </row>
    <row r="134" customFormat="false" ht="15" hidden="false" customHeight="false" outlineLevel="0" collapsed="false">
      <c r="D134" s="11"/>
      <c r="E134" s="11"/>
      <c r="F134" s="11"/>
      <c r="G134" s="11"/>
      <c r="L134" s="11"/>
      <c r="N134" s="12"/>
      <c r="O134" s="1" t="str">
        <f aca="false">IF(OR(D134="",G134=""),"",G134-D134)</f>
        <v/>
      </c>
    </row>
    <row r="135" customFormat="false" ht="15" hidden="false" customHeight="false" outlineLevel="0" collapsed="false">
      <c r="D135" s="11"/>
      <c r="E135" s="11"/>
      <c r="F135" s="11"/>
      <c r="G135" s="11"/>
      <c r="L135" s="11"/>
      <c r="N135" s="12"/>
      <c r="O135" s="1" t="str">
        <f aca="false">IF(OR(D135="",G135=""),"",G135-D135)</f>
        <v/>
      </c>
    </row>
    <row r="136" customFormat="false" ht="15" hidden="false" customHeight="false" outlineLevel="0" collapsed="false">
      <c r="D136" s="11"/>
      <c r="E136" s="11"/>
      <c r="F136" s="11"/>
      <c r="G136" s="11"/>
      <c r="L136" s="11"/>
      <c r="N136" s="12"/>
      <c r="O136" s="1" t="str">
        <f aca="false">IF(OR(D136="",G136=""),"",G136-D136)</f>
        <v/>
      </c>
    </row>
    <row r="137" customFormat="false" ht="15" hidden="false" customHeight="false" outlineLevel="0" collapsed="false">
      <c r="D137" s="11"/>
      <c r="E137" s="11"/>
      <c r="F137" s="11"/>
      <c r="G137" s="11"/>
      <c r="L137" s="11"/>
      <c r="N137" s="12"/>
      <c r="O137" s="1" t="str">
        <f aca="false">IF(OR(D137="",G137=""),"",G137-D137)</f>
        <v/>
      </c>
    </row>
    <row r="138" customFormat="false" ht="15" hidden="false" customHeight="false" outlineLevel="0" collapsed="false">
      <c r="D138" s="11"/>
      <c r="E138" s="11"/>
      <c r="F138" s="11"/>
      <c r="G138" s="11"/>
      <c r="L138" s="11"/>
      <c r="N138" s="12"/>
      <c r="O138" s="1" t="str">
        <f aca="false">IF(OR(D138="",G138=""),"",G138-D138)</f>
        <v/>
      </c>
    </row>
    <row r="139" customFormat="false" ht="15" hidden="false" customHeight="false" outlineLevel="0" collapsed="false">
      <c r="D139" s="11"/>
      <c r="E139" s="11"/>
      <c r="F139" s="11"/>
      <c r="G139" s="11"/>
      <c r="L139" s="11"/>
      <c r="N139" s="12"/>
      <c r="O139" s="1" t="str">
        <f aca="false">IF(OR(D139="",G139=""),"",G139-D139)</f>
        <v/>
      </c>
    </row>
    <row r="140" customFormat="false" ht="15" hidden="false" customHeight="false" outlineLevel="0" collapsed="false">
      <c r="D140" s="11"/>
      <c r="E140" s="11"/>
      <c r="F140" s="11"/>
      <c r="G140" s="11"/>
      <c r="L140" s="11"/>
      <c r="N140" s="12"/>
      <c r="O140" s="1" t="str">
        <f aca="false">IF(OR(D140="",G140=""),"",G140-D140)</f>
        <v/>
      </c>
    </row>
    <row r="141" customFormat="false" ht="15" hidden="false" customHeight="false" outlineLevel="0" collapsed="false">
      <c r="D141" s="11"/>
      <c r="E141" s="11"/>
      <c r="F141" s="11"/>
      <c r="G141" s="11"/>
      <c r="L141" s="11"/>
      <c r="N141" s="12"/>
      <c r="O141" s="1" t="str">
        <f aca="false">IF(OR(D141="",G141=""),"",G141-D141)</f>
        <v/>
      </c>
    </row>
    <row r="142" customFormat="false" ht="15" hidden="false" customHeight="false" outlineLevel="0" collapsed="false">
      <c r="D142" s="11"/>
      <c r="E142" s="11"/>
      <c r="F142" s="11"/>
      <c r="G142" s="11"/>
      <c r="L142" s="11"/>
      <c r="N142" s="12"/>
      <c r="O142" s="1" t="str">
        <f aca="false">IF(OR(D142="",G142=""),"",G142-D142)</f>
        <v/>
      </c>
    </row>
    <row r="143" customFormat="false" ht="15" hidden="false" customHeight="false" outlineLevel="0" collapsed="false">
      <c r="D143" s="11"/>
      <c r="E143" s="11"/>
      <c r="F143" s="11"/>
      <c r="G143" s="11"/>
      <c r="L143" s="11"/>
      <c r="N143" s="12"/>
      <c r="O143" s="1" t="str">
        <f aca="false">IF(OR(D143="",G143=""),"",G143-D143)</f>
        <v/>
      </c>
    </row>
    <row r="144" customFormat="false" ht="15" hidden="false" customHeight="false" outlineLevel="0" collapsed="false">
      <c r="D144" s="11"/>
      <c r="E144" s="11"/>
      <c r="F144" s="11"/>
      <c r="G144" s="11"/>
      <c r="L144" s="11"/>
      <c r="N144" s="12"/>
      <c r="O144" s="1" t="str">
        <f aca="false">IF(OR(D144="",G144=""),"",G144-D144)</f>
        <v/>
      </c>
    </row>
    <row r="145" customFormat="false" ht="15" hidden="false" customHeight="false" outlineLevel="0" collapsed="false">
      <c r="D145" s="11"/>
      <c r="E145" s="11"/>
      <c r="F145" s="11"/>
      <c r="G145" s="11"/>
      <c r="L145" s="11"/>
      <c r="N145" s="12"/>
      <c r="O145" s="1" t="str">
        <f aca="false">IF(OR(D145="",G145=""),"",G145-D145)</f>
        <v/>
      </c>
    </row>
    <row r="146" customFormat="false" ht="15" hidden="false" customHeight="false" outlineLevel="0" collapsed="false">
      <c r="D146" s="11"/>
      <c r="E146" s="11"/>
      <c r="F146" s="11"/>
      <c r="G146" s="11"/>
      <c r="L146" s="11"/>
      <c r="N146" s="12"/>
      <c r="O146" s="1" t="str">
        <f aca="false">IF(OR(D146="",G146=""),"",G146-D146)</f>
        <v/>
      </c>
    </row>
    <row r="147" customFormat="false" ht="15" hidden="false" customHeight="false" outlineLevel="0" collapsed="false">
      <c r="D147" s="11"/>
      <c r="E147" s="11"/>
      <c r="F147" s="11"/>
      <c r="G147" s="11"/>
      <c r="L147" s="11"/>
      <c r="N147" s="12"/>
      <c r="O147" s="1" t="str">
        <f aca="false">IF(OR(D147="",G147=""),"",G147-D147)</f>
        <v/>
      </c>
    </row>
    <row r="148" customFormat="false" ht="15" hidden="false" customHeight="false" outlineLevel="0" collapsed="false">
      <c r="D148" s="11"/>
      <c r="E148" s="11"/>
      <c r="F148" s="11"/>
      <c r="G148" s="11"/>
      <c r="L148" s="11"/>
      <c r="N148" s="12"/>
      <c r="O148" s="1" t="str">
        <f aca="false">IF(OR(D148="",G148=""),"",G148-D148)</f>
        <v/>
      </c>
    </row>
    <row r="149" customFormat="false" ht="15" hidden="false" customHeight="false" outlineLevel="0" collapsed="false">
      <c r="D149" s="11"/>
      <c r="E149" s="11"/>
      <c r="F149" s="11"/>
      <c r="G149" s="11"/>
      <c r="L149" s="11"/>
      <c r="N149" s="12"/>
      <c r="O149" s="1" t="str">
        <f aca="false">IF(OR(D149="",G149=""),"",G149-D149)</f>
        <v/>
      </c>
    </row>
    <row r="150" customFormat="false" ht="15" hidden="false" customHeight="false" outlineLevel="0" collapsed="false">
      <c r="D150" s="11"/>
      <c r="E150" s="11"/>
      <c r="F150" s="11"/>
      <c r="G150" s="11"/>
      <c r="L150" s="11"/>
      <c r="N150" s="12"/>
      <c r="O150" s="1" t="str">
        <f aca="false">IF(OR(D150="",G150=""),"",G150-D150)</f>
        <v/>
      </c>
    </row>
    <row r="151" customFormat="false" ht="15" hidden="false" customHeight="false" outlineLevel="0" collapsed="false">
      <c r="D151" s="11"/>
      <c r="E151" s="11"/>
      <c r="F151" s="11"/>
      <c r="G151" s="11"/>
      <c r="L151" s="11"/>
      <c r="N151" s="12"/>
      <c r="O151" s="1" t="str">
        <f aca="false">IF(OR(D151="",G151=""),"",G151-D151)</f>
        <v/>
      </c>
    </row>
    <row r="152" customFormat="false" ht="15" hidden="false" customHeight="false" outlineLevel="0" collapsed="false">
      <c r="D152" s="11"/>
      <c r="E152" s="11"/>
      <c r="F152" s="11"/>
      <c r="G152" s="11"/>
      <c r="L152" s="11"/>
      <c r="N152" s="12"/>
      <c r="O152" s="1" t="str">
        <f aca="false">IF(OR(D152="",G152=""),"",G152-D152)</f>
        <v/>
      </c>
    </row>
    <row r="153" customFormat="false" ht="15" hidden="false" customHeight="false" outlineLevel="0" collapsed="false">
      <c r="D153" s="11"/>
      <c r="E153" s="11"/>
      <c r="F153" s="11"/>
      <c r="G153" s="11"/>
      <c r="L153" s="11"/>
      <c r="N153" s="12"/>
      <c r="O153" s="1" t="str">
        <f aca="false">IF(OR(D153="",G153=""),"",G153-D153)</f>
        <v/>
      </c>
    </row>
    <row r="154" customFormat="false" ht="15" hidden="false" customHeight="false" outlineLevel="0" collapsed="false">
      <c r="D154" s="11"/>
      <c r="E154" s="11"/>
      <c r="F154" s="11"/>
      <c r="G154" s="11"/>
      <c r="L154" s="11"/>
      <c r="N154" s="12"/>
      <c r="O154" s="1" t="str">
        <f aca="false">IF(OR(D154="",G154=""),"",G154-D154)</f>
        <v/>
      </c>
    </row>
    <row r="155" customFormat="false" ht="15" hidden="false" customHeight="false" outlineLevel="0" collapsed="false">
      <c r="D155" s="11"/>
      <c r="E155" s="11"/>
      <c r="F155" s="11"/>
      <c r="G155" s="11"/>
      <c r="L155" s="11"/>
      <c r="N155" s="12"/>
      <c r="O155" s="1" t="str">
        <f aca="false">IF(OR(D155="",G155=""),"",G155-D155)</f>
        <v/>
      </c>
    </row>
    <row r="156" customFormat="false" ht="15" hidden="false" customHeight="false" outlineLevel="0" collapsed="false">
      <c r="D156" s="11"/>
      <c r="E156" s="11"/>
      <c r="F156" s="11"/>
      <c r="G156" s="11"/>
      <c r="L156" s="11"/>
      <c r="N156" s="12"/>
      <c r="O156" s="1" t="str">
        <f aca="false">IF(OR(D156="",G156=""),"",G156-D156)</f>
        <v/>
      </c>
    </row>
    <row r="157" customFormat="false" ht="15" hidden="false" customHeight="false" outlineLevel="0" collapsed="false">
      <c r="D157" s="11"/>
      <c r="E157" s="11"/>
      <c r="F157" s="11"/>
      <c r="G157" s="11"/>
      <c r="L157" s="11"/>
      <c r="N157" s="12"/>
      <c r="O157" s="1" t="str">
        <f aca="false">IF(OR(D157="",G157=""),"",G157-D157)</f>
        <v/>
      </c>
    </row>
    <row r="158" customFormat="false" ht="15" hidden="false" customHeight="false" outlineLevel="0" collapsed="false">
      <c r="D158" s="11"/>
      <c r="E158" s="11"/>
      <c r="F158" s="11"/>
      <c r="G158" s="11"/>
      <c r="L158" s="11"/>
      <c r="N158" s="12"/>
      <c r="O158" s="1" t="str">
        <f aca="false">IF(OR(D158="",G158=""),"",G158-D158)</f>
        <v/>
      </c>
    </row>
    <row r="159" customFormat="false" ht="15" hidden="false" customHeight="false" outlineLevel="0" collapsed="false">
      <c r="D159" s="11"/>
      <c r="E159" s="11"/>
      <c r="F159" s="11"/>
      <c r="G159" s="11"/>
      <c r="L159" s="11"/>
      <c r="N159" s="12"/>
      <c r="O159" s="1" t="str">
        <f aca="false">IF(OR(D159="",G159=""),"",G159-D159)</f>
        <v/>
      </c>
    </row>
    <row r="160" customFormat="false" ht="15" hidden="false" customHeight="false" outlineLevel="0" collapsed="false">
      <c r="D160" s="11"/>
      <c r="E160" s="11"/>
      <c r="F160" s="11"/>
      <c r="G160" s="11"/>
      <c r="L160" s="11"/>
      <c r="N160" s="12"/>
      <c r="O160" s="1" t="str">
        <f aca="false">IF(OR(D160="",G160=""),"",G160-D160)</f>
        <v/>
      </c>
    </row>
    <row r="161" customFormat="false" ht="15" hidden="false" customHeight="false" outlineLevel="0" collapsed="false">
      <c r="D161" s="11"/>
      <c r="E161" s="11"/>
      <c r="F161" s="11"/>
      <c r="G161" s="11"/>
      <c r="L161" s="11"/>
      <c r="N161" s="12"/>
      <c r="O161" s="1" t="str">
        <f aca="false">IF(OR(D161="",G161=""),"",G161-D161)</f>
        <v/>
      </c>
    </row>
    <row r="162" customFormat="false" ht="15" hidden="false" customHeight="false" outlineLevel="0" collapsed="false">
      <c r="D162" s="11"/>
      <c r="E162" s="11"/>
      <c r="F162" s="11"/>
      <c r="G162" s="11"/>
      <c r="L162" s="11"/>
      <c r="N162" s="12"/>
      <c r="O162" s="1" t="str">
        <f aca="false">IF(OR(D162="",G162=""),"",G162-D162)</f>
        <v/>
      </c>
    </row>
    <row r="163" customFormat="false" ht="15" hidden="false" customHeight="false" outlineLevel="0" collapsed="false">
      <c r="D163" s="11"/>
      <c r="E163" s="11"/>
      <c r="F163" s="11"/>
      <c r="G163" s="11"/>
      <c r="L163" s="11"/>
      <c r="N163" s="12"/>
      <c r="O163" s="1" t="str">
        <f aca="false">IF(OR(D163="",G163=""),"",G163-D163)</f>
        <v/>
      </c>
    </row>
    <row r="164" customFormat="false" ht="15" hidden="false" customHeight="false" outlineLevel="0" collapsed="false">
      <c r="D164" s="11"/>
      <c r="E164" s="11"/>
      <c r="F164" s="11"/>
      <c r="G164" s="11"/>
      <c r="L164" s="11"/>
      <c r="N164" s="12"/>
      <c r="O164" s="1" t="str">
        <f aca="false">IF(OR(D164="",G164=""),"",G164-D164)</f>
        <v/>
      </c>
    </row>
    <row r="165" customFormat="false" ht="15" hidden="false" customHeight="false" outlineLevel="0" collapsed="false">
      <c r="D165" s="11"/>
      <c r="E165" s="11"/>
      <c r="F165" s="11"/>
      <c r="G165" s="11"/>
      <c r="L165" s="11"/>
      <c r="N165" s="12"/>
      <c r="O165" s="1" t="str">
        <f aca="false">IF(OR(D165="",G165=""),"",G165-D165)</f>
        <v/>
      </c>
    </row>
    <row r="166" customFormat="false" ht="15" hidden="false" customHeight="false" outlineLevel="0" collapsed="false">
      <c r="D166" s="11"/>
      <c r="E166" s="11"/>
      <c r="F166" s="11"/>
      <c r="G166" s="11"/>
      <c r="L166" s="11"/>
      <c r="N166" s="12"/>
      <c r="O166" s="1" t="str">
        <f aca="false">IF(OR(D166="",G166=""),"",G166-D166)</f>
        <v/>
      </c>
    </row>
    <row r="167" customFormat="false" ht="15" hidden="false" customHeight="false" outlineLevel="0" collapsed="false">
      <c r="D167" s="11"/>
      <c r="E167" s="11"/>
      <c r="F167" s="11"/>
      <c r="G167" s="11"/>
      <c r="L167" s="11"/>
      <c r="N167" s="12"/>
      <c r="O167" s="1" t="str">
        <f aca="false">IF(OR(D167="",G167=""),"",G167-D167)</f>
        <v/>
      </c>
    </row>
    <row r="168" customFormat="false" ht="15" hidden="false" customHeight="false" outlineLevel="0" collapsed="false">
      <c r="D168" s="11"/>
      <c r="E168" s="11"/>
      <c r="F168" s="11"/>
      <c r="G168" s="11"/>
      <c r="L168" s="11"/>
      <c r="N168" s="12"/>
      <c r="O168" s="1" t="str">
        <f aca="false">IF(OR(D168="",G168=""),"",G168-D168)</f>
        <v/>
      </c>
    </row>
    <row r="169" customFormat="false" ht="15" hidden="false" customHeight="false" outlineLevel="0" collapsed="false">
      <c r="D169" s="11"/>
      <c r="E169" s="11"/>
      <c r="F169" s="11"/>
      <c r="G169" s="11"/>
      <c r="L169" s="11"/>
      <c r="N169" s="12"/>
      <c r="O169" s="1" t="str">
        <f aca="false">IF(OR(D169="",G169=""),"",G169-D169)</f>
        <v/>
      </c>
    </row>
    <row r="170" customFormat="false" ht="15" hidden="false" customHeight="false" outlineLevel="0" collapsed="false">
      <c r="D170" s="11"/>
      <c r="E170" s="11"/>
      <c r="F170" s="11"/>
      <c r="G170" s="11"/>
      <c r="L170" s="11"/>
      <c r="N170" s="12"/>
      <c r="O170" s="1" t="str">
        <f aca="false">IF(OR(D170="",G170=""),"",G170-D170)</f>
        <v/>
      </c>
    </row>
    <row r="171" customFormat="false" ht="15" hidden="false" customHeight="false" outlineLevel="0" collapsed="false">
      <c r="D171" s="11"/>
      <c r="E171" s="11"/>
      <c r="F171" s="11"/>
      <c r="G171" s="11"/>
      <c r="L171" s="11"/>
      <c r="N171" s="12"/>
      <c r="O171" s="1" t="str">
        <f aca="false">IF(OR(D171="",G171=""),"",G171-D171)</f>
        <v/>
      </c>
    </row>
    <row r="172" customFormat="false" ht="15" hidden="false" customHeight="false" outlineLevel="0" collapsed="false">
      <c r="D172" s="11"/>
      <c r="E172" s="11"/>
      <c r="F172" s="11"/>
      <c r="G172" s="11"/>
      <c r="L172" s="11"/>
      <c r="N172" s="12"/>
      <c r="O172" s="1" t="str">
        <f aca="false">IF(OR(D172="",G172=""),"",G172-D172)</f>
        <v/>
      </c>
    </row>
    <row r="173" customFormat="false" ht="15" hidden="false" customHeight="false" outlineLevel="0" collapsed="false">
      <c r="D173" s="11"/>
      <c r="E173" s="11"/>
      <c r="F173" s="11"/>
      <c r="G173" s="11"/>
      <c r="L173" s="11"/>
      <c r="N173" s="12"/>
      <c r="O173" s="1" t="str">
        <f aca="false">IF(OR(D173="",G173=""),"",G173-D173)</f>
        <v/>
      </c>
    </row>
    <row r="174" customFormat="false" ht="15" hidden="false" customHeight="false" outlineLevel="0" collapsed="false">
      <c r="D174" s="11"/>
      <c r="E174" s="11"/>
      <c r="F174" s="11"/>
      <c r="G174" s="11"/>
      <c r="L174" s="11"/>
      <c r="N174" s="12"/>
      <c r="O174" s="1" t="str">
        <f aca="false">IF(OR(D174="",G174=""),"",G174-D174)</f>
        <v/>
      </c>
    </row>
    <row r="175" customFormat="false" ht="15" hidden="false" customHeight="false" outlineLevel="0" collapsed="false">
      <c r="D175" s="11"/>
      <c r="E175" s="11"/>
      <c r="F175" s="11"/>
      <c r="G175" s="11"/>
      <c r="L175" s="11"/>
      <c r="N175" s="12"/>
      <c r="O175" s="1" t="str">
        <f aca="false">IF(OR(D175="",G175=""),"",G175-D175)</f>
        <v/>
      </c>
    </row>
    <row r="176" customFormat="false" ht="15" hidden="false" customHeight="false" outlineLevel="0" collapsed="false">
      <c r="D176" s="11"/>
      <c r="E176" s="11"/>
      <c r="F176" s="11"/>
      <c r="G176" s="11"/>
      <c r="L176" s="11"/>
      <c r="N176" s="12"/>
      <c r="O176" s="1" t="str">
        <f aca="false">IF(OR(D176="",G176=""),"",G176-D176)</f>
        <v/>
      </c>
    </row>
    <row r="177" customFormat="false" ht="15" hidden="false" customHeight="false" outlineLevel="0" collapsed="false">
      <c r="D177" s="11"/>
      <c r="E177" s="11"/>
      <c r="F177" s="11"/>
      <c r="G177" s="11"/>
      <c r="L177" s="11"/>
      <c r="N177" s="12"/>
      <c r="O177" s="1" t="str">
        <f aca="false">IF(OR(D177="",G177=""),"",G177-D177)</f>
        <v/>
      </c>
    </row>
    <row r="178" customFormat="false" ht="15" hidden="false" customHeight="false" outlineLevel="0" collapsed="false">
      <c r="D178" s="11"/>
      <c r="E178" s="11"/>
      <c r="F178" s="11"/>
      <c r="G178" s="11"/>
      <c r="L178" s="11"/>
      <c r="N178" s="12"/>
      <c r="O178" s="1" t="str">
        <f aca="false">IF(OR(D178="",G178=""),"",G178-D178)</f>
        <v/>
      </c>
    </row>
    <row r="179" customFormat="false" ht="15" hidden="false" customHeight="false" outlineLevel="0" collapsed="false">
      <c r="D179" s="11"/>
      <c r="E179" s="11"/>
      <c r="F179" s="11"/>
      <c r="G179" s="11"/>
      <c r="L179" s="11"/>
      <c r="N179" s="12"/>
      <c r="O179" s="1" t="str">
        <f aca="false">IF(OR(D179="",G179=""),"",G179-D179)</f>
        <v/>
      </c>
    </row>
    <row r="180" customFormat="false" ht="15" hidden="false" customHeight="false" outlineLevel="0" collapsed="false">
      <c r="D180" s="11"/>
      <c r="E180" s="11"/>
      <c r="F180" s="11"/>
      <c r="G180" s="11"/>
      <c r="L180" s="11"/>
      <c r="N180" s="12"/>
      <c r="O180" s="1" t="str">
        <f aca="false">IF(OR(D180="",G180=""),"",G180-D180)</f>
        <v/>
      </c>
    </row>
    <row r="181" customFormat="false" ht="15" hidden="false" customHeight="false" outlineLevel="0" collapsed="false">
      <c r="D181" s="11"/>
      <c r="E181" s="11"/>
      <c r="F181" s="11"/>
      <c r="G181" s="11"/>
      <c r="L181" s="11"/>
      <c r="N181" s="12"/>
      <c r="O181" s="1" t="str">
        <f aca="false">IF(OR(D181="",G181=""),"",G181-D181)</f>
        <v/>
      </c>
    </row>
    <row r="182" customFormat="false" ht="15" hidden="false" customHeight="false" outlineLevel="0" collapsed="false">
      <c r="D182" s="11"/>
      <c r="E182" s="11"/>
      <c r="F182" s="11"/>
      <c r="G182" s="11"/>
      <c r="L182" s="11"/>
      <c r="N182" s="12"/>
      <c r="O182" s="1" t="str">
        <f aca="false">IF(OR(D182="",G182=""),"",G182-D182)</f>
        <v/>
      </c>
    </row>
    <row r="183" customFormat="false" ht="15" hidden="false" customHeight="false" outlineLevel="0" collapsed="false">
      <c r="D183" s="11"/>
      <c r="E183" s="11"/>
      <c r="F183" s="11"/>
      <c r="G183" s="11"/>
      <c r="L183" s="11"/>
      <c r="N183" s="12"/>
      <c r="O183" s="1" t="str">
        <f aca="false">IF(OR(D183="",G183=""),"",G183-D183)</f>
        <v/>
      </c>
    </row>
    <row r="184" customFormat="false" ht="15" hidden="false" customHeight="false" outlineLevel="0" collapsed="false">
      <c r="D184" s="11"/>
      <c r="E184" s="11"/>
      <c r="F184" s="11"/>
      <c r="G184" s="11"/>
      <c r="L184" s="11"/>
      <c r="N184" s="12"/>
      <c r="O184" s="1" t="str">
        <f aca="false">IF(OR(D184="",G184=""),"",G184-D184)</f>
        <v/>
      </c>
    </row>
    <row r="185" customFormat="false" ht="15" hidden="false" customHeight="false" outlineLevel="0" collapsed="false">
      <c r="D185" s="11"/>
      <c r="E185" s="11"/>
      <c r="F185" s="11"/>
      <c r="G185" s="11"/>
      <c r="L185" s="11"/>
      <c r="N185" s="12"/>
      <c r="O185" s="1" t="str">
        <f aca="false">IF(OR(D185="",G185=""),"",G185-D185)</f>
        <v/>
      </c>
    </row>
    <row r="186" customFormat="false" ht="15" hidden="false" customHeight="false" outlineLevel="0" collapsed="false">
      <c r="D186" s="11"/>
      <c r="E186" s="11"/>
      <c r="F186" s="11"/>
      <c r="G186" s="11"/>
      <c r="L186" s="11"/>
      <c r="N186" s="12"/>
      <c r="O186" s="1" t="str">
        <f aca="false">IF(OR(D186="",G186=""),"",G186-D186)</f>
        <v/>
      </c>
    </row>
    <row r="187" customFormat="false" ht="15" hidden="false" customHeight="false" outlineLevel="0" collapsed="false">
      <c r="D187" s="11"/>
      <c r="E187" s="11"/>
      <c r="F187" s="11"/>
      <c r="G187" s="11"/>
      <c r="L187" s="11"/>
      <c r="N187" s="12"/>
      <c r="O187" s="1" t="str">
        <f aca="false">IF(OR(D187="",G187=""),"",G187-D187)</f>
        <v/>
      </c>
    </row>
    <row r="188" customFormat="false" ht="15" hidden="false" customHeight="false" outlineLevel="0" collapsed="false">
      <c r="D188" s="11"/>
      <c r="E188" s="11"/>
      <c r="F188" s="11"/>
      <c r="G188" s="11"/>
      <c r="L188" s="11"/>
      <c r="N188" s="12"/>
      <c r="O188" s="1" t="str">
        <f aca="false">IF(OR(D188="",G188=""),"",G188-D188)</f>
        <v/>
      </c>
    </row>
    <row r="189" customFormat="false" ht="15" hidden="false" customHeight="false" outlineLevel="0" collapsed="false">
      <c r="D189" s="11"/>
      <c r="E189" s="11"/>
      <c r="F189" s="11"/>
      <c r="G189" s="11"/>
      <c r="L189" s="11"/>
      <c r="N189" s="12"/>
      <c r="O189" s="1" t="str">
        <f aca="false">IF(OR(D189="",G189=""),"",G189-D189)</f>
        <v/>
      </c>
    </row>
    <row r="190" customFormat="false" ht="15" hidden="false" customHeight="false" outlineLevel="0" collapsed="false">
      <c r="D190" s="11"/>
      <c r="E190" s="11"/>
      <c r="F190" s="11"/>
      <c r="G190" s="11"/>
      <c r="L190" s="11"/>
      <c r="N190" s="12"/>
      <c r="O190" s="1" t="str">
        <f aca="false">IF(OR(D190="",G190=""),"",G190-D190)</f>
        <v/>
      </c>
    </row>
    <row r="191" customFormat="false" ht="15" hidden="false" customHeight="false" outlineLevel="0" collapsed="false">
      <c r="D191" s="11"/>
      <c r="E191" s="11"/>
      <c r="F191" s="11"/>
      <c r="G191" s="11"/>
      <c r="L191" s="11"/>
      <c r="N191" s="12"/>
      <c r="O191" s="1" t="str">
        <f aca="false">IF(OR(D191="",G191=""),"",G191-D191)</f>
        <v/>
      </c>
    </row>
    <row r="192" customFormat="false" ht="15" hidden="false" customHeight="false" outlineLevel="0" collapsed="false">
      <c r="D192" s="11"/>
      <c r="E192" s="11"/>
      <c r="F192" s="11"/>
      <c r="G192" s="11"/>
      <c r="L192" s="11"/>
      <c r="N192" s="12"/>
      <c r="O192" s="1" t="str">
        <f aca="false">IF(OR(D192="",G192=""),"",G192-D192)</f>
        <v/>
      </c>
    </row>
    <row r="193" customFormat="false" ht="15" hidden="false" customHeight="false" outlineLevel="0" collapsed="false">
      <c r="D193" s="11"/>
      <c r="E193" s="11"/>
      <c r="F193" s="11"/>
      <c r="G193" s="11"/>
      <c r="L193" s="11"/>
      <c r="N193" s="12"/>
      <c r="O193" s="1" t="str">
        <f aca="false">IF(OR(D193="",G193=""),"",G193-D193)</f>
        <v/>
      </c>
    </row>
    <row r="194" customFormat="false" ht="15" hidden="false" customHeight="false" outlineLevel="0" collapsed="false">
      <c r="D194" s="11"/>
      <c r="E194" s="11"/>
      <c r="F194" s="11"/>
      <c r="G194" s="11"/>
      <c r="L194" s="11"/>
      <c r="N194" s="12"/>
      <c r="O194" s="1" t="str">
        <f aca="false">IF(OR(D194="",G194=""),"",G194-D194)</f>
        <v/>
      </c>
    </row>
    <row r="195" customFormat="false" ht="15" hidden="false" customHeight="false" outlineLevel="0" collapsed="false">
      <c r="D195" s="11"/>
      <c r="E195" s="11"/>
      <c r="F195" s="11"/>
      <c r="G195" s="11"/>
      <c r="L195" s="11"/>
      <c r="N195" s="12"/>
      <c r="O195" s="1" t="str">
        <f aca="false">IF(OR(D195="",G195=""),"",G195-D195)</f>
        <v/>
      </c>
    </row>
    <row r="196" customFormat="false" ht="15" hidden="false" customHeight="false" outlineLevel="0" collapsed="false">
      <c r="D196" s="11"/>
      <c r="E196" s="11"/>
      <c r="F196" s="11"/>
      <c r="G196" s="11"/>
      <c r="L196" s="11"/>
      <c r="N196" s="12"/>
      <c r="O196" s="1" t="str">
        <f aca="false">IF(OR(D196="",G196=""),"",G196-D196)</f>
        <v/>
      </c>
    </row>
    <row r="197" customFormat="false" ht="15" hidden="false" customHeight="false" outlineLevel="0" collapsed="false">
      <c r="D197" s="11"/>
      <c r="E197" s="11"/>
      <c r="F197" s="11"/>
      <c r="G197" s="11"/>
      <c r="L197" s="11"/>
      <c r="N197" s="12"/>
      <c r="O197" s="1" t="str">
        <f aca="false">IF(OR(D197="",G197=""),"",G197-D197)</f>
        <v/>
      </c>
    </row>
    <row r="198" customFormat="false" ht="15" hidden="false" customHeight="false" outlineLevel="0" collapsed="false">
      <c r="D198" s="11"/>
      <c r="E198" s="11"/>
      <c r="F198" s="11"/>
      <c r="G198" s="11"/>
      <c r="L198" s="11"/>
      <c r="N198" s="12"/>
      <c r="O198" s="1" t="str">
        <f aca="false">IF(OR(D198="",G198=""),"",G198-D198)</f>
        <v/>
      </c>
    </row>
    <row r="199" customFormat="false" ht="15" hidden="false" customHeight="false" outlineLevel="0" collapsed="false">
      <c r="D199" s="11"/>
      <c r="E199" s="11"/>
      <c r="F199" s="11"/>
      <c r="G199" s="11"/>
      <c r="L199" s="11"/>
      <c r="N199" s="12"/>
      <c r="O199" s="1" t="str">
        <f aca="false">IF(OR(D199="",G199=""),"",G199-D199)</f>
        <v/>
      </c>
    </row>
    <row r="200" customFormat="false" ht="15" hidden="false" customHeight="false" outlineLevel="0" collapsed="false">
      <c r="D200" s="11"/>
      <c r="E200" s="11"/>
      <c r="F200" s="11"/>
      <c r="G200" s="11"/>
      <c r="L200" s="11"/>
      <c r="N200" s="12"/>
      <c r="O200" s="1" t="str">
        <f aca="false">IF(OR(D200="",G200=""),"",G200-D200)</f>
        <v/>
      </c>
    </row>
    <row r="201" customFormat="false" ht="15" hidden="false" customHeight="false" outlineLevel="0" collapsed="false">
      <c r="D201" s="11"/>
      <c r="E201" s="11"/>
      <c r="F201" s="11"/>
      <c r="G201" s="11"/>
      <c r="L201" s="11"/>
      <c r="N201" s="12"/>
      <c r="O201" s="1" t="str">
        <f aca="false">IF(OR(D201="",G201=""),"",G201-D201)</f>
        <v/>
      </c>
    </row>
    <row r="202" customFormat="false" ht="15" hidden="false" customHeight="false" outlineLevel="0" collapsed="false">
      <c r="D202" s="11"/>
      <c r="E202" s="11"/>
      <c r="F202" s="11"/>
      <c r="G202" s="11"/>
      <c r="L202" s="11"/>
      <c r="N202" s="12"/>
      <c r="O202" s="1" t="str">
        <f aca="false">IF(OR(D202="",G202=""),"",G202-D202)</f>
        <v/>
      </c>
    </row>
    <row r="203" customFormat="false" ht="15" hidden="false" customHeight="false" outlineLevel="0" collapsed="false">
      <c r="D203" s="11"/>
      <c r="E203" s="11"/>
      <c r="F203" s="11"/>
      <c r="G203" s="11"/>
      <c r="L203" s="11"/>
      <c r="N203" s="12"/>
      <c r="O203" s="1" t="str">
        <f aca="false">IF(OR(D203="",G203=""),"",G203-D203)</f>
        <v/>
      </c>
    </row>
    <row r="204" customFormat="false" ht="15" hidden="false" customHeight="false" outlineLevel="0" collapsed="false">
      <c r="D204" s="11"/>
      <c r="E204" s="11"/>
      <c r="F204" s="11"/>
      <c r="G204" s="11"/>
      <c r="L204" s="11"/>
      <c r="N204" s="12"/>
      <c r="O204" s="1" t="str">
        <f aca="false">IF(OR(D204="",G204=""),"",G204-D204)</f>
        <v/>
      </c>
    </row>
    <row r="205" customFormat="false" ht="15" hidden="false" customHeight="false" outlineLevel="0" collapsed="false">
      <c r="D205" s="11"/>
      <c r="E205" s="11"/>
      <c r="F205" s="11"/>
      <c r="G205" s="11"/>
      <c r="L205" s="11"/>
      <c r="N205" s="12"/>
      <c r="O205" s="1" t="str">
        <f aca="false">IF(OR(D205="",G205=""),"",G205-D205)</f>
        <v/>
      </c>
    </row>
    <row r="206" customFormat="false" ht="15" hidden="false" customHeight="false" outlineLevel="0" collapsed="false">
      <c r="D206" s="11"/>
      <c r="E206" s="11"/>
      <c r="F206" s="11"/>
      <c r="G206" s="11"/>
      <c r="L206" s="11"/>
      <c r="N206" s="12"/>
      <c r="O206" s="1" t="str">
        <f aca="false">IF(OR(D206="",G206=""),"",G206-D206)</f>
        <v/>
      </c>
    </row>
    <row r="207" customFormat="false" ht="15" hidden="false" customHeight="false" outlineLevel="0" collapsed="false">
      <c r="D207" s="11"/>
      <c r="E207" s="11"/>
      <c r="F207" s="11"/>
      <c r="G207" s="11"/>
      <c r="L207" s="11"/>
      <c r="N207" s="12"/>
      <c r="O207" s="1" t="str">
        <f aca="false">IF(OR(D207="",G207=""),"",G207-D207)</f>
        <v/>
      </c>
    </row>
    <row r="208" customFormat="false" ht="15" hidden="false" customHeight="false" outlineLevel="0" collapsed="false">
      <c r="D208" s="11"/>
      <c r="E208" s="11"/>
      <c r="F208" s="11"/>
      <c r="G208" s="11"/>
      <c r="L208" s="11"/>
      <c r="N208" s="12"/>
      <c r="O208" s="1" t="str">
        <f aca="false">IF(OR(D208="",G208=""),"",G208-D208)</f>
        <v/>
      </c>
    </row>
    <row r="209" customFormat="false" ht="15" hidden="false" customHeight="false" outlineLevel="0" collapsed="false">
      <c r="D209" s="11"/>
      <c r="E209" s="11"/>
      <c r="F209" s="11"/>
      <c r="G209" s="11"/>
      <c r="L209" s="11"/>
      <c r="N209" s="12"/>
      <c r="O209" s="1" t="str">
        <f aca="false">IF(OR(D209="",G209=""),"",G209-D209)</f>
        <v/>
      </c>
    </row>
    <row r="210" customFormat="false" ht="15" hidden="false" customHeight="false" outlineLevel="0" collapsed="false">
      <c r="D210" s="11"/>
      <c r="E210" s="11"/>
      <c r="F210" s="11"/>
      <c r="G210" s="11"/>
      <c r="L210" s="11"/>
      <c r="N210" s="12"/>
      <c r="O210" s="1" t="str">
        <f aca="false">IF(OR(D210="",G210=""),"",G210-D210)</f>
        <v/>
      </c>
    </row>
    <row r="211" customFormat="false" ht="15" hidden="false" customHeight="false" outlineLevel="0" collapsed="false">
      <c r="D211" s="11"/>
      <c r="E211" s="11"/>
      <c r="F211" s="11"/>
      <c r="G211" s="11"/>
      <c r="L211" s="11"/>
      <c r="N211" s="12"/>
      <c r="O211" s="1" t="str">
        <f aca="false">IF(OR(D211="",G211=""),"",G211-D211)</f>
        <v/>
      </c>
    </row>
    <row r="212" customFormat="false" ht="15" hidden="false" customHeight="false" outlineLevel="0" collapsed="false">
      <c r="D212" s="11"/>
      <c r="E212" s="11"/>
      <c r="F212" s="11"/>
      <c r="G212" s="11"/>
      <c r="L212" s="11"/>
      <c r="N212" s="12"/>
      <c r="O212" s="1" t="str">
        <f aca="false">IF(OR(D212="",G212=""),"",G212-D212)</f>
        <v/>
      </c>
    </row>
    <row r="213" customFormat="false" ht="15" hidden="false" customHeight="false" outlineLevel="0" collapsed="false">
      <c r="D213" s="11"/>
      <c r="E213" s="11"/>
      <c r="F213" s="11"/>
      <c r="G213" s="11"/>
      <c r="L213" s="11"/>
      <c r="N213" s="12"/>
      <c r="O213" s="1" t="str">
        <f aca="false">IF(OR(D213="",G213=""),"",G213-D213)</f>
        <v/>
      </c>
    </row>
    <row r="214" customFormat="false" ht="15" hidden="false" customHeight="false" outlineLevel="0" collapsed="false">
      <c r="D214" s="11"/>
      <c r="E214" s="11"/>
      <c r="F214" s="11"/>
      <c r="G214" s="11"/>
      <c r="L214" s="11"/>
      <c r="N214" s="12"/>
      <c r="O214" s="1" t="str">
        <f aca="false">IF(OR(D214="",G214=""),"",G214-D214)</f>
        <v/>
      </c>
    </row>
    <row r="215" customFormat="false" ht="15" hidden="false" customHeight="false" outlineLevel="0" collapsed="false">
      <c r="D215" s="11"/>
      <c r="E215" s="11"/>
      <c r="F215" s="11"/>
      <c r="G215" s="11"/>
      <c r="L215" s="11"/>
      <c r="N215" s="12"/>
      <c r="O215" s="1" t="str">
        <f aca="false">IF(OR(D215="",G215=""),"",G215-D215)</f>
        <v/>
      </c>
    </row>
    <row r="216" customFormat="false" ht="15" hidden="false" customHeight="false" outlineLevel="0" collapsed="false">
      <c r="D216" s="11"/>
      <c r="E216" s="11"/>
      <c r="F216" s="11"/>
      <c r="G216" s="11"/>
      <c r="L216" s="11"/>
      <c r="N216" s="12"/>
      <c r="O216" s="1" t="str">
        <f aca="false">IF(OR(D216="",G216=""),"",G216-D216)</f>
        <v/>
      </c>
    </row>
    <row r="217" customFormat="false" ht="15" hidden="false" customHeight="false" outlineLevel="0" collapsed="false">
      <c r="D217" s="11"/>
      <c r="E217" s="11"/>
      <c r="F217" s="11"/>
      <c r="G217" s="11"/>
      <c r="L217" s="11"/>
      <c r="N217" s="12"/>
      <c r="O217" s="1" t="str">
        <f aca="false">IF(OR(D217="",G217=""),"",G217-D217)</f>
        <v/>
      </c>
    </row>
    <row r="218" customFormat="false" ht="15" hidden="false" customHeight="false" outlineLevel="0" collapsed="false">
      <c r="D218" s="11"/>
      <c r="E218" s="11"/>
      <c r="F218" s="11"/>
      <c r="G218" s="11"/>
      <c r="L218" s="11"/>
      <c r="N218" s="12"/>
      <c r="O218" s="1" t="str">
        <f aca="false">IF(OR(D218="",G218=""),"",G218-D218)</f>
        <v/>
      </c>
    </row>
    <row r="219" customFormat="false" ht="15" hidden="false" customHeight="false" outlineLevel="0" collapsed="false">
      <c r="D219" s="11"/>
      <c r="E219" s="11"/>
      <c r="F219" s="11"/>
      <c r="G219" s="11"/>
      <c r="L219" s="11"/>
      <c r="N219" s="12"/>
      <c r="O219" s="1" t="str">
        <f aca="false">IF(OR(D219="",G219=""),"",G219-D219)</f>
        <v/>
      </c>
    </row>
    <row r="220" customFormat="false" ht="15" hidden="false" customHeight="false" outlineLevel="0" collapsed="false">
      <c r="D220" s="11"/>
      <c r="E220" s="11"/>
      <c r="F220" s="11"/>
      <c r="G220" s="11"/>
      <c r="L220" s="11"/>
      <c r="N220" s="12"/>
      <c r="O220" s="1" t="str">
        <f aca="false">IF(OR(D220="",G220=""),"",G220-D220)</f>
        <v/>
      </c>
    </row>
    <row r="221" customFormat="false" ht="15" hidden="false" customHeight="false" outlineLevel="0" collapsed="false">
      <c r="D221" s="11"/>
      <c r="E221" s="11"/>
      <c r="F221" s="11"/>
      <c r="G221" s="11"/>
      <c r="L221" s="11"/>
      <c r="N221" s="12"/>
      <c r="O221" s="1" t="str">
        <f aca="false">IF(OR(D221="",G221=""),"",G221-D221)</f>
        <v/>
      </c>
    </row>
    <row r="222" customFormat="false" ht="15" hidden="false" customHeight="false" outlineLevel="0" collapsed="false">
      <c r="D222" s="11"/>
      <c r="E222" s="11"/>
      <c r="F222" s="11"/>
      <c r="G222" s="11"/>
      <c r="L222" s="11"/>
      <c r="N222" s="12"/>
      <c r="O222" s="1" t="str">
        <f aca="false">IF(OR(D222="",G222=""),"",G222-D222)</f>
        <v/>
      </c>
    </row>
    <row r="223" customFormat="false" ht="15" hidden="false" customHeight="false" outlineLevel="0" collapsed="false">
      <c r="D223" s="11"/>
      <c r="E223" s="11"/>
      <c r="F223" s="11"/>
      <c r="G223" s="11"/>
      <c r="L223" s="11"/>
      <c r="N223" s="12"/>
      <c r="O223" s="1" t="str">
        <f aca="false">IF(OR(D223="",G223=""),"",G223-D223)</f>
        <v/>
      </c>
    </row>
    <row r="224" customFormat="false" ht="15" hidden="false" customHeight="false" outlineLevel="0" collapsed="false">
      <c r="D224" s="11"/>
      <c r="E224" s="11"/>
      <c r="F224" s="11"/>
      <c r="G224" s="11"/>
      <c r="L224" s="11"/>
      <c r="N224" s="12"/>
      <c r="O224" s="1" t="str">
        <f aca="false">IF(OR(D224="",G224=""),"",G224-D224)</f>
        <v/>
      </c>
    </row>
    <row r="225" customFormat="false" ht="15" hidden="false" customHeight="false" outlineLevel="0" collapsed="false">
      <c r="D225" s="11"/>
      <c r="E225" s="11"/>
      <c r="F225" s="11"/>
      <c r="G225" s="11"/>
      <c r="L225" s="11"/>
      <c r="N225" s="12"/>
      <c r="O225" s="1" t="str">
        <f aca="false">IF(OR(D225="",G225=""),"",G225-D225)</f>
        <v/>
      </c>
    </row>
    <row r="226" customFormat="false" ht="15" hidden="false" customHeight="false" outlineLevel="0" collapsed="false">
      <c r="D226" s="11"/>
      <c r="E226" s="11"/>
      <c r="F226" s="11"/>
      <c r="G226" s="11"/>
      <c r="L226" s="11"/>
      <c r="N226" s="12"/>
      <c r="O226" s="1" t="str">
        <f aca="false">IF(OR(D226="",G226=""),"",G226-D226)</f>
        <v/>
      </c>
    </row>
    <row r="227" customFormat="false" ht="15" hidden="false" customHeight="false" outlineLevel="0" collapsed="false">
      <c r="D227" s="11"/>
      <c r="E227" s="11"/>
      <c r="F227" s="11"/>
      <c r="G227" s="11"/>
      <c r="L227" s="11"/>
      <c r="N227" s="12"/>
      <c r="O227" s="1" t="str">
        <f aca="false">IF(OR(D227="",G227=""),"",G227-D227)</f>
        <v/>
      </c>
    </row>
    <row r="228" customFormat="false" ht="15" hidden="false" customHeight="false" outlineLevel="0" collapsed="false">
      <c r="D228" s="11"/>
      <c r="E228" s="11"/>
      <c r="F228" s="11"/>
      <c r="G228" s="11"/>
      <c r="L228" s="11"/>
      <c r="N228" s="12"/>
      <c r="O228" s="1" t="str">
        <f aca="false">IF(OR(D228="",G228=""),"",G228-D228)</f>
        <v/>
      </c>
    </row>
    <row r="229" customFormat="false" ht="15" hidden="false" customHeight="false" outlineLevel="0" collapsed="false">
      <c r="D229" s="11"/>
      <c r="E229" s="11"/>
      <c r="F229" s="11"/>
      <c r="G229" s="11"/>
      <c r="L229" s="11"/>
      <c r="N229" s="12"/>
      <c r="O229" s="1" t="str">
        <f aca="false">IF(OR(D229="",G229=""),"",G229-D229)</f>
        <v/>
      </c>
    </row>
    <row r="230" customFormat="false" ht="15" hidden="false" customHeight="false" outlineLevel="0" collapsed="false">
      <c r="D230" s="11"/>
      <c r="E230" s="11"/>
      <c r="F230" s="11"/>
      <c r="G230" s="11"/>
      <c r="L230" s="11"/>
      <c r="N230" s="12"/>
      <c r="O230" s="1" t="str">
        <f aca="false">IF(OR(D230="",G230=""),"",G230-D230)</f>
        <v/>
      </c>
    </row>
    <row r="231" customFormat="false" ht="15" hidden="false" customHeight="false" outlineLevel="0" collapsed="false">
      <c r="D231" s="11"/>
      <c r="E231" s="11"/>
      <c r="F231" s="11"/>
      <c r="G231" s="11"/>
      <c r="L231" s="11"/>
      <c r="N231" s="12"/>
      <c r="O231" s="1" t="str">
        <f aca="false">IF(OR(D231="",G231=""),"",G231-D231)</f>
        <v/>
      </c>
    </row>
    <row r="232" customFormat="false" ht="15" hidden="false" customHeight="false" outlineLevel="0" collapsed="false">
      <c r="D232" s="11"/>
      <c r="E232" s="11"/>
      <c r="F232" s="11"/>
      <c r="G232" s="11"/>
      <c r="L232" s="11"/>
      <c r="N232" s="12"/>
      <c r="O232" s="1" t="str">
        <f aca="false">IF(OR(D232="",G232=""),"",G232-D232)</f>
        <v/>
      </c>
    </row>
    <row r="233" customFormat="false" ht="15" hidden="false" customHeight="false" outlineLevel="0" collapsed="false">
      <c r="D233" s="11"/>
      <c r="E233" s="11"/>
      <c r="F233" s="11"/>
      <c r="G233" s="11"/>
      <c r="L233" s="11"/>
      <c r="N233" s="12"/>
      <c r="O233" s="1" t="str">
        <f aca="false">IF(OR(D233="",G233=""),"",G233-D233)</f>
        <v/>
      </c>
    </row>
    <row r="234" customFormat="false" ht="15" hidden="false" customHeight="false" outlineLevel="0" collapsed="false">
      <c r="D234" s="11"/>
      <c r="E234" s="11"/>
      <c r="F234" s="11"/>
      <c r="G234" s="11"/>
      <c r="L234" s="11"/>
      <c r="N234" s="12"/>
      <c r="O234" s="1" t="str">
        <f aca="false">IF(OR(D234="",G234=""),"",G234-D234)</f>
        <v/>
      </c>
    </row>
    <row r="235" customFormat="false" ht="15" hidden="false" customHeight="false" outlineLevel="0" collapsed="false">
      <c r="D235" s="11"/>
      <c r="E235" s="11"/>
      <c r="F235" s="11"/>
      <c r="G235" s="11"/>
      <c r="L235" s="11"/>
      <c r="N235" s="12"/>
      <c r="O235" s="1" t="str">
        <f aca="false">IF(OR(D235="",G235=""),"",G235-D235)</f>
        <v/>
      </c>
    </row>
    <row r="236" customFormat="false" ht="15" hidden="false" customHeight="false" outlineLevel="0" collapsed="false">
      <c r="D236" s="11"/>
      <c r="E236" s="11"/>
      <c r="F236" s="11"/>
      <c r="G236" s="11"/>
      <c r="L236" s="11"/>
      <c r="N236" s="12"/>
      <c r="O236" s="1" t="str">
        <f aca="false">IF(OR(D236="",G236=""),"",G236-D236)</f>
        <v/>
      </c>
    </row>
    <row r="237" customFormat="false" ht="15" hidden="false" customHeight="false" outlineLevel="0" collapsed="false">
      <c r="D237" s="11"/>
      <c r="E237" s="11"/>
      <c r="F237" s="11"/>
      <c r="G237" s="11"/>
      <c r="L237" s="11"/>
      <c r="N237" s="12"/>
      <c r="O237" s="1" t="str">
        <f aca="false">IF(OR(D237="",G237=""),"",G237-D237)</f>
        <v/>
      </c>
    </row>
    <row r="238" customFormat="false" ht="15" hidden="false" customHeight="false" outlineLevel="0" collapsed="false">
      <c r="D238" s="11"/>
      <c r="E238" s="11"/>
      <c r="F238" s="11"/>
      <c r="G238" s="11"/>
      <c r="L238" s="11"/>
      <c r="N238" s="12"/>
      <c r="O238" s="1" t="str">
        <f aca="false">IF(OR(D238="",G238=""),"",G238-D238)</f>
        <v/>
      </c>
    </row>
    <row r="239" customFormat="false" ht="15" hidden="false" customHeight="false" outlineLevel="0" collapsed="false">
      <c r="D239" s="11"/>
      <c r="E239" s="11"/>
      <c r="F239" s="11"/>
      <c r="G239" s="11"/>
      <c r="L239" s="11"/>
      <c r="N239" s="12"/>
      <c r="O239" s="1" t="str">
        <f aca="false">IF(OR(D239="",G239=""),"",G239-D239)</f>
        <v/>
      </c>
    </row>
    <row r="240" customFormat="false" ht="15" hidden="false" customHeight="false" outlineLevel="0" collapsed="false">
      <c r="D240" s="11"/>
      <c r="E240" s="11"/>
      <c r="F240" s="11"/>
      <c r="G240" s="11"/>
      <c r="L240" s="11"/>
      <c r="N240" s="12"/>
      <c r="O240" s="1" t="str">
        <f aca="false">IF(OR(D240="",G240=""),"",G240-D240)</f>
        <v/>
      </c>
    </row>
    <row r="241" customFormat="false" ht="15" hidden="false" customHeight="false" outlineLevel="0" collapsed="false">
      <c r="D241" s="11"/>
      <c r="E241" s="11"/>
      <c r="F241" s="11"/>
      <c r="G241" s="11"/>
      <c r="L241" s="11"/>
      <c r="N241" s="12"/>
      <c r="O241" s="1" t="str">
        <f aca="false">IF(OR(D241="",G241=""),"",G241-D241)</f>
        <v/>
      </c>
    </row>
    <row r="242" customFormat="false" ht="15" hidden="false" customHeight="false" outlineLevel="0" collapsed="false">
      <c r="D242" s="11"/>
      <c r="E242" s="11"/>
      <c r="F242" s="11"/>
      <c r="G242" s="11"/>
      <c r="L242" s="11"/>
      <c r="N242" s="12"/>
      <c r="O242" s="1" t="str">
        <f aca="false">IF(OR(D242="",G242=""),"",G242-D242)</f>
        <v/>
      </c>
    </row>
    <row r="243" customFormat="false" ht="15" hidden="false" customHeight="false" outlineLevel="0" collapsed="false">
      <c r="D243" s="11"/>
      <c r="E243" s="11"/>
      <c r="F243" s="11"/>
      <c r="G243" s="11"/>
      <c r="L243" s="11"/>
      <c r="N243" s="12"/>
      <c r="O243" s="1" t="str">
        <f aca="false">IF(OR(D243="",G243=""),"",G243-D243)</f>
        <v/>
      </c>
    </row>
    <row r="244" customFormat="false" ht="15" hidden="false" customHeight="false" outlineLevel="0" collapsed="false">
      <c r="D244" s="11"/>
      <c r="E244" s="11"/>
      <c r="F244" s="11"/>
      <c r="G244" s="11"/>
      <c r="L244" s="11"/>
      <c r="N244" s="12"/>
      <c r="O244" s="1" t="str">
        <f aca="false">IF(OR(D244="",G244=""),"",G244-D244)</f>
        <v/>
      </c>
    </row>
    <row r="245" customFormat="false" ht="15" hidden="false" customHeight="false" outlineLevel="0" collapsed="false">
      <c r="D245" s="11"/>
      <c r="E245" s="11"/>
      <c r="F245" s="11"/>
      <c r="G245" s="11"/>
      <c r="L245" s="11"/>
      <c r="N245" s="12"/>
      <c r="O245" s="1" t="str">
        <f aca="false">IF(OR(D245="",G245=""),"",G245-D245)</f>
        <v/>
      </c>
    </row>
    <row r="246" customFormat="false" ht="15" hidden="false" customHeight="false" outlineLevel="0" collapsed="false">
      <c r="D246" s="11"/>
      <c r="E246" s="11"/>
      <c r="F246" s="11"/>
      <c r="G246" s="11"/>
      <c r="L246" s="11"/>
      <c r="N246" s="12"/>
      <c r="O246" s="1" t="str">
        <f aca="false">IF(OR(D246="",G246=""),"",G246-D246)</f>
        <v/>
      </c>
    </row>
    <row r="247" customFormat="false" ht="15" hidden="false" customHeight="false" outlineLevel="0" collapsed="false">
      <c r="D247" s="11"/>
      <c r="E247" s="11"/>
      <c r="F247" s="11"/>
      <c r="G247" s="11"/>
      <c r="L247" s="11"/>
      <c r="N247" s="12"/>
      <c r="O247" s="1" t="str">
        <f aca="false">IF(OR(D247="",G247=""),"",G247-D247)</f>
        <v/>
      </c>
    </row>
    <row r="248" customFormat="false" ht="15" hidden="false" customHeight="false" outlineLevel="0" collapsed="false">
      <c r="D248" s="11"/>
      <c r="E248" s="11"/>
      <c r="F248" s="11"/>
      <c r="G248" s="11"/>
      <c r="L248" s="11"/>
      <c r="N248" s="12"/>
      <c r="O248" s="1" t="str">
        <f aca="false">IF(OR(D248="",G248=""),"",G248-D248)</f>
        <v/>
      </c>
    </row>
    <row r="249" customFormat="false" ht="15" hidden="false" customHeight="false" outlineLevel="0" collapsed="false">
      <c r="D249" s="11"/>
      <c r="E249" s="11"/>
      <c r="F249" s="11"/>
      <c r="G249" s="11"/>
      <c r="L249" s="11"/>
      <c r="N249" s="12"/>
      <c r="O249" s="1" t="str">
        <f aca="false">IF(OR(D249="",G249=""),"",G249-D249)</f>
        <v/>
      </c>
    </row>
    <row r="250" customFormat="false" ht="15" hidden="false" customHeight="false" outlineLevel="0" collapsed="false">
      <c r="D250" s="11"/>
      <c r="E250" s="11"/>
      <c r="F250" s="11"/>
      <c r="G250" s="11"/>
      <c r="L250" s="11"/>
      <c r="N250" s="12"/>
      <c r="O250" s="1" t="str">
        <f aca="false">IF(OR(D250="",G250=""),"",G250-D250)</f>
        <v/>
      </c>
    </row>
    <row r="251" customFormat="false" ht="15" hidden="false" customHeight="false" outlineLevel="0" collapsed="false">
      <c r="D251" s="11"/>
      <c r="E251" s="11"/>
      <c r="F251" s="11"/>
      <c r="G251" s="11"/>
      <c r="L251" s="11"/>
      <c r="N251" s="12"/>
      <c r="O251" s="1" t="str">
        <f aca="false">IF(OR(D251="",G251=""),"",G251-D251)</f>
        <v/>
      </c>
    </row>
    <row r="252" customFormat="false" ht="15" hidden="false" customHeight="false" outlineLevel="0" collapsed="false">
      <c r="D252" s="11"/>
      <c r="E252" s="11"/>
      <c r="F252" s="11"/>
      <c r="G252" s="11"/>
      <c r="L252" s="11"/>
      <c r="N252" s="12"/>
      <c r="O252" s="1" t="str">
        <f aca="false">IF(OR(D252="",G252=""),"",G252-D252)</f>
        <v/>
      </c>
    </row>
    <row r="253" customFormat="false" ht="15" hidden="false" customHeight="false" outlineLevel="0" collapsed="false">
      <c r="D253" s="11"/>
      <c r="E253" s="11"/>
      <c r="F253" s="11"/>
      <c r="G253" s="11"/>
      <c r="L253" s="11"/>
      <c r="N253" s="12"/>
      <c r="O253" s="1" t="str">
        <f aca="false">IF(OR(D253="",G253=""),"",G253-D253)</f>
        <v/>
      </c>
    </row>
    <row r="254" customFormat="false" ht="15" hidden="false" customHeight="false" outlineLevel="0" collapsed="false">
      <c r="D254" s="11"/>
      <c r="E254" s="11"/>
      <c r="F254" s="11"/>
      <c r="G254" s="11"/>
      <c r="L254" s="11"/>
      <c r="N254" s="12"/>
      <c r="O254" s="1" t="str">
        <f aca="false">IF(OR(D254="",G254=""),"",G254-D254)</f>
        <v/>
      </c>
    </row>
    <row r="255" customFormat="false" ht="15" hidden="false" customHeight="false" outlineLevel="0" collapsed="false">
      <c r="D255" s="11"/>
      <c r="E255" s="11"/>
      <c r="F255" s="11"/>
      <c r="G255" s="11"/>
      <c r="L255" s="11"/>
      <c r="N255" s="12"/>
      <c r="O255" s="1" t="str">
        <f aca="false">IF(OR(D255="",G255=""),"",G255-D255)</f>
        <v/>
      </c>
    </row>
    <row r="256" customFormat="false" ht="15" hidden="false" customHeight="false" outlineLevel="0" collapsed="false">
      <c r="D256" s="11"/>
      <c r="E256" s="11"/>
      <c r="F256" s="11"/>
      <c r="G256" s="11"/>
      <c r="L256" s="11"/>
      <c r="N256" s="12"/>
      <c r="O256" s="1" t="str">
        <f aca="false">IF(OR(D256="",G256=""),"",G256-D256)</f>
        <v/>
      </c>
    </row>
    <row r="257" customFormat="false" ht="15" hidden="false" customHeight="false" outlineLevel="0" collapsed="false">
      <c r="D257" s="11"/>
      <c r="E257" s="11"/>
      <c r="F257" s="11"/>
      <c r="G257" s="11"/>
      <c r="L257" s="11"/>
      <c r="N257" s="12"/>
      <c r="O257" s="1" t="str">
        <f aca="false">IF(OR(D257="",G257=""),"",G257-D257)</f>
        <v/>
      </c>
    </row>
    <row r="258" customFormat="false" ht="15" hidden="false" customHeight="false" outlineLevel="0" collapsed="false">
      <c r="D258" s="11"/>
      <c r="E258" s="11"/>
      <c r="F258" s="11"/>
      <c r="G258" s="11"/>
      <c r="L258" s="11"/>
      <c r="N258" s="12"/>
      <c r="O258" s="1" t="str">
        <f aca="false">IF(OR(D258="",G258=""),"",G258-D258)</f>
        <v/>
      </c>
    </row>
    <row r="259" customFormat="false" ht="15" hidden="false" customHeight="false" outlineLevel="0" collapsed="false">
      <c r="D259" s="11"/>
      <c r="E259" s="11"/>
      <c r="F259" s="11"/>
      <c r="G259" s="11"/>
      <c r="L259" s="11"/>
      <c r="N259" s="12"/>
      <c r="O259" s="1" t="str">
        <f aca="false">IF(OR(D259="",G259=""),"",G259-D259)</f>
        <v/>
      </c>
    </row>
    <row r="260" customFormat="false" ht="15" hidden="false" customHeight="false" outlineLevel="0" collapsed="false">
      <c r="D260" s="11"/>
      <c r="E260" s="11"/>
      <c r="F260" s="11"/>
      <c r="G260" s="11"/>
      <c r="L260" s="11"/>
      <c r="N260" s="12"/>
      <c r="O260" s="1" t="str">
        <f aca="false">IF(OR(D260="",G260=""),"",G260-D260)</f>
        <v/>
      </c>
    </row>
    <row r="261" customFormat="false" ht="15" hidden="false" customHeight="false" outlineLevel="0" collapsed="false">
      <c r="D261" s="11"/>
      <c r="E261" s="11"/>
      <c r="F261" s="11"/>
      <c r="G261" s="11"/>
      <c r="L261" s="11"/>
      <c r="N261" s="12"/>
      <c r="O261" s="1" t="str">
        <f aca="false">IF(OR(D261="",G261=""),"",G261-D261)</f>
        <v/>
      </c>
    </row>
    <row r="262" customFormat="false" ht="15" hidden="false" customHeight="false" outlineLevel="0" collapsed="false">
      <c r="D262" s="11"/>
      <c r="E262" s="11"/>
      <c r="F262" s="11"/>
      <c r="G262" s="11"/>
      <c r="L262" s="11"/>
      <c r="N262" s="12"/>
      <c r="O262" s="1" t="str">
        <f aca="false">IF(OR(D262="",G262=""),"",G262-D262)</f>
        <v/>
      </c>
    </row>
    <row r="263" customFormat="false" ht="15" hidden="false" customHeight="false" outlineLevel="0" collapsed="false">
      <c r="D263" s="11"/>
      <c r="E263" s="11"/>
      <c r="F263" s="11"/>
      <c r="G263" s="11"/>
      <c r="L263" s="11"/>
      <c r="N263" s="12"/>
      <c r="O263" s="1" t="str">
        <f aca="false">IF(OR(D263="",G263=""),"",G263-D263)</f>
        <v/>
      </c>
    </row>
    <row r="264" customFormat="false" ht="15" hidden="false" customHeight="false" outlineLevel="0" collapsed="false">
      <c r="D264" s="11"/>
      <c r="E264" s="11"/>
      <c r="F264" s="11"/>
      <c r="G264" s="11"/>
      <c r="L264" s="11"/>
      <c r="N264" s="12"/>
      <c r="O264" s="1" t="str">
        <f aca="false">IF(OR(D264="",G264=""),"",G264-D264)</f>
        <v/>
      </c>
    </row>
    <row r="265" customFormat="false" ht="15" hidden="false" customHeight="false" outlineLevel="0" collapsed="false">
      <c r="D265" s="11"/>
      <c r="E265" s="11"/>
      <c r="F265" s="11"/>
      <c r="G265" s="11"/>
      <c r="L265" s="11"/>
      <c r="N265" s="12"/>
      <c r="O265" s="1" t="str">
        <f aca="false">IF(OR(D265="",G265=""),"",G265-D265)</f>
        <v/>
      </c>
    </row>
    <row r="266" customFormat="false" ht="15" hidden="false" customHeight="false" outlineLevel="0" collapsed="false">
      <c r="D266" s="11"/>
      <c r="E266" s="11"/>
      <c r="F266" s="11"/>
      <c r="G266" s="11"/>
      <c r="L266" s="11"/>
      <c r="N266" s="12"/>
      <c r="O266" s="1" t="str">
        <f aca="false">IF(OR(D266="",G266=""),"",G266-D266)</f>
        <v/>
      </c>
    </row>
    <row r="267" customFormat="false" ht="15" hidden="false" customHeight="false" outlineLevel="0" collapsed="false">
      <c r="D267" s="11"/>
      <c r="E267" s="11"/>
      <c r="F267" s="11"/>
      <c r="G267" s="11"/>
      <c r="L267" s="11"/>
      <c r="N267" s="12"/>
      <c r="O267" s="1" t="str">
        <f aca="false">IF(OR(D267="",G267=""),"",G267-D267)</f>
        <v/>
      </c>
    </row>
    <row r="268" customFormat="false" ht="15" hidden="false" customHeight="false" outlineLevel="0" collapsed="false">
      <c r="D268" s="11"/>
      <c r="E268" s="11"/>
      <c r="F268" s="11"/>
      <c r="G268" s="11"/>
      <c r="L268" s="11"/>
      <c r="N268" s="12"/>
      <c r="O268" s="1" t="str">
        <f aca="false">IF(OR(D268="",G268=""),"",G268-D268)</f>
        <v/>
      </c>
    </row>
    <row r="269" customFormat="false" ht="15" hidden="false" customHeight="false" outlineLevel="0" collapsed="false">
      <c r="D269" s="11"/>
      <c r="E269" s="11"/>
      <c r="F269" s="11"/>
      <c r="G269" s="11"/>
      <c r="L269" s="11"/>
      <c r="N269" s="12"/>
      <c r="O269" s="1" t="str">
        <f aca="false">IF(OR(D269="",G269=""),"",G269-D269)</f>
        <v/>
      </c>
    </row>
    <row r="270" customFormat="false" ht="15" hidden="false" customHeight="false" outlineLevel="0" collapsed="false">
      <c r="D270" s="11"/>
      <c r="E270" s="11"/>
      <c r="F270" s="11"/>
      <c r="G270" s="11"/>
      <c r="L270" s="11"/>
      <c r="N270" s="12"/>
      <c r="O270" s="1" t="str">
        <f aca="false">IF(OR(D270="",G270=""),"",G270-D270)</f>
        <v/>
      </c>
    </row>
    <row r="271" customFormat="false" ht="15" hidden="false" customHeight="false" outlineLevel="0" collapsed="false">
      <c r="D271" s="11"/>
      <c r="E271" s="11"/>
      <c r="F271" s="11"/>
      <c r="G271" s="11"/>
      <c r="L271" s="11"/>
      <c r="N271" s="12"/>
      <c r="O271" s="1" t="str">
        <f aca="false">IF(OR(D271="",G271=""),"",G271-D271)</f>
        <v/>
      </c>
    </row>
    <row r="272" customFormat="false" ht="15" hidden="false" customHeight="false" outlineLevel="0" collapsed="false">
      <c r="D272" s="11"/>
      <c r="E272" s="11"/>
      <c r="F272" s="11"/>
      <c r="G272" s="11"/>
      <c r="L272" s="11"/>
      <c r="N272" s="12"/>
      <c r="O272" s="1" t="str">
        <f aca="false">IF(OR(D272="",G272=""),"",G272-D272)</f>
        <v/>
      </c>
    </row>
    <row r="273" customFormat="false" ht="15" hidden="false" customHeight="false" outlineLevel="0" collapsed="false">
      <c r="D273" s="11"/>
      <c r="E273" s="11"/>
      <c r="F273" s="11"/>
      <c r="G273" s="11"/>
      <c r="L273" s="11"/>
      <c r="N273" s="12"/>
      <c r="O273" s="1" t="str">
        <f aca="false">IF(OR(D273="",G273=""),"",G273-D273)</f>
        <v/>
      </c>
    </row>
    <row r="274" customFormat="false" ht="15" hidden="false" customHeight="false" outlineLevel="0" collapsed="false">
      <c r="D274" s="11"/>
      <c r="E274" s="11"/>
      <c r="F274" s="11"/>
      <c r="G274" s="11"/>
      <c r="L274" s="11"/>
      <c r="N274" s="12"/>
      <c r="O274" s="1" t="str">
        <f aca="false">IF(OR(D274="",G274=""),"",G274-D274)</f>
        <v/>
      </c>
    </row>
    <row r="275" customFormat="false" ht="15" hidden="false" customHeight="false" outlineLevel="0" collapsed="false">
      <c r="D275" s="11"/>
      <c r="E275" s="11"/>
      <c r="F275" s="11"/>
      <c r="G275" s="11"/>
      <c r="L275" s="11"/>
      <c r="N275" s="12"/>
      <c r="O275" s="1" t="str">
        <f aca="false">IF(OR(D275="",G275=""),"",G275-D275)</f>
        <v/>
      </c>
    </row>
    <row r="276" customFormat="false" ht="15" hidden="false" customHeight="false" outlineLevel="0" collapsed="false">
      <c r="D276" s="11"/>
      <c r="E276" s="11"/>
      <c r="F276" s="11"/>
      <c r="G276" s="11"/>
      <c r="L276" s="11"/>
      <c r="N276" s="12"/>
      <c r="O276" s="1" t="str">
        <f aca="false">IF(OR(D276="",G276=""),"",G276-D276)</f>
        <v/>
      </c>
    </row>
    <row r="277" customFormat="false" ht="15" hidden="false" customHeight="false" outlineLevel="0" collapsed="false">
      <c r="D277" s="11"/>
      <c r="E277" s="11"/>
      <c r="F277" s="11"/>
      <c r="G277" s="11"/>
      <c r="L277" s="11"/>
      <c r="N277" s="12"/>
      <c r="O277" s="1" t="str">
        <f aca="false">IF(OR(D277="",G277=""),"",G277-D277)</f>
        <v/>
      </c>
    </row>
    <row r="278" customFormat="false" ht="15" hidden="false" customHeight="false" outlineLevel="0" collapsed="false">
      <c r="D278" s="11"/>
      <c r="E278" s="11"/>
      <c r="F278" s="11"/>
      <c r="G278" s="11"/>
      <c r="L278" s="11"/>
      <c r="N278" s="12"/>
      <c r="O278" s="1" t="str">
        <f aca="false">IF(OR(D278="",G278=""),"",G278-D278)</f>
        <v/>
      </c>
    </row>
    <row r="279" customFormat="false" ht="15" hidden="false" customHeight="false" outlineLevel="0" collapsed="false">
      <c r="D279" s="11"/>
      <c r="E279" s="11"/>
      <c r="F279" s="11"/>
      <c r="G279" s="11"/>
      <c r="L279" s="11"/>
      <c r="N279" s="12"/>
      <c r="O279" s="1" t="str">
        <f aca="false">IF(OR(D279="",G279=""),"",G279-D279)</f>
        <v/>
      </c>
    </row>
    <row r="280" customFormat="false" ht="15" hidden="false" customHeight="false" outlineLevel="0" collapsed="false">
      <c r="D280" s="11"/>
      <c r="E280" s="11"/>
      <c r="F280" s="11"/>
      <c r="G280" s="11"/>
      <c r="L280" s="11"/>
      <c r="N280" s="12"/>
      <c r="O280" s="1" t="str">
        <f aca="false">IF(OR(D280="",G280=""),"",G280-D280)</f>
        <v/>
      </c>
    </row>
    <row r="281" customFormat="false" ht="15" hidden="false" customHeight="false" outlineLevel="0" collapsed="false">
      <c r="D281" s="11"/>
      <c r="E281" s="11"/>
      <c r="F281" s="11"/>
      <c r="G281" s="11"/>
      <c r="L281" s="11"/>
      <c r="N281" s="12"/>
      <c r="O281" s="1" t="str">
        <f aca="false">IF(OR(D281="",G281=""),"",G281-D281)</f>
        <v/>
      </c>
    </row>
    <row r="282" customFormat="false" ht="15" hidden="false" customHeight="false" outlineLevel="0" collapsed="false">
      <c r="D282" s="11"/>
      <c r="E282" s="11"/>
      <c r="F282" s="11"/>
      <c r="G282" s="11"/>
      <c r="L282" s="11"/>
      <c r="N282" s="12"/>
      <c r="O282" s="1" t="str">
        <f aca="false">IF(OR(D282="",G282=""),"",G282-D282)</f>
        <v/>
      </c>
    </row>
    <row r="283" customFormat="false" ht="15" hidden="false" customHeight="false" outlineLevel="0" collapsed="false">
      <c r="D283" s="11"/>
      <c r="E283" s="11"/>
      <c r="F283" s="11"/>
      <c r="G283" s="11"/>
      <c r="L283" s="11"/>
      <c r="N283" s="12"/>
      <c r="O283" s="1" t="str">
        <f aca="false">IF(OR(D283="",G283=""),"",G283-D283)</f>
        <v/>
      </c>
    </row>
    <row r="284" customFormat="false" ht="15" hidden="false" customHeight="false" outlineLevel="0" collapsed="false">
      <c r="D284" s="11"/>
      <c r="E284" s="11"/>
      <c r="F284" s="11"/>
      <c r="G284" s="11"/>
      <c r="L284" s="11"/>
      <c r="N284" s="12"/>
      <c r="O284" s="1" t="str">
        <f aca="false">IF(OR(D284="",G284=""),"",G284-D284)</f>
        <v/>
      </c>
    </row>
    <row r="285" customFormat="false" ht="15" hidden="false" customHeight="false" outlineLevel="0" collapsed="false">
      <c r="D285" s="11"/>
      <c r="E285" s="11"/>
      <c r="F285" s="11"/>
      <c r="G285" s="11"/>
      <c r="L285" s="11"/>
      <c r="N285" s="12"/>
      <c r="O285" s="1" t="str">
        <f aca="false">IF(OR(D285="",G285=""),"",G285-D285)</f>
        <v/>
      </c>
    </row>
    <row r="286" customFormat="false" ht="15" hidden="false" customHeight="false" outlineLevel="0" collapsed="false">
      <c r="D286" s="11"/>
      <c r="E286" s="11"/>
      <c r="F286" s="11"/>
      <c r="G286" s="11"/>
      <c r="L286" s="11"/>
      <c r="N286" s="12"/>
      <c r="O286" s="1" t="str">
        <f aca="false">IF(OR(D286="",G286=""),"",G286-D286)</f>
        <v/>
      </c>
    </row>
    <row r="287" customFormat="false" ht="15" hidden="false" customHeight="false" outlineLevel="0" collapsed="false">
      <c r="D287" s="11"/>
      <c r="E287" s="11"/>
      <c r="F287" s="11"/>
      <c r="G287" s="11"/>
      <c r="L287" s="11"/>
      <c r="N287" s="12"/>
      <c r="O287" s="1" t="str">
        <f aca="false">IF(OR(D287="",G287=""),"",G287-D287)</f>
        <v/>
      </c>
    </row>
    <row r="288" customFormat="false" ht="15" hidden="false" customHeight="false" outlineLevel="0" collapsed="false">
      <c r="D288" s="11"/>
      <c r="E288" s="11"/>
      <c r="F288" s="11"/>
      <c r="G288" s="11"/>
      <c r="L288" s="11"/>
      <c r="N288" s="12"/>
      <c r="O288" s="1" t="str">
        <f aca="false">IF(OR(D288="",G288=""),"",G288-D288)</f>
        <v/>
      </c>
    </row>
    <row r="289" customFormat="false" ht="15" hidden="false" customHeight="false" outlineLevel="0" collapsed="false">
      <c r="D289" s="11"/>
      <c r="E289" s="11"/>
      <c r="F289" s="11"/>
      <c r="G289" s="11"/>
      <c r="L289" s="11"/>
      <c r="N289" s="12"/>
      <c r="O289" s="1" t="str">
        <f aca="false">IF(OR(D289="",G289=""),"",G289-D289)</f>
        <v/>
      </c>
    </row>
    <row r="290" customFormat="false" ht="15" hidden="false" customHeight="false" outlineLevel="0" collapsed="false">
      <c r="D290" s="11"/>
      <c r="E290" s="11"/>
      <c r="F290" s="11"/>
      <c r="G290" s="11"/>
      <c r="L290" s="11"/>
      <c r="N290" s="12"/>
      <c r="O290" s="1" t="str">
        <f aca="false">IF(OR(D290="",G290=""),"",G290-D290)</f>
        <v/>
      </c>
    </row>
    <row r="291" customFormat="false" ht="15" hidden="false" customHeight="false" outlineLevel="0" collapsed="false">
      <c r="D291" s="11"/>
      <c r="E291" s="11"/>
      <c r="F291" s="11"/>
      <c r="G291" s="11"/>
      <c r="L291" s="11"/>
      <c r="N291" s="12"/>
      <c r="O291" s="1" t="str">
        <f aca="false">IF(OR(D291="",G291=""),"",G291-D291)</f>
        <v/>
      </c>
    </row>
    <row r="292" customFormat="false" ht="15" hidden="false" customHeight="false" outlineLevel="0" collapsed="false">
      <c r="D292" s="11"/>
      <c r="E292" s="11"/>
      <c r="F292" s="11"/>
      <c r="G292" s="11"/>
      <c r="L292" s="11"/>
      <c r="N292" s="12"/>
      <c r="O292" s="1" t="str">
        <f aca="false">IF(OR(D292="",G292=""),"",G292-D292)</f>
        <v/>
      </c>
    </row>
    <row r="293" customFormat="false" ht="15" hidden="false" customHeight="false" outlineLevel="0" collapsed="false">
      <c r="D293" s="11"/>
      <c r="E293" s="11"/>
      <c r="F293" s="11"/>
      <c r="G293" s="11"/>
      <c r="L293" s="11"/>
      <c r="N293" s="12"/>
      <c r="O293" s="1" t="str">
        <f aca="false">IF(OR(D293="",G293=""),"",G293-D293)</f>
        <v/>
      </c>
    </row>
    <row r="294" customFormat="false" ht="15" hidden="false" customHeight="false" outlineLevel="0" collapsed="false">
      <c r="D294" s="11"/>
      <c r="E294" s="11"/>
      <c r="F294" s="11"/>
      <c r="G294" s="11"/>
      <c r="L294" s="11"/>
      <c r="N294" s="12"/>
      <c r="O294" s="1" t="str">
        <f aca="false">IF(OR(D294="",G294=""),"",G294-D294)</f>
        <v/>
      </c>
    </row>
    <row r="295" customFormat="false" ht="15" hidden="false" customHeight="false" outlineLevel="0" collapsed="false">
      <c r="D295" s="11"/>
      <c r="E295" s="11"/>
      <c r="F295" s="11"/>
      <c r="G295" s="11"/>
      <c r="L295" s="11"/>
      <c r="N295" s="12"/>
      <c r="O295" s="1" t="str">
        <f aca="false">IF(OR(D295="",G295=""),"",G295-D295)</f>
        <v/>
      </c>
    </row>
    <row r="296" customFormat="false" ht="15" hidden="false" customHeight="false" outlineLevel="0" collapsed="false">
      <c r="D296" s="11"/>
      <c r="E296" s="11"/>
      <c r="F296" s="11"/>
      <c r="G296" s="11"/>
      <c r="L296" s="11"/>
      <c r="N296" s="12"/>
      <c r="O296" s="1" t="str">
        <f aca="false">IF(OR(D296="",G296=""),"",G296-D296)</f>
        <v/>
      </c>
    </row>
    <row r="297" customFormat="false" ht="15" hidden="false" customHeight="false" outlineLevel="0" collapsed="false">
      <c r="D297" s="11"/>
      <c r="E297" s="11"/>
      <c r="F297" s="11"/>
      <c r="G297" s="11"/>
      <c r="L297" s="11"/>
      <c r="N297" s="12"/>
      <c r="O297" s="1" t="str">
        <f aca="false">IF(OR(D297="",G297=""),"",G297-D297)</f>
        <v/>
      </c>
    </row>
    <row r="298" customFormat="false" ht="15" hidden="false" customHeight="false" outlineLevel="0" collapsed="false">
      <c r="D298" s="11"/>
      <c r="E298" s="11"/>
      <c r="F298" s="11"/>
      <c r="G298" s="11"/>
      <c r="L298" s="11"/>
      <c r="N298" s="12"/>
      <c r="O298" s="1" t="str">
        <f aca="false">IF(OR(D298="",G298=""),"",G298-D298)</f>
        <v/>
      </c>
    </row>
    <row r="299" customFormat="false" ht="15" hidden="false" customHeight="false" outlineLevel="0" collapsed="false">
      <c r="D299" s="11"/>
      <c r="E299" s="11"/>
      <c r="F299" s="11"/>
      <c r="G299" s="11"/>
      <c r="L299" s="11"/>
      <c r="N299" s="12"/>
      <c r="O299" s="1" t="str">
        <f aca="false">IF(OR(D299="",G299=""),"",G299-D299)</f>
        <v/>
      </c>
    </row>
    <row r="300" customFormat="false" ht="15" hidden="false" customHeight="false" outlineLevel="0" collapsed="false">
      <c r="D300" s="11"/>
      <c r="E300" s="11"/>
      <c r="F300" s="11"/>
      <c r="G300" s="11"/>
      <c r="L300" s="11"/>
      <c r="N300" s="12"/>
      <c r="O300" s="1" t="str">
        <f aca="false">IF(OR(D300="",G300=""),"",G300-D300)</f>
        <v/>
      </c>
    </row>
    <row r="301" customFormat="false" ht="15" hidden="false" customHeight="false" outlineLevel="0" collapsed="false">
      <c r="D301" s="11"/>
      <c r="E301" s="11"/>
      <c r="F301" s="11"/>
      <c r="G301" s="11"/>
      <c r="L301" s="11"/>
      <c r="N301" s="12"/>
      <c r="O301" s="1" t="str">
        <f aca="false">IF(OR(D301="",G301=""),"",G301-D301)</f>
        <v/>
      </c>
    </row>
    <row r="302" customFormat="false" ht="15" hidden="false" customHeight="false" outlineLevel="0" collapsed="false">
      <c r="D302" s="11"/>
      <c r="E302" s="11"/>
      <c r="F302" s="11"/>
      <c r="G302" s="11"/>
      <c r="L302" s="11"/>
      <c r="N302" s="12"/>
      <c r="O302" s="1" t="str">
        <f aca="false">IF(OR(D302="",G302=""),"",G302-D302)</f>
        <v/>
      </c>
    </row>
    <row r="303" customFormat="false" ht="15" hidden="false" customHeight="false" outlineLevel="0" collapsed="false">
      <c r="D303" s="11"/>
      <c r="E303" s="11"/>
      <c r="F303" s="11"/>
      <c r="G303" s="11"/>
      <c r="L303" s="11"/>
      <c r="N303" s="12"/>
      <c r="O303" s="1" t="str">
        <f aca="false">IF(OR(D303="",G303=""),"",G303-D303)</f>
        <v/>
      </c>
    </row>
    <row r="304" customFormat="false" ht="15" hidden="false" customHeight="false" outlineLevel="0" collapsed="false">
      <c r="D304" s="11"/>
      <c r="E304" s="11"/>
      <c r="F304" s="11"/>
      <c r="G304" s="11"/>
      <c r="L304" s="11"/>
      <c r="N304" s="12"/>
      <c r="O304" s="1" t="str">
        <f aca="false">IF(OR(D304="",G304=""),"",G304-D304)</f>
        <v/>
      </c>
    </row>
    <row r="305" customFormat="false" ht="15" hidden="false" customHeight="false" outlineLevel="0" collapsed="false">
      <c r="D305" s="11"/>
      <c r="E305" s="11"/>
      <c r="F305" s="11"/>
      <c r="G305" s="11"/>
      <c r="L305" s="11"/>
      <c r="N305" s="12"/>
      <c r="O305" s="1" t="str">
        <f aca="false">IF(OR(D305="",G305=""),"",G305-D305)</f>
        <v/>
      </c>
    </row>
    <row r="306" customFormat="false" ht="15" hidden="false" customHeight="false" outlineLevel="0" collapsed="false">
      <c r="D306" s="11"/>
      <c r="E306" s="11"/>
      <c r="F306" s="11"/>
      <c r="G306" s="11"/>
      <c r="L306" s="11"/>
      <c r="N306" s="12"/>
      <c r="O306" s="1" t="str">
        <f aca="false">IF(OR(D306="",G306=""),"",G306-D306)</f>
        <v/>
      </c>
    </row>
    <row r="307" customFormat="false" ht="15" hidden="false" customHeight="false" outlineLevel="0" collapsed="false">
      <c r="D307" s="11"/>
      <c r="E307" s="11"/>
      <c r="F307" s="11"/>
      <c r="G307" s="11"/>
      <c r="L307" s="11"/>
      <c r="N307" s="12"/>
      <c r="O307" s="1" t="str">
        <f aca="false">IF(OR(D307="",G307=""),"",G307-D307)</f>
        <v/>
      </c>
    </row>
    <row r="308" customFormat="false" ht="15" hidden="false" customHeight="false" outlineLevel="0" collapsed="false">
      <c r="D308" s="11"/>
      <c r="E308" s="11"/>
      <c r="F308" s="11"/>
      <c r="G308" s="11"/>
      <c r="L308" s="11"/>
      <c r="N308" s="12"/>
      <c r="O308" s="1" t="str">
        <f aca="false">IF(OR(D308="",G308=""),"",G308-D308)</f>
        <v/>
      </c>
    </row>
    <row r="309" customFormat="false" ht="15" hidden="false" customHeight="false" outlineLevel="0" collapsed="false">
      <c r="D309" s="11"/>
      <c r="E309" s="11"/>
      <c r="F309" s="11"/>
      <c r="G309" s="11"/>
      <c r="L309" s="11"/>
      <c r="N309" s="12"/>
      <c r="O309" s="1" t="str">
        <f aca="false">IF(OR(D309="",G309=""),"",G309-D309)</f>
        <v/>
      </c>
    </row>
    <row r="310" customFormat="false" ht="15" hidden="false" customHeight="false" outlineLevel="0" collapsed="false">
      <c r="D310" s="11"/>
      <c r="E310" s="11"/>
      <c r="F310" s="11"/>
      <c r="G310" s="11"/>
      <c r="L310" s="11"/>
      <c r="N310" s="12"/>
      <c r="O310" s="1" t="str">
        <f aca="false">IF(OR(D310="",G310=""),"",G310-D310)</f>
        <v/>
      </c>
    </row>
    <row r="311" customFormat="false" ht="15" hidden="false" customHeight="false" outlineLevel="0" collapsed="false">
      <c r="D311" s="11"/>
      <c r="E311" s="11"/>
      <c r="F311" s="11"/>
      <c r="G311" s="11"/>
      <c r="L311" s="11"/>
      <c r="N311" s="12"/>
      <c r="O311" s="1" t="str">
        <f aca="false">IF(OR(D311="",G311=""),"",G311-D311)</f>
        <v/>
      </c>
    </row>
    <row r="312" customFormat="false" ht="15" hidden="false" customHeight="false" outlineLevel="0" collapsed="false">
      <c r="D312" s="11"/>
      <c r="E312" s="11"/>
      <c r="F312" s="11"/>
      <c r="G312" s="11"/>
      <c r="L312" s="11"/>
      <c r="N312" s="12"/>
      <c r="O312" s="1" t="str">
        <f aca="false">IF(OR(D312="",G312=""),"",G312-D312)</f>
        <v/>
      </c>
    </row>
    <row r="313" customFormat="false" ht="15" hidden="false" customHeight="false" outlineLevel="0" collapsed="false">
      <c r="D313" s="11"/>
      <c r="E313" s="11"/>
      <c r="F313" s="11"/>
      <c r="G313" s="11"/>
      <c r="L313" s="11"/>
      <c r="N313" s="12"/>
      <c r="O313" s="1" t="str">
        <f aca="false">IF(OR(D313="",G313=""),"",G313-D313)</f>
        <v/>
      </c>
    </row>
    <row r="314" customFormat="false" ht="15" hidden="false" customHeight="false" outlineLevel="0" collapsed="false">
      <c r="D314" s="11"/>
      <c r="E314" s="11"/>
      <c r="F314" s="11"/>
      <c r="G314" s="11"/>
      <c r="L314" s="11"/>
      <c r="N314" s="12"/>
      <c r="O314" s="1" t="str">
        <f aca="false">IF(OR(D314="",G314=""),"",G314-D314)</f>
        <v/>
      </c>
    </row>
    <row r="315" customFormat="false" ht="15" hidden="false" customHeight="false" outlineLevel="0" collapsed="false">
      <c r="D315" s="11"/>
      <c r="E315" s="11"/>
      <c r="F315" s="11"/>
      <c r="G315" s="11"/>
      <c r="L315" s="11"/>
      <c r="N315" s="12"/>
      <c r="O315" s="1" t="str">
        <f aca="false">IF(OR(D315="",G315=""),"",G315-D315)</f>
        <v/>
      </c>
    </row>
    <row r="316" customFormat="false" ht="15" hidden="false" customHeight="false" outlineLevel="0" collapsed="false">
      <c r="D316" s="11"/>
      <c r="E316" s="11"/>
      <c r="F316" s="11"/>
      <c r="G316" s="11"/>
      <c r="L316" s="11"/>
      <c r="N316" s="12"/>
      <c r="O316" s="1" t="str">
        <f aca="false">IF(OR(D316="",G316=""),"",G316-D316)</f>
        <v/>
      </c>
    </row>
    <row r="317" customFormat="false" ht="15" hidden="false" customHeight="false" outlineLevel="0" collapsed="false">
      <c r="D317" s="11"/>
      <c r="E317" s="11"/>
      <c r="F317" s="11"/>
      <c r="G317" s="11"/>
      <c r="L317" s="11"/>
      <c r="N317" s="12"/>
      <c r="O317" s="1" t="str">
        <f aca="false">IF(OR(D317="",G317=""),"",G317-D317)</f>
        <v/>
      </c>
    </row>
    <row r="318" customFormat="false" ht="15" hidden="false" customHeight="false" outlineLevel="0" collapsed="false">
      <c r="D318" s="11"/>
      <c r="E318" s="11"/>
      <c r="F318" s="11"/>
      <c r="G318" s="11"/>
      <c r="L318" s="11"/>
      <c r="N318" s="12"/>
      <c r="O318" s="1" t="str">
        <f aca="false">IF(OR(D318="",G318=""),"",G318-D318)</f>
        <v/>
      </c>
    </row>
    <row r="319" customFormat="false" ht="15" hidden="false" customHeight="false" outlineLevel="0" collapsed="false">
      <c r="D319" s="11"/>
      <c r="E319" s="11"/>
      <c r="F319" s="11"/>
      <c r="G319" s="11"/>
      <c r="L319" s="11"/>
      <c r="N319" s="12"/>
      <c r="O319" s="1" t="str">
        <f aca="false">IF(OR(D319="",G319=""),"",G319-D319)</f>
        <v/>
      </c>
    </row>
    <row r="320" customFormat="false" ht="15" hidden="false" customHeight="false" outlineLevel="0" collapsed="false">
      <c r="D320" s="11"/>
      <c r="E320" s="11"/>
      <c r="F320" s="11"/>
      <c r="G320" s="11"/>
      <c r="L320" s="11"/>
      <c r="N320" s="12"/>
      <c r="O320" s="1" t="str">
        <f aca="false">IF(OR(D320="",G320=""),"",G320-D320)</f>
        <v/>
      </c>
    </row>
    <row r="321" customFormat="false" ht="15" hidden="false" customHeight="false" outlineLevel="0" collapsed="false">
      <c r="D321" s="11"/>
      <c r="E321" s="11"/>
      <c r="F321" s="11"/>
      <c r="G321" s="11"/>
      <c r="L321" s="11"/>
      <c r="N321" s="12"/>
      <c r="O321" s="1" t="str">
        <f aca="false">IF(OR(D321="",G321=""),"",G321-D321)</f>
        <v/>
      </c>
    </row>
    <row r="322" customFormat="false" ht="15" hidden="false" customHeight="false" outlineLevel="0" collapsed="false">
      <c r="D322" s="11"/>
      <c r="E322" s="11"/>
      <c r="F322" s="11"/>
      <c r="G322" s="11"/>
      <c r="L322" s="11"/>
      <c r="N322" s="12"/>
      <c r="O322" s="1" t="str">
        <f aca="false">IF(OR(D322="",G322=""),"",G322-D322)</f>
        <v/>
      </c>
    </row>
    <row r="323" customFormat="false" ht="15" hidden="false" customHeight="false" outlineLevel="0" collapsed="false">
      <c r="D323" s="11"/>
      <c r="E323" s="11"/>
      <c r="F323" s="11"/>
      <c r="G323" s="11"/>
      <c r="L323" s="11"/>
      <c r="N323" s="12"/>
      <c r="O323" s="1" t="str">
        <f aca="false">IF(OR(D323="",G323=""),"",G323-D323)</f>
        <v/>
      </c>
    </row>
    <row r="324" customFormat="false" ht="15" hidden="false" customHeight="false" outlineLevel="0" collapsed="false">
      <c r="D324" s="11"/>
      <c r="E324" s="11"/>
      <c r="F324" s="11"/>
      <c r="G324" s="11"/>
      <c r="L324" s="11"/>
      <c r="N324" s="12"/>
      <c r="O324" s="1" t="str">
        <f aca="false">IF(OR(D324="",G324=""),"",G324-D324)</f>
        <v/>
      </c>
    </row>
    <row r="325" customFormat="false" ht="15" hidden="false" customHeight="false" outlineLevel="0" collapsed="false">
      <c r="D325" s="11"/>
      <c r="E325" s="11"/>
      <c r="F325" s="11"/>
      <c r="G325" s="11"/>
      <c r="L325" s="11"/>
      <c r="N325" s="12"/>
      <c r="O325" s="1" t="str">
        <f aca="false">IF(OR(D325="",G325=""),"",G325-D325)</f>
        <v/>
      </c>
    </row>
    <row r="326" customFormat="false" ht="15" hidden="false" customHeight="false" outlineLevel="0" collapsed="false">
      <c r="D326" s="11"/>
      <c r="E326" s="11"/>
      <c r="F326" s="11"/>
      <c r="G326" s="11"/>
      <c r="L326" s="11"/>
      <c r="N326" s="12"/>
      <c r="O326" s="1" t="str">
        <f aca="false">IF(OR(D326="",G326=""),"",G326-D326)</f>
        <v/>
      </c>
    </row>
    <row r="327" customFormat="false" ht="15" hidden="false" customHeight="false" outlineLevel="0" collapsed="false">
      <c r="D327" s="11"/>
      <c r="E327" s="11"/>
      <c r="F327" s="11"/>
      <c r="G327" s="11"/>
      <c r="L327" s="11"/>
      <c r="N327" s="12"/>
      <c r="O327" s="1" t="str">
        <f aca="false">IF(OR(D327="",G327=""),"",G327-D327)</f>
        <v/>
      </c>
    </row>
    <row r="328" customFormat="false" ht="15" hidden="false" customHeight="false" outlineLevel="0" collapsed="false">
      <c r="D328" s="11"/>
      <c r="E328" s="11"/>
      <c r="F328" s="11"/>
      <c r="G328" s="11"/>
      <c r="L328" s="11"/>
      <c r="N328" s="12"/>
      <c r="O328" s="1" t="str">
        <f aca="false">IF(OR(D328="",G328=""),"",G328-D328)</f>
        <v/>
      </c>
    </row>
    <row r="329" customFormat="false" ht="15" hidden="false" customHeight="false" outlineLevel="0" collapsed="false">
      <c r="D329" s="11"/>
      <c r="E329" s="11"/>
      <c r="F329" s="11"/>
      <c r="G329" s="11"/>
      <c r="L329" s="11"/>
      <c r="N329" s="12"/>
      <c r="O329" s="1" t="str">
        <f aca="false">IF(OR(D329="",G329=""),"",G329-D329)</f>
        <v/>
      </c>
    </row>
    <row r="330" customFormat="false" ht="15" hidden="false" customHeight="false" outlineLevel="0" collapsed="false">
      <c r="D330" s="11"/>
      <c r="E330" s="11"/>
      <c r="F330" s="11"/>
      <c r="G330" s="11"/>
      <c r="L330" s="11"/>
      <c r="N330" s="12"/>
      <c r="O330" s="1" t="str">
        <f aca="false">IF(OR(D330="",G330=""),"",G330-D330)</f>
        <v/>
      </c>
    </row>
    <row r="331" customFormat="false" ht="15" hidden="false" customHeight="false" outlineLevel="0" collapsed="false">
      <c r="D331" s="11"/>
      <c r="E331" s="11"/>
      <c r="F331" s="11"/>
      <c r="G331" s="11"/>
      <c r="L331" s="11"/>
      <c r="N331" s="12"/>
      <c r="O331" s="1" t="str">
        <f aca="false">IF(OR(D331="",G331=""),"",G331-D331)</f>
        <v/>
      </c>
    </row>
    <row r="332" customFormat="false" ht="15" hidden="false" customHeight="false" outlineLevel="0" collapsed="false">
      <c r="D332" s="11"/>
      <c r="E332" s="11"/>
      <c r="F332" s="11"/>
      <c r="G332" s="11"/>
      <c r="L332" s="11"/>
      <c r="N332" s="12"/>
      <c r="O332" s="1" t="str">
        <f aca="false">IF(OR(D332="",G332=""),"",G332-D332)</f>
        <v/>
      </c>
    </row>
    <row r="333" customFormat="false" ht="15" hidden="false" customHeight="false" outlineLevel="0" collapsed="false">
      <c r="D333" s="11"/>
      <c r="E333" s="11"/>
      <c r="F333" s="11"/>
      <c r="G333" s="11"/>
      <c r="L333" s="11"/>
      <c r="N333" s="12"/>
      <c r="O333" s="1" t="str">
        <f aca="false">IF(OR(D333="",G333=""),"",G333-D333)</f>
        <v/>
      </c>
    </row>
    <row r="334" customFormat="false" ht="15" hidden="false" customHeight="false" outlineLevel="0" collapsed="false">
      <c r="D334" s="11"/>
      <c r="E334" s="11"/>
      <c r="F334" s="11"/>
      <c r="G334" s="11"/>
      <c r="L334" s="11"/>
      <c r="N334" s="12"/>
      <c r="O334" s="1" t="str">
        <f aca="false">IF(OR(D334="",G334=""),"",G334-D334)</f>
        <v/>
      </c>
    </row>
    <row r="335" customFormat="false" ht="15" hidden="false" customHeight="false" outlineLevel="0" collapsed="false">
      <c r="D335" s="11"/>
      <c r="E335" s="11"/>
      <c r="F335" s="11"/>
      <c r="G335" s="11"/>
      <c r="L335" s="11"/>
      <c r="N335" s="12"/>
      <c r="O335" s="1" t="str">
        <f aca="false">IF(OR(D335="",G335=""),"",G335-D335)</f>
        <v/>
      </c>
    </row>
    <row r="336" customFormat="false" ht="15" hidden="false" customHeight="false" outlineLevel="0" collapsed="false">
      <c r="D336" s="11"/>
      <c r="E336" s="11"/>
      <c r="F336" s="11"/>
      <c r="G336" s="11"/>
      <c r="L336" s="11"/>
      <c r="N336" s="12"/>
      <c r="O336" s="1" t="str">
        <f aca="false">IF(OR(D336="",G336=""),"",G336-D336)</f>
        <v/>
      </c>
    </row>
    <row r="337" customFormat="false" ht="15" hidden="false" customHeight="false" outlineLevel="0" collapsed="false">
      <c r="D337" s="11"/>
      <c r="E337" s="11"/>
      <c r="F337" s="11"/>
      <c r="G337" s="11"/>
      <c r="L337" s="11"/>
      <c r="N337" s="12"/>
      <c r="O337" s="1" t="str">
        <f aca="false">IF(OR(D337="",G337=""),"",G337-D337)</f>
        <v/>
      </c>
    </row>
    <row r="338" customFormat="false" ht="15" hidden="false" customHeight="false" outlineLevel="0" collapsed="false">
      <c r="D338" s="11"/>
      <c r="E338" s="11"/>
      <c r="F338" s="11"/>
      <c r="G338" s="11"/>
      <c r="L338" s="11"/>
      <c r="N338" s="12"/>
      <c r="O338" s="1" t="str">
        <f aca="false">IF(OR(D338="",G338=""),"",G338-D338)</f>
        <v/>
      </c>
    </row>
    <row r="339" customFormat="false" ht="15" hidden="false" customHeight="false" outlineLevel="0" collapsed="false">
      <c r="D339" s="11"/>
      <c r="E339" s="11"/>
      <c r="F339" s="11"/>
      <c r="G339" s="11"/>
      <c r="L339" s="11"/>
      <c r="N339" s="12"/>
      <c r="O339" s="1" t="str">
        <f aca="false">IF(OR(D339="",G339=""),"",G339-D339)</f>
        <v/>
      </c>
    </row>
    <row r="340" customFormat="false" ht="15" hidden="false" customHeight="false" outlineLevel="0" collapsed="false">
      <c r="D340" s="11"/>
      <c r="E340" s="11"/>
      <c r="F340" s="11"/>
      <c r="G340" s="11"/>
      <c r="L340" s="11"/>
      <c r="N340" s="12"/>
      <c r="O340" s="1" t="str">
        <f aca="false">IF(OR(D340="",G340=""),"",G340-D340)</f>
        <v/>
      </c>
    </row>
    <row r="341" customFormat="false" ht="15" hidden="false" customHeight="false" outlineLevel="0" collapsed="false">
      <c r="D341" s="11"/>
      <c r="E341" s="11"/>
      <c r="F341" s="11"/>
      <c r="G341" s="11"/>
      <c r="L341" s="11"/>
      <c r="N341" s="12"/>
      <c r="O341" s="1" t="str">
        <f aca="false">IF(OR(D341="",G341=""),"",G341-D341)</f>
        <v/>
      </c>
    </row>
    <row r="342" customFormat="false" ht="15" hidden="false" customHeight="false" outlineLevel="0" collapsed="false">
      <c r="D342" s="11"/>
      <c r="E342" s="11"/>
      <c r="F342" s="11"/>
      <c r="G342" s="11"/>
      <c r="L342" s="11"/>
      <c r="N342" s="12"/>
      <c r="O342" s="1" t="str">
        <f aca="false">IF(OR(D342="",G342=""),"",G342-D342)</f>
        <v/>
      </c>
    </row>
    <row r="343" customFormat="false" ht="15" hidden="false" customHeight="false" outlineLevel="0" collapsed="false">
      <c r="D343" s="11"/>
      <c r="E343" s="11"/>
      <c r="F343" s="11"/>
      <c r="G343" s="11"/>
      <c r="L343" s="11"/>
      <c r="N343" s="12"/>
      <c r="O343" s="1" t="str">
        <f aca="false">IF(OR(D343="",G343=""),"",G343-D343)</f>
        <v/>
      </c>
    </row>
    <row r="344" customFormat="false" ht="15" hidden="false" customHeight="false" outlineLevel="0" collapsed="false">
      <c r="D344" s="11"/>
      <c r="E344" s="11"/>
      <c r="F344" s="11"/>
      <c r="G344" s="11"/>
      <c r="L344" s="11"/>
      <c r="N344" s="12"/>
      <c r="O344" s="1" t="str">
        <f aca="false">IF(OR(D344="",G344=""),"",G344-D344)</f>
        <v/>
      </c>
    </row>
    <row r="345" customFormat="false" ht="15" hidden="false" customHeight="false" outlineLevel="0" collapsed="false">
      <c r="D345" s="11"/>
      <c r="E345" s="11"/>
      <c r="F345" s="11"/>
      <c r="G345" s="11"/>
      <c r="L345" s="11"/>
      <c r="N345" s="12"/>
      <c r="O345" s="1" t="str">
        <f aca="false">IF(OR(D345="",G345=""),"",G345-D345)</f>
        <v/>
      </c>
    </row>
    <row r="346" customFormat="false" ht="15" hidden="false" customHeight="false" outlineLevel="0" collapsed="false">
      <c r="D346" s="11"/>
      <c r="E346" s="11"/>
      <c r="F346" s="11"/>
      <c r="G346" s="11"/>
      <c r="L346" s="11"/>
      <c r="N346" s="12"/>
      <c r="O346" s="1" t="str">
        <f aca="false">IF(OR(D346="",G346=""),"",G346-D346)</f>
        <v/>
      </c>
    </row>
    <row r="347" customFormat="false" ht="15" hidden="false" customHeight="false" outlineLevel="0" collapsed="false">
      <c r="D347" s="11"/>
      <c r="E347" s="11"/>
      <c r="F347" s="11"/>
      <c r="G347" s="11"/>
      <c r="L347" s="11"/>
      <c r="N347" s="12"/>
      <c r="O347" s="1" t="str">
        <f aca="false">IF(OR(D347="",G347=""),"",G347-D347)</f>
        <v/>
      </c>
    </row>
    <row r="348" customFormat="false" ht="15" hidden="false" customHeight="false" outlineLevel="0" collapsed="false">
      <c r="D348" s="11"/>
      <c r="E348" s="11"/>
      <c r="F348" s="11"/>
      <c r="G348" s="11"/>
      <c r="L348" s="11"/>
      <c r="N348" s="12"/>
      <c r="O348" s="1" t="str">
        <f aca="false">IF(OR(D348="",G348=""),"",G348-D348)</f>
        <v/>
      </c>
    </row>
    <row r="349" customFormat="false" ht="15" hidden="false" customHeight="false" outlineLevel="0" collapsed="false">
      <c r="D349" s="11"/>
      <c r="E349" s="11"/>
      <c r="F349" s="11"/>
      <c r="G349" s="11"/>
      <c r="L349" s="11"/>
      <c r="N349" s="12"/>
      <c r="O349" s="1" t="str">
        <f aca="false">IF(OR(D349="",G349=""),"",G349-D349)</f>
        <v/>
      </c>
    </row>
    <row r="350" customFormat="false" ht="15" hidden="false" customHeight="false" outlineLevel="0" collapsed="false">
      <c r="D350" s="11"/>
      <c r="E350" s="11"/>
      <c r="F350" s="11"/>
      <c r="G350" s="11"/>
      <c r="L350" s="11"/>
      <c r="N350" s="12"/>
      <c r="O350" s="1" t="str">
        <f aca="false">IF(OR(D350="",G350=""),"",G350-D350)</f>
        <v/>
      </c>
    </row>
    <row r="351" customFormat="false" ht="15" hidden="false" customHeight="false" outlineLevel="0" collapsed="false">
      <c r="D351" s="11"/>
      <c r="E351" s="11"/>
      <c r="F351" s="11"/>
      <c r="G351" s="11"/>
      <c r="L351" s="11"/>
      <c r="N351" s="12"/>
      <c r="O351" s="1" t="str">
        <f aca="false">IF(OR(D351="",G351=""),"",G351-D351)</f>
        <v/>
      </c>
    </row>
    <row r="352" customFormat="false" ht="15" hidden="false" customHeight="false" outlineLevel="0" collapsed="false">
      <c r="D352" s="11"/>
      <c r="E352" s="11"/>
      <c r="F352" s="11"/>
      <c r="G352" s="11"/>
      <c r="L352" s="11"/>
      <c r="N352" s="12"/>
      <c r="O352" s="1" t="str">
        <f aca="false">IF(OR(D352="",G352=""),"",G352-D352)</f>
        <v/>
      </c>
    </row>
    <row r="353" customFormat="false" ht="15" hidden="false" customHeight="false" outlineLevel="0" collapsed="false">
      <c r="D353" s="11"/>
      <c r="E353" s="11"/>
      <c r="F353" s="11"/>
      <c r="G353" s="11"/>
      <c r="L353" s="11"/>
      <c r="N353" s="12"/>
      <c r="O353" s="1" t="str">
        <f aca="false">IF(OR(D353="",G353=""),"",G353-D353)</f>
        <v/>
      </c>
    </row>
    <row r="354" customFormat="false" ht="15" hidden="false" customHeight="false" outlineLevel="0" collapsed="false">
      <c r="D354" s="11"/>
      <c r="E354" s="11"/>
      <c r="F354" s="11"/>
      <c r="G354" s="11"/>
      <c r="L354" s="11"/>
      <c r="N354" s="12"/>
      <c r="O354" s="1" t="str">
        <f aca="false">IF(OR(D354="",G354=""),"",G354-D354)</f>
        <v/>
      </c>
    </row>
    <row r="355" customFormat="false" ht="15" hidden="false" customHeight="false" outlineLevel="0" collapsed="false">
      <c r="D355" s="11"/>
      <c r="E355" s="11"/>
      <c r="F355" s="11"/>
      <c r="G355" s="11"/>
      <c r="L355" s="11"/>
      <c r="N355" s="12"/>
      <c r="O355" s="1" t="str">
        <f aca="false">IF(OR(D355="",G355=""),"",G355-D355)</f>
        <v/>
      </c>
    </row>
    <row r="356" customFormat="false" ht="15" hidden="false" customHeight="false" outlineLevel="0" collapsed="false">
      <c r="D356" s="11"/>
      <c r="E356" s="11"/>
      <c r="F356" s="11"/>
      <c r="G356" s="11"/>
      <c r="L356" s="11"/>
      <c r="N356" s="12"/>
      <c r="O356" s="1" t="str">
        <f aca="false">IF(OR(D356="",G356=""),"",G356-D356)</f>
        <v/>
      </c>
    </row>
    <row r="357" customFormat="false" ht="15" hidden="false" customHeight="false" outlineLevel="0" collapsed="false">
      <c r="D357" s="11"/>
      <c r="E357" s="11"/>
      <c r="F357" s="11"/>
      <c r="G357" s="11"/>
      <c r="L357" s="11"/>
      <c r="N357" s="12"/>
      <c r="O357" s="1" t="str">
        <f aca="false">IF(OR(D357="",G357=""),"",G357-D357)</f>
        <v/>
      </c>
    </row>
    <row r="358" customFormat="false" ht="15" hidden="false" customHeight="false" outlineLevel="0" collapsed="false">
      <c r="D358" s="11"/>
      <c r="E358" s="11"/>
      <c r="F358" s="11"/>
      <c r="G358" s="11"/>
      <c r="L358" s="11"/>
      <c r="N358" s="12"/>
      <c r="O358" s="1" t="str">
        <f aca="false">IF(OR(D358="",G358=""),"",G358-D358)</f>
        <v/>
      </c>
    </row>
    <row r="359" customFormat="false" ht="15" hidden="false" customHeight="false" outlineLevel="0" collapsed="false">
      <c r="D359" s="11"/>
      <c r="E359" s="11"/>
      <c r="F359" s="11"/>
      <c r="G359" s="11"/>
      <c r="L359" s="11"/>
      <c r="N359" s="12"/>
      <c r="O359" s="1" t="str">
        <f aca="false">IF(OR(D359="",G359=""),"",G359-D359)</f>
        <v/>
      </c>
    </row>
    <row r="360" customFormat="false" ht="15" hidden="false" customHeight="false" outlineLevel="0" collapsed="false">
      <c r="D360" s="11"/>
      <c r="E360" s="11"/>
      <c r="F360" s="11"/>
      <c r="G360" s="11"/>
      <c r="L360" s="11"/>
      <c r="N360" s="12"/>
      <c r="O360" s="1" t="str">
        <f aca="false">IF(OR(D360="",G360=""),"",G360-D360)</f>
        <v/>
      </c>
    </row>
    <row r="361" customFormat="false" ht="15" hidden="false" customHeight="false" outlineLevel="0" collapsed="false">
      <c r="D361" s="11"/>
      <c r="E361" s="11"/>
      <c r="F361" s="11"/>
      <c r="G361" s="11"/>
      <c r="L361" s="11"/>
      <c r="N361" s="12"/>
      <c r="O361" s="1" t="str">
        <f aca="false">IF(OR(D361="",G361=""),"",G361-D361)</f>
        <v/>
      </c>
    </row>
    <row r="362" customFormat="false" ht="15" hidden="false" customHeight="false" outlineLevel="0" collapsed="false">
      <c r="D362" s="11"/>
      <c r="E362" s="11"/>
      <c r="F362" s="11"/>
      <c r="G362" s="11"/>
      <c r="L362" s="11"/>
      <c r="N362" s="12"/>
      <c r="O362" s="1" t="str">
        <f aca="false">IF(OR(D362="",G362=""),"",G362-D362)</f>
        <v/>
      </c>
    </row>
    <row r="363" customFormat="false" ht="15" hidden="false" customHeight="false" outlineLevel="0" collapsed="false">
      <c r="D363" s="11"/>
      <c r="E363" s="11"/>
      <c r="F363" s="11"/>
      <c r="G363" s="11"/>
      <c r="L363" s="11"/>
      <c r="N363" s="12"/>
      <c r="O363" s="1" t="str">
        <f aca="false">IF(OR(D363="",G363=""),"",G363-D363)</f>
        <v/>
      </c>
    </row>
    <row r="364" customFormat="false" ht="15" hidden="false" customHeight="false" outlineLevel="0" collapsed="false">
      <c r="D364" s="11"/>
      <c r="E364" s="11"/>
      <c r="F364" s="11"/>
      <c r="G364" s="11"/>
      <c r="L364" s="11"/>
      <c r="N364" s="12"/>
      <c r="O364" s="1" t="str">
        <f aca="false">IF(OR(D364="",G364=""),"",G364-D364)</f>
        <v/>
      </c>
    </row>
    <row r="365" customFormat="false" ht="15" hidden="false" customHeight="false" outlineLevel="0" collapsed="false">
      <c r="D365" s="11"/>
      <c r="E365" s="11"/>
      <c r="F365" s="11"/>
      <c r="G365" s="11"/>
      <c r="L365" s="11"/>
      <c r="N365" s="12"/>
      <c r="O365" s="1" t="str">
        <f aca="false">IF(OR(D365="",G365=""),"",G365-D365)</f>
        <v/>
      </c>
    </row>
    <row r="366" customFormat="false" ht="15" hidden="false" customHeight="false" outlineLevel="0" collapsed="false">
      <c r="D366" s="11"/>
      <c r="E366" s="11"/>
      <c r="F366" s="11"/>
      <c r="G366" s="11"/>
      <c r="L366" s="11"/>
      <c r="N366" s="12"/>
      <c r="O366" s="1" t="str">
        <f aca="false">IF(OR(D366="",G366=""),"",G366-D366)</f>
        <v/>
      </c>
    </row>
    <row r="367" customFormat="false" ht="15" hidden="false" customHeight="false" outlineLevel="0" collapsed="false">
      <c r="D367" s="11"/>
      <c r="E367" s="11"/>
      <c r="F367" s="11"/>
      <c r="G367" s="11"/>
      <c r="L367" s="11"/>
      <c r="N367" s="12"/>
      <c r="O367" s="1" t="str">
        <f aca="false">IF(OR(D367="",G367=""),"",G367-D367)</f>
        <v/>
      </c>
    </row>
    <row r="368" customFormat="false" ht="15" hidden="false" customHeight="false" outlineLevel="0" collapsed="false">
      <c r="D368" s="11"/>
      <c r="E368" s="11"/>
      <c r="F368" s="11"/>
      <c r="G368" s="11"/>
      <c r="L368" s="11"/>
      <c r="N368" s="12"/>
      <c r="O368" s="1" t="str">
        <f aca="false">IF(OR(D368="",G368=""),"",G368-D368)</f>
        <v/>
      </c>
    </row>
    <row r="369" customFormat="false" ht="15" hidden="false" customHeight="false" outlineLevel="0" collapsed="false">
      <c r="D369" s="11"/>
      <c r="E369" s="11"/>
      <c r="F369" s="11"/>
      <c r="G369" s="11"/>
      <c r="L369" s="11"/>
      <c r="N369" s="12"/>
      <c r="O369" s="1" t="str">
        <f aca="false">IF(OR(D369="",G369=""),"",G369-D369)</f>
        <v/>
      </c>
    </row>
    <row r="370" customFormat="false" ht="15" hidden="false" customHeight="false" outlineLevel="0" collapsed="false">
      <c r="D370" s="11"/>
      <c r="E370" s="11"/>
      <c r="F370" s="11"/>
      <c r="G370" s="11"/>
      <c r="L370" s="11"/>
      <c r="N370" s="12"/>
      <c r="O370" s="1" t="str">
        <f aca="false">IF(OR(D370="",G370=""),"",G370-D370)</f>
        <v/>
      </c>
    </row>
    <row r="371" customFormat="false" ht="15" hidden="false" customHeight="false" outlineLevel="0" collapsed="false">
      <c r="D371" s="11"/>
      <c r="E371" s="11"/>
      <c r="F371" s="11"/>
      <c r="G371" s="11"/>
      <c r="L371" s="11"/>
      <c r="N371" s="12"/>
      <c r="O371" s="1" t="str">
        <f aca="false">IF(OR(D371="",G371=""),"",G371-D371)</f>
        <v/>
      </c>
    </row>
    <row r="372" customFormat="false" ht="15" hidden="false" customHeight="false" outlineLevel="0" collapsed="false">
      <c r="D372" s="11"/>
      <c r="E372" s="11"/>
      <c r="F372" s="11"/>
      <c r="G372" s="11"/>
      <c r="L372" s="11"/>
      <c r="N372" s="12"/>
      <c r="O372" s="1" t="str">
        <f aca="false">IF(OR(D372="",G372=""),"",G372-D372)</f>
        <v/>
      </c>
    </row>
    <row r="373" customFormat="false" ht="15" hidden="false" customHeight="false" outlineLevel="0" collapsed="false">
      <c r="D373" s="11"/>
      <c r="E373" s="11"/>
      <c r="F373" s="11"/>
      <c r="G373" s="11"/>
      <c r="L373" s="11"/>
      <c r="N373" s="12"/>
      <c r="O373" s="1" t="str">
        <f aca="false">IF(OR(D373="",G373=""),"",G373-D373)</f>
        <v/>
      </c>
    </row>
    <row r="374" customFormat="false" ht="15" hidden="false" customHeight="false" outlineLevel="0" collapsed="false">
      <c r="D374" s="11"/>
      <c r="E374" s="11"/>
      <c r="F374" s="11"/>
      <c r="G374" s="11"/>
      <c r="L374" s="11"/>
      <c r="N374" s="12"/>
      <c r="O374" s="1" t="str">
        <f aca="false">IF(OR(D374="",G374=""),"",G374-D374)</f>
        <v/>
      </c>
    </row>
    <row r="375" customFormat="false" ht="15" hidden="false" customHeight="false" outlineLevel="0" collapsed="false">
      <c r="D375" s="11"/>
      <c r="E375" s="11"/>
      <c r="F375" s="11"/>
      <c r="G375" s="11"/>
      <c r="L375" s="11"/>
      <c r="N375" s="12"/>
      <c r="O375" s="1" t="str">
        <f aca="false">IF(OR(D375="",G375=""),"",G375-D375)</f>
        <v/>
      </c>
    </row>
    <row r="376" customFormat="false" ht="15" hidden="false" customHeight="false" outlineLevel="0" collapsed="false">
      <c r="D376" s="11"/>
      <c r="E376" s="11"/>
      <c r="F376" s="11"/>
      <c r="G376" s="11"/>
      <c r="L376" s="11"/>
      <c r="N376" s="12"/>
      <c r="O376" s="1" t="str">
        <f aca="false">IF(OR(D376="",G376=""),"",G376-D376)</f>
        <v/>
      </c>
    </row>
    <row r="377" customFormat="false" ht="15" hidden="false" customHeight="false" outlineLevel="0" collapsed="false">
      <c r="D377" s="11"/>
      <c r="E377" s="11"/>
      <c r="F377" s="11"/>
      <c r="G377" s="11"/>
      <c r="L377" s="11"/>
      <c r="N377" s="12"/>
      <c r="O377" s="1" t="str">
        <f aca="false">IF(OR(D377="",G377=""),"",G377-D377)</f>
        <v/>
      </c>
    </row>
    <row r="378" customFormat="false" ht="15" hidden="false" customHeight="false" outlineLevel="0" collapsed="false">
      <c r="D378" s="11"/>
      <c r="E378" s="11"/>
      <c r="F378" s="11"/>
      <c r="G378" s="11"/>
      <c r="L378" s="11"/>
      <c r="N378" s="12"/>
      <c r="O378" s="1" t="str">
        <f aca="false">IF(OR(D378="",G378=""),"",G378-D378)</f>
        <v/>
      </c>
    </row>
    <row r="379" customFormat="false" ht="15" hidden="false" customHeight="false" outlineLevel="0" collapsed="false">
      <c r="D379" s="11"/>
      <c r="E379" s="11"/>
      <c r="F379" s="11"/>
      <c r="G379" s="11"/>
      <c r="L379" s="11"/>
      <c r="N379" s="12"/>
      <c r="O379" s="1" t="str">
        <f aca="false">IF(OR(D379="",G379=""),"",G379-D379)</f>
        <v/>
      </c>
    </row>
    <row r="380" customFormat="false" ht="15" hidden="false" customHeight="false" outlineLevel="0" collapsed="false">
      <c r="D380" s="11"/>
      <c r="E380" s="11"/>
      <c r="F380" s="11"/>
      <c r="G380" s="11"/>
      <c r="L380" s="11"/>
      <c r="N380" s="12"/>
      <c r="O380" s="1" t="str">
        <f aca="false">IF(OR(D380="",G380=""),"",G380-D380)</f>
        <v/>
      </c>
    </row>
    <row r="381" customFormat="false" ht="15" hidden="false" customHeight="false" outlineLevel="0" collapsed="false">
      <c r="D381" s="11"/>
      <c r="E381" s="11"/>
      <c r="F381" s="11"/>
      <c r="G381" s="11"/>
      <c r="L381" s="11"/>
      <c r="N381" s="12"/>
      <c r="O381" s="1" t="str">
        <f aca="false">IF(OR(D381="",G381=""),"",G381-D381)</f>
        <v/>
      </c>
    </row>
    <row r="382" customFormat="false" ht="15" hidden="false" customHeight="false" outlineLevel="0" collapsed="false">
      <c r="D382" s="11"/>
      <c r="E382" s="11"/>
      <c r="F382" s="11"/>
      <c r="G382" s="11"/>
      <c r="L382" s="11"/>
      <c r="N382" s="12"/>
      <c r="O382" s="1" t="str">
        <f aca="false">IF(OR(D382="",G382=""),"",G382-D382)</f>
        <v/>
      </c>
    </row>
    <row r="383" customFormat="false" ht="15" hidden="false" customHeight="false" outlineLevel="0" collapsed="false">
      <c r="D383" s="11"/>
      <c r="E383" s="11"/>
      <c r="F383" s="11"/>
      <c r="G383" s="11"/>
      <c r="L383" s="11"/>
      <c r="N383" s="12"/>
      <c r="O383" s="1" t="str">
        <f aca="false">IF(OR(D383="",G383=""),"",G383-D383)</f>
        <v/>
      </c>
    </row>
    <row r="384" customFormat="false" ht="15" hidden="false" customHeight="false" outlineLevel="0" collapsed="false">
      <c r="D384" s="11"/>
      <c r="E384" s="11"/>
      <c r="F384" s="11"/>
      <c r="G384" s="11"/>
      <c r="L384" s="11"/>
      <c r="N384" s="12"/>
      <c r="O384" s="1" t="str">
        <f aca="false">IF(OR(D384="",G384=""),"",G384-D384)</f>
        <v/>
      </c>
    </row>
    <row r="385" customFormat="false" ht="15" hidden="false" customHeight="false" outlineLevel="0" collapsed="false">
      <c r="D385" s="11"/>
      <c r="E385" s="11"/>
      <c r="F385" s="11"/>
      <c r="G385" s="11"/>
      <c r="L385" s="11"/>
      <c r="N385" s="12"/>
      <c r="O385" s="1" t="str">
        <f aca="false">IF(OR(D385="",G385=""),"",G385-D385)</f>
        <v/>
      </c>
    </row>
    <row r="386" customFormat="false" ht="15" hidden="false" customHeight="false" outlineLevel="0" collapsed="false">
      <c r="D386" s="11"/>
      <c r="E386" s="11"/>
      <c r="F386" s="11"/>
      <c r="G386" s="11"/>
      <c r="L386" s="11"/>
      <c r="N386" s="12"/>
      <c r="O386" s="1" t="str">
        <f aca="false">IF(OR(D386="",G386=""),"",G386-D386)</f>
        <v/>
      </c>
    </row>
    <row r="387" customFormat="false" ht="15" hidden="false" customHeight="false" outlineLevel="0" collapsed="false">
      <c r="D387" s="11"/>
      <c r="E387" s="11"/>
      <c r="F387" s="11"/>
      <c r="G387" s="11"/>
      <c r="L387" s="11"/>
      <c r="N387" s="12"/>
      <c r="O387" s="1" t="str">
        <f aca="false">IF(OR(D387="",G387=""),"",G387-D387)</f>
        <v/>
      </c>
    </row>
    <row r="388" customFormat="false" ht="15" hidden="false" customHeight="false" outlineLevel="0" collapsed="false">
      <c r="D388" s="11"/>
      <c r="E388" s="11"/>
      <c r="F388" s="11"/>
      <c r="G388" s="11"/>
      <c r="L388" s="11"/>
      <c r="N388" s="12"/>
      <c r="O388" s="1" t="str">
        <f aca="false">IF(OR(D388="",G388=""),"",G388-D388)</f>
        <v/>
      </c>
    </row>
    <row r="389" customFormat="false" ht="15" hidden="false" customHeight="false" outlineLevel="0" collapsed="false">
      <c r="D389" s="11"/>
      <c r="E389" s="11"/>
      <c r="F389" s="11"/>
      <c r="G389" s="11"/>
      <c r="L389" s="11"/>
      <c r="N389" s="12"/>
      <c r="O389" s="1" t="str">
        <f aca="false">IF(OR(D389="",G389=""),"",G389-D389)</f>
        <v/>
      </c>
    </row>
    <row r="390" customFormat="false" ht="15" hidden="false" customHeight="false" outlineLevel="0" collapsed="false">
      <c r="D390" s="11"/>
      <c r="E390" s="11"/>
      <c r="F390" s="11"/>
      <c r="G390" s="11"/>
      <c r="L390" s="11"/>
      <c r="N390" s="12"/>
      <c r="O390" s="1" t="str">
        <f aca="false">IF(OR(D390="",G390=""),"",G390-D390)</f>
        <v/>
      </c>
    </row>
    <row r="391" customFormat="false" ht="15" hidden="false" customHeight="false" outlineLevel="0" collapsed="false">
      <c r="D391" s="11"/>
      <c r="E391" s="11"/>
      <c r="F391" s="11"/>
      <c r="G391" s="11"/>
      <c r="L391" s="11"/>
      <c r="N391" s="12"/>
      <c r="O391" s="1" t="str">
        <f aca="false">IF(OR(D391="",G391=""),"",G391-D391)</f>
        <v/>
      </c>
    </row>
    <row r="392" customFormat="false" ht="15" hidden="false" customHeight="false" outlineLevel="0" collapsed="false">
      <c r="D392" s="11"/>
      <c r="E392" s="11"/>
      <c r="F392" s="11"/>
      <c r="G392" s="11"/>
      <c r="L392" s="11"/>
      <c r="N392" s="12"/>
      <c r="O392" s="1" t="str">
        <f aca="false">IF(OR(D392="",G392=""),"",G392-D392)</f>
        <v/>
      </c>
    </row>
    <row r="393" customFormat="false" ht="15" hidden="false" customHeight="false" outlineLevel="0" collapsed="false">
      <c r="D393" s="11"/>
      <c r="E393" s="11"/>
      <c r="F393" s="11"/>
      <c r="G393" s="11"/>
      <c r="L393" s="11"/>
      <c r="N393" s="12"/>
      <c r="O393" s="1" t="str">
        <f aca="false">IF(OR(D393="",G393=""),"",G393-D393)</f>
        <v/>
      </c>
    </row>
    <row r="394" customFormat="false" ht="15" hidden="false" customHeight="false" outlineLevel="0" collapsed="false">
      <c r="D394" s="11"/>
      <c r="E394" s="11"/>
      <c r="F394" s="11"/>
      <c r="G394" s="11"/>
      <c r="L394" s="11"/>
      <c r="N394" s="12"/>
      <c r="O394" s="1" t="str">
        <f aca="false">IF(OR(D394="",G394=""),"",G394-D394)</f>
        <v/>
      </c>
    </row>
    <row r="395" customFormat="false" ht="15" hidden="false" customHeight="false" outlineLevel="0" collapsed="false">
      <c r="D395" s="11"/>
      <c r="E395" s="11"/>
      <c r="F395" s="11"/>
      <c r="G395" s="11"/>
      <c r="L395" s="11"/>
      <c r="N395" s="12"/>
      <c r="O395" s="1" t="str">
        <f aca="false">IF(OR(D395="",G395=""),"",G395-D395)</f>
        <v/>
      </c>
    </row>
    <row r="396" customFormat="false" ht="15" hidden="false" customHeight="false" outlineLevel="0" collapsed="false">
      <c r="D396" s="11"/>
      <c r="E396" s="11"/>
      <c r="F396" s="11"/>
      <c r="G396" s="11"/>
      <c r="L396" s="11"/>
      <c r="N396" s="12"/>
      <c r="O396" s="1" t="str">
        <f aca="false">IF(OR(D396="",G396=""),"",G396-D396)</f>
        <v/>
      </c>
    </row>
    <row r="397" customFormat="false" ht="15" hidden="false" customHeight="false" outlineLevel="0" collapsed="false">
      <c r="D397" s="11"/>
      <c r="E397" s="11"/>
      <c r="F397" s="11"/>
      <c r="G397" s="11"/>
      <c r="L397" s="11"/>
      <c r="N397" s="12"/>
      <c r="O397" s="1" t="str">
        <f aca="false">IF(OR(D397="",G397=""),"",G397-D397)</f>
        <v/>
      </c>
    </row>
    <row r="398" customFormat="false" ht="15" hidden="false" customHeight="false" outlineLevel="0" collapsed="false">
      <c r="D398" s="11"/>
      <c r="E398" s="11"/>
      <c r="F398" s="11"/>
      <c r="G398" s="11"/>
      <c r="L398" s="11"/>
      <c r="N398" s="12"/>
      <c r="O398" s="1" t="str">
        <f aca="false">IF(OR(D398="",G398=""),"",G398-D398)</f>
        <v/>
      </c>
    </row>
    <row r="399" customFormat="false" ht="15" hidden="false" customHeight="false" outlineLevel="0" collapsed="false">
      <c r="D399" s="11"/>
      <c r="E399" s="11"/>
      <c r="F399" s="11"/>
      <c r="G399" s="11"/>
      <c r="L399" s="11"/>
      <c r="N399" s="12"/>
      <c r="O399" s="1" t="str">
        <f aca="false">IF(OR(D399="",G399=""),"",G399-D399)</f>
        <v/>
      </c>
    </row>
    <row r="400" customFormat="false" ht="15" hidden="false" customHeight="false" outlineLevel="0" collapsed="false">
      <c r="D400" s="11"/>
      <c r="E400" s="11"/>
      <c r="F400" s="11"/>
      <c r="G400" s="11"/>
      <c r="L400" s="11"/>
      <c r="N400" s="12"/>
      <c r="O400" s="1" t="str">
        <f aca="false">IF(OR(D400="",G400=""),"",G400-D400)</f>
        <v/>
      </c>
    </row>
    <row r="401" customFormat="false" ht="15" hidden="false" customHeight="false" outlineLevel="0" collapsed="false">
      <c r="D401" s="11"/>
      <c r="E401" s="11"/>
      <c r="F401" s="11"/>
      <c r="G401" s="11"/>
      <c r="L401" s="11"/>
      <c r="N401" s="12"/>
      <c r="O401" s="1" t="str">
        <f aca="false">IF(OR(D401="",G401=""),"",G401-D401)</f>
        <v/>
      </c>
    </row>
    <row r="402" customFormat="false" ht="15" hidden="false" customHeight="false" outlineLevel="0" collapsed="false">
      <c r="D402" s="11"/>
      <c r="E402" s="11"/>
      <c r="F402" s="11"/>
      <c r="G402" s="11"/>
      <c r="L402" s="11"/>
      <c r="N402" s="12"/>
      <c r="O402" s="1" t="str">
        <f aca="false">IF(OR(D402="",G402=""),"",G402-D402)</f>
        <v/>
      </c>
    </row>
    <row r="403" customFormat="false" ht="15" hidden="false" customHeight="false" outlineLevel="0" collapsed="false">
      <c r="D403" s="11"/>
      <c r="E403" s="11"/>
      <c r="F403" s="11"/>
      <c r="G403" s="11"/>
      <c r="L403" s="11"/>
      <c r="N403" s="12"/>
      <c r="O403" s="1" t="str">
        <f aca="false">IF(OR(D403="",G403=""),"",G403-D403)</f>
        <v/>
      </c>
    </row>
    <row r="404" customFormat="false" ht="15" hidden="false" customHeight="false" outlineLevel="0" collapsed="false">
      <c r="D404" s="11"/>
      <c r="E404" s="11"/>
      <c r="F404" s="11"/>
      <c r="G404" s="11"/>
      <c r="L404" s="11"/>
      <c r="N404" s="12"/>
      <c r="O404" s="1" t="str">
        <f aca="false">IF(OR(D404="",G404=""),"",G404-D404)</f>
        <v/>
      </c>
    </row>
    <row r="405" customFormat="false" ht="15" hidden="false" customHeight="false" outlineLevel="0" collapsed="false">
      <c r="D405" s="11"/>
      <c r="E405" s="11"/>
      <c r="F405" s="11"/>
      <c r="G405" s="11"/>
      <c r="L405" s="11"/>
      <c r="N405" s="12"/>
      <c r="O405" s="1" t="str">
        <f aca="false">IF(OR(D405="",G405=""),"",G405-D405)</f>
        <v/>
      </c>
    </row>
    <row r="406" customFormat="false" ht="15" hidden="false" customHeight="false" outlineLevel="0" collapsed="false">
      <c r="D406" s="11"/>
      <c r="E406" s="11"/>
      <c r="F406" s="11"/>
      <c r="G406" s="11"/>
      <c r="L406" s="11"/>
      <c r="N406" s="12"/>
      <c r="O406" s="1" t="str">
        <f aca="false">IF(OR(D406="",G406=""),"",G406-D406)</f>
        <v/>
      </c>
    </row>
    <row r="407" customFormat="false" ht="15" hidden="false" customHeight="false" outlineLevel="0" collapsed="false">
      <c r="D407" s="11"/>
      <c r="E407" s="11"/>
      <c r="F407" s="11"/>
      <c r="G407" s="11"/>
      <c r="L407" s="11"/>
      <c r="N407" s="12"/>
      <c r="O407" s="1" t="str">
        <f aca="false">IF(OR(D407="",G407=""),"",G407-D407)</f>
        <v/>
      </c>
    </row>
    <row r="408" customFormat="false" ht="15" hidden="false" customHeight="false" outlineLevel="0" collapsed="false">
      <c r="D408" s="11"/>
      <c r="E408" s="11"/>
      <c r="F408" s="11"/>
      <c r="G408" s="11"/>
      <c r="L408" s="11"/>
      <c r="N408" s="12"/>
      <c r="O408" s="1" t="str">
        <f aca="false">IF(OR(D408="",G408=""),"",G408-D408)</f>
        <v/>
      </c>
    </row>
    <row r="409" customFormat="false" ht="15" hidden="false" customHeight="false" outlineLevel="0" collapsed="false">
      <c r="D409" s="11"/>
      <c r="E409" s="11"/>
      <c r="F409" s="11"/>
      <c r="G409" s="11"/>
      <c r="L409" s="11"/>
      <c r="N409" s="12"/>
      <c r="O409" s="1" t="str">
        <f aca="false">IF(OR(D409="",G409=""),"",G409-D409)</f>
        <v/>
      </c>
    </row>
    <row r="410" customFormat="false" ht="15" hidden="false" customHeight="false" outlineLevel="0" collapsed="false">
      <c r="D410" s="11"/>
      <c r="E410" s="11"/>
      <c r="F410" s="11"/>
      <c r="G410" s="11"/>
      <c r="L410" s="11"/>
      <c r="N410" s="12"/>
      <c r="O410" s="1" t="str">
        <f aca="false">IF(OR(D410="",G410=""),"",G410-D410)</f>
        <v/>
      </c>
    </row>
    <row r="411" customFormat="false" ht="15" hidden="false" customHeight="false" outlineLevel="0" collapsed="false">
      <c r="D411" s="11"/>
      <c r="E411" s="11"/>
      <c r="F411" s="11"/>
      <c r="G411" s="11"/>
      <c r="L411" s="11"/>
      <c r="N411" s="12"/>
      <c r="O411" s="1" t="str">
        <f aca="false">IF(OR(D411="",G411=""),"",G411-D411)</f>
        <v/>
      </c>
    </row>
    <row r="412" customFormat="false" ht="15" hidden="false" customHeight="false" outlineLevel="0" collapsed="false">
      <c r="D412" s="11"/>
      <c r="E412" s="11"/>
      <c r="F412" s="11"/>
      <c r="G412" s="11"/>
      <c r="L412" s="11"/>
      <c r="N412" s="12"/>
      <c r="O412" s="1" t="str">
        <f aca="false">IF(OR(D412="",G412=""),"",G412-D412)</f>
        <v/>
      </c>
    </row>
    <row r="413" customFormat="false" ht="15" hidden="false" customHeight="false" outlineLevel="0" collapsed="false">
      <c r="D413" s="11"/>
      <c r="E413" s="11"/>
      <c r="F413" s="11"/>
      <c r="G413" s="11"/>
      <c r="L413" s="11"/>
      <c r="N413" s="12"/>
      <c r="O413" s="1" t="str">
        <f aca="false">IF(OR(D413="",G413=""),"",G413-D413)</f>
        <v/>
      </c>
    </row>
    <row r="414" customFormat="false" ht="15" hidden="false" customHeight="false" outlineLevel="0" collapsed="false">
      <c r="D414" s="11"/>
      <c r="E414" s="11"/>
      <c r="F414" s="11"/>
      <c r="G414" s="11"/>
      <c r="L414" s="11"/>
      <c r="N414" s="12"/>
      <c r="O414" s="1" t="str">
        <f aca="false">IF(OR(D414="",G414=""),"",G414-D414)</f>
        <v/>
      </c>
    </row>
    <row r="415" customFormat="false" ht="15" hidden="false" customHeight="false" outlineLevel="0" collapsed="false">
      <c r="D415" s="11"/>
      <c r="E415" s="11"/>
      <c r="F415" s="11"/>
      <c r="G415" s="11"/>
      <c r="L415" s="11"/>
      <c r="N415" s="12"/>
      <c r="O415" s="1" t="str">
        <f aca="false">IF(OR(D415="",G415=""),"",G415-D415)</f>
        <v/>
      </c>
    </row>
    <row r="416" customFormat="false" ht="15" hidden="false" customHeight="false" outlineLevel="0" collapsed="false">
      <c r="D416" s="11"/>
      <c r="E416" s="11"/>
      <c r="F416" s="11"/>
      <c r="G416" s="11"/>
      <c r="L416" s="11"/>
      <c r="N416" s="12"/>
      <c r="O416" s="1" t="str">
        <f aca="false">IF(OR(D416="",G416=""),"",G416-D416)</f>
        <v/>
      </c>
    </row>
    <row r="417" customFormat="false" ht="15" hidden="false" customHeight="false" outlineLevel="0" collapsed="false">
      <c r="D417" s="11"/>
      <c r="E417" s="11"/>
      <c r="F417" s="11"/>
      <c r="G417" s="11"/>
      <c r="L417" s="11"/>
      <c r="N417" s="12"/>
      <c r="O417" s="1" t="str">
        <f aca="false">IF(OR(D417="",G417=""),"",G417-D417)</f>
        <v/>
      </c>
    </row>
    <row r="418" customFormat="false" ht="15" hidden="false" customHeight="false" outlineLevel="0" collapsed="false">
      <c r="D418" s="11"/>
      <c r="E418" s="11"/>
      <c r="F418" s="11"/>
      <c r="G418" s="11"/>
      <c r="L418" s="11"/>
      <c r="N418" s="12"/>
      <c r="O418" s="1" t="str">
        <f aca="false">IF(OR(D418="",G418=""),"",G418-D418)</f>
        <v/>
      </c>
    </row>
    <row r="419" customFormat="false" ht="15" hidden="false" customHeight="false" outlineLevel="0" collapsed="false">
      <c r="D419" s="11"/>
      <c r="E419" s="11"/>
      <c r="F419" s="11"/>
      <c r="G419" s="11"/>
      <c r="L419" s="11"/>
      <c r="N419" s="12"/>
      <c r="O419" s="1" t="str">
        <f aca="false">IF(OR(D419="",G419=""),"",G419-D419)</f>
        <v/>
      </c>
    </row>
    <row r="420" customFormat="false" ht="15" hidden="false" customHeight="false" outlineLevel="0" collapsed="false">
      <c r="D420" s="11"/>
      <c r="E420" s="11"/>
      <c r="F420" s="11"/>
      <c r="G420" s="11"/>
      <c r="L420" s="11"/>
      <c r="N420" s="12"/>
      <c r="O420" s="1" t="str">
        <f aca="false">IF(OR(D420="",G420=""),"",G420-D420)</f>
        <v/>
      </c>
    </row>
    <row r="421" customFormat="false" ht="15" hidden="false" customHeight="false" outlineLevel="0" collapsed="false">
      <c r="D421" s="11"/>
      <c r="E421" s="11"/>
      <c r="F421" s="11"/>
      <c r="G421" s="11"/>
      <c r="L421" s="11"/>
      <c r="N421" s="12"/>
      <c r="O421" s="1" t="str">
        <f aca="false">IF(OR(D421="",G421=""),"",G421-D421)</f>
        <v/>
      </c>
    </row>
    <row r="422" customFormat="false" ht="15" hidden="false" customHeight="false" outlineLevel="0" collapsed="false">
      <c r="D422" s="11"/>
      <c r="E422" s="11"/>
      <c r="F422" s="11"/>
      <c r="G422" s="11"/>
      <c r="L422" s="11"/>
      <c r="N422" s="12"/>
      <c r="O422" s="1" t="str">
        <f aca="false">IF(OR(D422="",G422=""),"",G422-D422)</f>
        <v/>
      </c>
    </row>
    <row r="423" customFormat="false" ht="15" hidden="false" customHeight="false" outlineLevel="0" collapsed="false">
      <c r="D423" s="11"/>
      <c r="E423" s="11"/>
      <c r="F423" s="11"/>
      <c r="G423" s="11"/>
      <c r="L423" s="11"/>
      <c r="N423" s="12"/>
      <c r="O423" s="1" t="str">
        <f aca="false">IF(OR(D423="",G423=""),"",G423-D423)</f>
        <v/>
      </c>
    </row>
    <row r="424" customFormat="false" ht="15" hidden="false" customHeight="false" outlineLevel="0" collapsed="false">
      <c r="D424" s="11"/>
      <c r="E424" s="11"/>
      <c r="F424" s="11"/>
      <c r="G424" s="11"/>
      <c r="L424" s="11"/>
      <c r="N424" s="12"/>
      <c r="O424" s="1" t="str">
        <f aca="false">IF(OR(D424="",G424=""),"",G424-D424)</f>
        <v/>
      </c>
    </row>
    <row r="425" customFormat="false" ht="15" hidden="false" customHeight="false" outlineLevel="0" collapsed="false">
      <c r="D425" s="11"/>
      <c r="E425" s="11"/>
      <c r="F425" s="11"/>
      <c r="G425" s="11"/>
      <c r="L425" s="11"/>
      <c r="N425" s="12"/>
      <c r="O425" s="1" t="str">
        <f aca="false">IF(OR(D425="",G425=""),"",G425-D425)</f>
        <v/>
      </c>
    </row>
    <row r="426" customFormat="false" ht="15" hidden="false" customHeight="false" outlineLevel="0" collapsed="false">
      <c r="D426" s="11"/>
      <c r="E426" s="11"/>
      <c r="F426" s="11"/>
      <c r="G426" s="11"/>
      <c r="L426" s="11"/>
      <c r="N426" s="12"/>
      <c r="O426" s="1" t="str">
        <f aca="false">IF(OR(D426="",G426=""),"",G426-D426)</f>
        <v/>
      </c>
    </row>
    <row r="427" customFormat="false" ht="15" hidden="false" customHeight="false" outlineLevel="0" collapsed="false">
      <c r="D427" s="11"/>
      <c r="E427" s="11"/>
      <c r="F427" s="11"/>
      <c r="G427" s="11"/>
      <c r="L427" s="11"/>
      <c r="N427" s="12"/>
      <c r="O427" s="1" t="str">
        <f aca="false">IF(OR(D427="",G427=""),"",G427-D427)</f>
        <v/>
      </c>
    </row>
    <row r="428" customFormat="false" ht="15" hidden="false" customHeight="false" outlineLevel="0" collapsed="false">
      <c r="D428" s="11"/>
      <c r="E428" s="11"/>
      <c r="F428" s="11"/>
      <c r="G428" s="11"/>
      <c r="L428" s="11"/>
      <c r="N428" s="12"/>
      <c r="O428" s="1" t="str">
        <f aca="false">IF(OR(D428="",G428=""),"",G428-D428)</f>
        <v/>
      </c>
    </row>
    <row r="429" customFormat="false" ht="15" hidden="false" customHeight="false" outlineLevel="0" collapsed="false">
      <c r="D429" s="11"/>
      <c r="E429" s="11"/>
      <c r="F429" s="11"/>
      <c r="G429" s="11"/>
      <c r="L429" s="11"/>
      <c r="N429" s="12"/>
      <c r="O429" s="1" t="str">
        <f aca="false">IF(OR(D429="",G429=""),"",G429-D429)</f>
        <v/>
      </c>
    </row>
    <row r="430" customFormat="false" ht="15" hidden="false" customHeight="false" outlineLevel="0" collapsed="false">
      <c r="D430" s="11"/>
      <c r="E430" s="11"/>
      <c r="F430" s="11"/>
      <c r="G430" s="11"/>
      <c r="L430" s="11"/>
      <c r="N430" s="12"/>
      <c r="O430" s="1" t="str">
        <f aca="false">IF(OR(D430="",G430=""),"",G430-D430)</f>
        <v/>
      </c>
    </row>
    <row r="431" customFormat="false" ht="15" hidden="false" customHeight="false" outlineLevel="0" collapsed="false">
      <c r="D431" s="11"/>
      <c r="E431" s="11"/>
      <c r="F431" s="11"/>
      <c r="G431" s="11"/>
      <c r="L431" s="11"/>
      <c r="N431" s="12"/>
      <c r="O431" s="1" t="str">
        <f aca="false">IF(OR(D431="",G431=""),"",G431-D431)</f>
        <v/>
      </c>
    </row>
    <row r="432" customFormat="false" ht="15" hidden="false" customHeight="false" outlineLevel="0" collapsed="false">
      <c r="D432" s="11"/>
      <c r="E432" s="11"/>
      <c r="F432" s="11"/>
      <c r="G432" s="11"/>
      <c r="L432" s="11"/>
      <c r="N432" s="12"/>
      <c r="O432" s="1" t="str">
        <f aca="false">IF(OR(D432="",G432=""),"",G432-D432)</f>
        <v/>
      </c>
    </row>
    <row r="433" customFormat="false" ht="15" hidden="false" customHeight="false" outlineLevel="0" collapsed="false">
      <c r="D433" s="11"/>
      <c r="E433" s="11"/>
      <c r="F433" s="11"/>
      <c r="G433" s="11"/>
      <c r="L433" s="11"/>
      <c r="N433" s="12"/>
      <c r="O433" s="1" t="str">
        <f aca="false">IF(OR(D433="",G433=""),"",G433-D433)</f>
        <v/>
      </c>
    </row>
    <row r="434" customFormat="false" ht="15" hidden="false" customHeight="false" outlineLevel="0" collapsed="false">
      <c r="D434" s="11"/>
      <c r="E434" s="11"/>
      <c r="F434" s="11"/>
      <c r="G434" s="11"/>
      <c r="L434" s="11"/>
      <c r="N434" s="12"/>
      <c r="O434" s="1" t="str">
        <f aca="false">IF(OR(D434="",G434=""),"",G434-D434)</f>
        <v/>
      </c>
    </row>
    <row r="435" customFormat="false" ht="15" hidden="false" customHeight="false" outlineLevel="0" collapsed="false">
      <c r="D435" s="11"/>
      <c r="E435" s="11"/>
      <c r="F435" s="11"/>
      <c r="G435" s="11"/>
      <c r="L435" s="11"/>
      <c r="N435" s="12"/>
      <c r="O435" s="1" t="str">
        <f aca="false">IF(OR(D435="",G435=""),"",G435-D435)</f>
        <v/>
      </c>
    </row>
    <row r="436" customFormat="false" ht="15" hidden="false" customHeight="false" outlineLevel="0" collapsed="false">
      <c r="D436" s="11"/>
      <c r="E436" s="11"/>
      <c r="F436" s="11"/>
      <c r="G436" s="11"/>
      <c r="L436" s="11"/>
      <c r="N436" s="12"/>
      <c r="O436" s="1" t="str">
        <f aca="false">IF(OR(D436="",G436=""),"",G436-D436)</f>
        <v/>
      </c>
    </row>
    <row r="437" customFormat="false" ht="15" hidden="false" customHeight="false" outlineLevel="0" collapsed="false">
      <c r="D437" s="11"/>
      <c r="E437" s="11"/>
      <c r="F437" s="11"/>
      <c r="G437" s="11"/>
      <c r="L437" s="11"/>
      <c r="N437" s="12"/>
      <c r="O437" s="1" t="str">
        <f aca="false">IF(OR(D437="",G437=""),"",G437-D437)</f>
        <v/>
      </c>
    </row>
    <row r="438" customFormat="false" ht="15" hidden="false" customHeight="false" outlineLevel="0" collapsed="false">
      <c r="D438" s="11"/>
      <c r="E438" s="11"/>
      <c r="F438" s="11"/>
      <c r="G438" s="11"/>
      <c r="L438" s="11"/>
      <c r="N438" s="12"/>
      <c r="O438" s="1" t="str">
        <f aca="false">IF(OR(D438="",G438=""),"",G438-D438)</f>
        <v/>
      </c>
    </row>
    <row r="439" customFormat="false" ht="15" hidden="false" customHeight="false" outlineLevel="0" collapsed="false">
      <c r="D439" s="11"/>
      <c r="E439" s="11"/>
      <c r="F439" s="11"/>
      <c r="G439" s="11"/>
      <c r="L439" s="11"/>
      <c r="N439" s="12"/>
      <c r="O439" s="1" t="str">
        <f aca="false">IF(OR(D439="",G439=""),"",G439-D439)</f>
        <v/>
      </c>
    </row>
    <row r="440" customFormat="false" ht="15" hidden="false" customHeight="false" outlineLevel="0" collapsed="false">
      <c r="D440" s="11"/>
      <c r="E440" s="11"/>
      <c r="F440" s="11"/>
      <c r="G440" s="11"/>
      <c r="L440" s="11"/>
      <c r="N440" s="12"/>
      <c r="O440" s="1" t="str">
        <f aca="false">IF(OR(D440="",G440=""),"",G440-D440)</f>
        <v/>
      </c>
    </row>
    <row r="441" customFormat="false" ht="15" hidden="false" customHeight="false" outlineLevel="0" collapsed="false">
      <c r="D441" s="11"/>
      <c r="E441" s="11"/>
      <c r="F441" s="11"/>
      <c r="G441" s="11"/>
      <c r="L441" s="11"/>
      <c r="N441" s="12"/>
      <c r="O441" s="1" t="str">
        <f aca="false">IF(OR(D441="",G441=""),"",G441-D441)</f>
        <v/>
      </c>
    </row>
    <row r="442" customFormat="false" ht="15" hidden="false" customHeight="false" outlineLevel="0" collapsed="false">
      <c r="D442" s="11"/>
      <c r="E442" s="11"/>
      <c r="F442" s="11"/>
      <c r="G442" s="11"/>
      <c r="L442" s="11"/>
      <c r="N442" s="12"/>
      <c r="O442" s="1" t="str">
        <f aca="false">IF(OR(D442="",G442=""),"",G442-D442)</f>
        <v/>
      </c>
    </row>
    <row r="443" customFormat="false" ht="15" hidden="false" customHeight="false" outlineLevel="0" collapsed="false">
      <c r="D443" s="11"/>
      <c r="E443" s="11"/>
      <c r="F443" s="11"/>
      <c r="G443" s="11"/>
      <c r="L443" s="11"/>
      <c r="N443" s="12"/>
      <c r="O443" s="1" t="str">
        <f aca="false">IF(OR(D443="",G443=""),"",G443-D443)</f>
        <v/>
      </c>
    </row>
    <row r="444" customFormat="false" ht="15" hidden="false" customHeight="false" outlineLevel="0" collapsed="false">
      <c r="D444" s="11"/>
      <c r="E444" s="11"/>
      <c r="F444" s="11"/>
      <c r="G444" s="11"/>
      <c r="L444" s="11"/>
      <c r="N444" s="12"/>
      <c r="O444" s="1" t="str">
        <f aca="false">IF(OR(D444="",G444=""),"",G444-D444)</f>
        <v/>
      </c>
    </row>
    <row r="445" customFormat="false" ht="15" hidden="false" customHeight="false" outlineLevel="0" collapsed="false">
      <c r="D445" s="11"/>
      <c r="E445" s="11"/>
      <c r="F445" s="11"/>
      <c r="G445" s="11"/>
      <c r="L445" s="11"/>
      <c r="N445" s="12"/>
      <c r="O445" s="1" t="str">
        <f aca="false">IF(OR(D445="",G445=""),"",G445-D445)</f>
        <v/>
      </c>
    </row>
    <row r="446" customFormat="false" ht="15" hidden="false" customHeight="false" outlineLevel="0" collapsed="false">
      <c r="D446" s="11"/>
      <c r="E446" s="11"/>
      <c r="F446" s="11"/>
      <c r="G446" s="11"/>
      <c r="L446" s="11"/>
      <c r="N446" s="12"/>
      <c r="O446" s="1" t="str">
        <f aca="false">IF(OR(D446="",G446=""),"",G446-D446)</f>
        <v/>
      </c>
    </row>
    <row r="447" customFormat="false" ht="15" hidden="false" customHeight="false" outlineLevel="0" collapsed="false">
      <c r="D447" s="11"/>
      <c r="E447" s="11"/>
      <c r="F447" s="11"/>
      <c r="G447" s="11"/>
      <c r="L447" s="11"/>
      <c r="N447" s="12"/>
      <c r="O447" s="1" t="str">
        <f aca="false">IF(OR(D447="",G447=""),"",G447-D447)</f>
        <v/>
      </c>
    </row>
    <row r="448" customFormat="false" ht="15" hidden="false" customHeight="false" outlineLevel="0" collapsed="false">
      <c r="D448" s="11"/>
      <c r="E448" s="11"/>
      <c r="F448" s="11"/>
      <c r="G448" s="11"/>
      <c r="L448" s="11"/>
      <c r="N448" s="12"/>
      <c r="O448" s="1" t="str">
        <f aca="false">IF(OR(D448="",G448=""),"",G448-D448)</f>
        <v/>
      </c>
    </row>
    <row r="449" customFormat="false" ht="15" hidden="false" customHeight="false" outlineLevel="0" collapsed="false">
      <c r="D449" s="11"/>
      <c r="E449" s="11"/>
      <c r="F449" s="11"/>
      <c r="G449" s="11"/>
      <c r="L449" s="11"/>
      <c r="N449" s="12"/>
      <c r="O449" s="1" t="str">
        <f aca="false">IF(OR(D449="",G449=""),"",G449-D449)</f>
        <v/>
      </c>
    </row>
    <row r="450" customFormat="false" ht="15" hidden="false" customHeight="false" outlineLevel="0" collapsed="false">
      <c r="D450" s="11"/>
      <c r="E450" s="11"/>
      <c r="F450" s="11"/>
      <c r="G450" s="11"/>
      <c r="L450" s="11"/>
      <c r="N450" s="12"/>
      <c r="O450" s="1" t="str">
        <f aca="false">IF(OR(D450="",G450=""),"",G450-D450)</f>
        <v/>
      </c>
    </row>
    <row r="451" customFormat="false" ht="15" hidden="false" customHeight="false" outlineLevel="0" collapsed="false">
      <c r="D451" s="11"/>
      <c r="E451" s="11"/>
      <c r="F451" s="11"/>
      <c r="G451" s="11"/>
      <c r="L451" s="11"/>
      <c r="N451" s="12"/>
      <c r="O451" s="1" t="str">
        <f aca="false">IF(OR(D451="",G451=""),"",G451-D451)</f>
        <v/>
      </c>
    </row>
    <row r="452" customFormat="false" ht="15" hidden="false" customHeight="false" outlineLevel="0" collapsed="false">
      <c r="D452" s="11"/>
      <c r="E452" s="11"/>
      <c r="F452" s="11"/>
      <c r="G452" s="11"/>
      <c r="L452" s="11"/>
      <c r="N452" s="12"/>
      <c r="O452" s="1" t="str">
        <f aca="false">IF(OR(D452="",G452=""),"",G452-D452)</f>
        <v/>
      </c>
    </row>
    <row r="453" customFormat="false" ht="15" hidden="false" customHeight="false" outlineLevel="0" collapsed="false">
      <c r="D453" s="11"/>
      <c r="E453" s="11"/>
      <c r="F453" s="11"/>
      <c r="G453" s="11"/>
      <c r="L453" s="11"/>
      <c r="N453" s="12"/>
      <c r="O453" s="1" t="str">
        <f aca="false">IF(OR(D453="",G453=""),"",G453-D453)</f>
        <v/>
      </c>
    </row>
    <row r="454" customFormat="false" ht="15" hidden="false" customHeight="false" outlineLevel="0" collapsed="false">
      <c r="D454" s="11"/>
      <c r="E454" s="11"/>
      <c r="F454" s="11"/>
      <c r="G454" s="11"/>
      <c r="L454" s="11"/>
      <c r="N454" s="12"/>
      <c r="O454" s="1" t="str">
        <f aca="false">IF(OR(D454="",G454=""),"",G454-D454)</f>
        <v/>
      </c>
    </row>
    <row r="455" customFormat="false" ht="15" hidden="false" customHeight="false" outlineLevel="0" collapsed="false">
      <c r="D455" s="11"/>
      <c r="E455" s="11"/>
      <c r="F455" s="11"/>
      <c r="G455" s="11"/>
      <c r="L455" s="11"/>
      <c r="N455" s="12"/>
      <c r="O455" s="1" t="str">
        <f aca="false">IF(OR(D455="",G455=""),"",G455-D455)</f>
        <v/>
      </c>
    </row>
    <row r="456" customFormat="false" ht="15" hidden="false" customHeight="false" outlineLevel="0" collapsed="false">
      <c r="D456" s="11"/>
      <c r="E456" s="11"/>
      <c r="F456" s="11"/>
      <c r="G456" s="11"/>
      <c r="L456" s="11"/>
      <c r="N456" s="12"/>
      <c r="O456" s="1" t="str">
        <f aca="false">IF(OR(D456="",G456=""),"",G456-D456)</f>
        <v/>
      </c>
    </row>
    <row r="457" customFormat="false" ht="15" hidden="false" customHeight="false" outlineLevel="0" collapsed="false">
      <c r="D457" s="11"/>
      <c r="E457" s="11"/>
      <c r="F457" s="11"/>
      <c r="G457" s="11"/>
      <c r="L457" s="11"/>
      <c r="N457" s="12"/>
      <c r="O457" s="1" t="str">
        <f aca="false">IF(OR(D457="",G457=""),"",G457-D457)</f>
        <v/>
      </c>
    </row>
    <row r="458" customFormat="false" ht="15" hidden="false" customHeight="false" outlineLevel="0" collapsed="false">
      <c r="D458" s="11"/>
      <c r="E458" s="11"/>
      <c r="F458" s="11"/>
      <c r="G458" s="11"/>
      <c r="L458" s="11"/>
      <c r="N458" s="12"/>
      <c r="O458" s="1" t="str">
        <f aca="false">IF(OR(D458="",G458=""),"",G458-D458)</f>
        <v/>
      </c>
    </row>
    <row r="459" customFormat="false" ht="15" hidden="false" customHeight="false" outlineLevel="0" collapsed="false">
      <c r="D459" s="11"/>
      <c r="E459" s="11"/>
      <c r="F459" s="11"/>
      <c r="G459" s="11"/>
      <c r="L459" s="11"/>
      <c r="N459" s="12"/>
      <c r="O459" s="1" t="str">
        <f aca="false">IF(OR(D459="",G459=""),"",G459-D459)</f>
        <v/>
      </c>
    </row>
    <row r="460" customFormat="false" ht="15" hidden="false" customHeight="false" outlineLevel="0" collapsed="false">
      <c r="D460" s="11"/>
      <c r="E460" s="11"/>
      <c r="F460" s="11"/>
      <c r="G460" s="11"/>
      <c r="L460" s="11"/>
      <c r="N460" s="12"/>
      <c r="O460" s="1" t="str">
        <f aca="false">IF(OR(D460="",G460=""),"",G460-D460)</f>
        <v/>
      </c>
    </row>
    <row r="461" customFormat="false" ht="15" hidden="false" customHeight="false" outlineLevel="0" collapsed="false">
      <c r="D461" s="11"/>
      <c r="E461" s="11"/>
      <c r="F461" s="11"/>
      <c r="G461" s="11"/>
      <c r="L461" s="11"/>
      <c r="N461" s="12"/>
      <c r="O461" s="1" t="str">
        <f aca="false">IF(OR(D461="",G461=""),"",G461-D461)</f>
        <v/>
      </c>
    </row>
    <row r="462" customFormat="false" ht="15" hidden="false" customHeight="false" outlineLevel="0" collapsed="false">
      <c r="D462" s="11"/>
      <c r="E462" s="11"/>
      <c r="F462" s="11"/>
      <c r="G462" s="11"/>
      <c r="L462" s="11"/>
      <c r="N462" s="12"/>
      <c r="O462" s="1" t="str">
        <f aca="false">IF(OR(D462="",G462=""),"",G462-D462)</f>
        <v/>
      </c>
    </row>
    <row r="463" customFormat="false" ht="15" hidden="false" customHeight="false" outlineLevel="0" collapsed="false">
      <c r="D463" s="11"/>
      <c r="E463" s="11"/>
      <c r="F463" s="11"/>
      <c r="G463" s="11"/>
      <c r="L463" s="11"/>
      <c r="N463" s="12"/>
      <c r="O463" s="1" t="str">
        <f aca="false">IF(OR(D463="",G463=""),"",G463-D463)</f>
        <v/>
      </c>
    </row>
    <row r="464" customFormat="false" ht="15" hidden="false" customHeight="false" outlineLevel="0" collapsed="false">
      <c r="D464" s="11"/>
      <c r="E464" s="11"/>
      <c r="F464" s="11"/>
      <c r="G464" s="11"/>
      <c r="L464" s="11"/>
      <c r="N464" s="12"/>
      <c r="O464" s="1" t="str">
        <f aca="false">IF(OR(D464="",G464=""),"",G464-D464)</f>
        <v/>
      </c>
    </row>
    <row r="465" customFormat="false" ht="15" hidden="false" customHeight="false" outlineLevel="0" collapsed="false">
      <c r="D465" s="11"/>
      <c r="E465" s="11"/>
      <c r="F465" s="11"/>
      <c r="G465" s="11"/>
      <c r="L465" s="11"/>
      <c r="N465" s="12"/>
      <c r="O465" s="1" t="str">
        <f aca="false">IF(OR(D465="",G465=""),"",G465-D465)</f>
        <v/>
      </c>
    </row>
    <row r="466" customFormat="false" ht="15" hidden="false" customHeight="false" outlineLevel="0" collapsed="false">
      <c r="D466" s="11"/>
      <c r="E466" s="11"/>
      <c r="F466" s="11"/>
      <c r="G466" s="11"/>
      <c r="L466" s="11"/>
      <c r="N466" s="12"/>
      <c r="O466" s="1" t="str">
        <f aca="false">IF(OR(D466="",G466=""),"",G466-D466)</f>
        <v/>
      </c>
    </row>
    <row r="467" customFormat="false" ht="15" hidden="false" customHeight="false" outlineLevel="0" collapsed="false">
      <c r="D467" s="11"/>
      <c r="E467" s="11"/>
      <c r="F467" s="11"/>
      <c r="G467" s="11"/>
      <c r="L467" s="11"/>
      <c r="N467" s="12"/>
      <c r="O467" s="1" t="str">
        <f aca="false">IF(OR(D467="",G467=""),"",G467-D467)</f>
        <v/>
      </c>
    </row>
    <row r="468" customFormat="false" ht="15" hidden="false" customHeight="false" outlineLevel="0" collapsed="false">
      <c r="D468" s="11"/>
      <c r="E468" s="11"/>
      <c r="F468" s="11"/>
      <c r="G468" s="11"/>
      <c r="L468" s="11"/>
      <c r="N468" s="12"/>
      <c r="O468" s="1" t="str">
        <f aca="false">IF(OR(D468="",G468=""),"",G468-D468)</f>
        <v/>
      </c>
    </row>
    <row r="469" customFormat="false" ht="15" hidden="false" customHeight="false" outlineLevel="0" collapsed="false">
      <c r="D469" s="11"/>
      <c r="E469" s="11"/>
      <c r="F469" s="11"/>
      <c r="G469" s="11"/>
      <c r="L469" s="11"/>
      <c r="N469" s="12"/>
      <c r="O469" s="1" t="str">
        <f aca="false">IF(OR(D469="",G469=""),"",G469-D469)</f>
        <v/>
      </c>
    </row>
    <row r="470" customFormat="false" ht="15" hidden="false" customHeight="false" outlineLevel="0" collapsed="false">
      <c r="D470" s="11"/>
      <c r="E470" s="11"/>
      <c r="F470" s="11"/>
      <c r="G470" s="11"/>
      <c r="L470" s="11"/>
      <c r="N470" s="12"/>
      <c r="O470" s="1" t="str">
        <f aca="false">IF(OR(D470="",G470=""),"",G470-D470)</f>
        <v/>
      </c>
    </row>
    <row r="471" customFormat="false" ht="15" hidden="false" customHeight="false" outlineLevel="0" collapsed="false">
      <c r="D471" s="11"/>
      <c r="E471" s="11"/>
      <c r="F471" s="11"/>
      <c r="G471" s="11"/>
      <c r="L471" s="11"/>
      <c r="N471" s="12"/>
      <c r="O471" s="1" t="str">
        <f aca="false">IF(OR(D471="",G471=""),"",G471-D471)</f>
        <v/>
      </c>
    </row>
    <row r="472" customFormat="false" ht="15" hidden="false" customHeight="false" outlineLevel="0" collapsed="false">
      <c r="D472" s="11"/>
      <c r="E472" s="11"/>
      <c r="F472" s="11"/>
      <c r="G472" s="11"/>
      <c r="L472" s="11"/>
      <c r="N472" s="12"/>
      <c r="O472" s="1" t="str">
        <f aca="false">IF(OR(D472="",G472=""),"",G472-D472)</f>
        <v/>
      </c>
    </row>
    <row r="473" customFormat="false" ht="15" hidden="false" customHeight="false" outlineLevel="0" collapsed="false">
      <c r="D473" s="11"/>
      <c r="E473" s="11"/>
      <c r="F473" s="11"/>
      <c r="G473" s="11"/>
      <c r="L473" s="11"/>
      <c r="N473" s="12"/>
      <c r="O473" s="1" t="str">
        <f aca="false">IF(OR(D473="",G473=""),"",G473-D473)</f>
        <v/>
      </c>
    </row>
    <row r="474" customFormat="false" ht="15" hidden="false" customHeight="false" outlineLevel="0" collapsed="false">
      <c r="D474" s="11"/>
      <c r="E474" s="11"/>
      <c r="F474" s="11"/>
      <c r="G474" s="11"/>
      <c r="L474" s="11"/>
      <c r="N474" s="12"/>
      <c r="O474" s="1" t="str">
        <f aca="false">IF(OR(D474="",G474=""),"",G474-D474)</f>
        <v/>
      </c>
    </row>
    <row r="475" customFormat="false" ht="15" hidden="false" customHeight="false" outlineLevel="0" collapsed="false">
      <c r="D475" s="11"/>
      <c r="E475" s="11"/>
      <c r="F475" s="11"/>
      <c r="G475" s="11"/>
      <c r="L475" s="11"/>
      <c r="N475" s="12"/>
      <c r="O475" s="1" t="str">
        <f aca="false">IF(OR(D475="",G475=""),"",G475-D475)</f>
        <v/>
      </c>
    </row>
    <row r="476" customFormat="false" ht="15" hidden="false" customHeight="false" outlineLevel="0" collapsed="false">
      <c r="D476" s="11"/>
      <c r="E476" s="11"/>
      <c r="F476" s="11"/>
      <c r="G476" s="11"/>
      <c r="L476" s="11"/>
      <c r="N476" s="12"/>
      <c r="O476" s="1" t="str">
        <f aca="false">IF(OR(D476="",G476=""),"",G476-D476)</f>
        <v/>
      </c>
    </row>
    <row r="477" customFormat="false" ht="15" hidden="false" customHeight="false" outlineLevel="0" collapsed="false">
      <c r="D477" s="11"/>
      <c r="E477" s="11"/>
      <c r="F477" s="11"/>
      <c r="G477" s="11"/>
      <c r="L477" s="11"/>
      <c r="N477" s="12"/>
      <c r="O477" s="1" t="str">
        <f aca="false">IF(OR(D477="",G477=""),"",G477-D477)</f>
        <v/>
      </c>
    </row>
    <row r="478" customFormat="false" ht="15" hidden="false" customHeight="false" outlineLevel="0" collapsed="false">
      <c r="D478" s="11"/>
      <c r="E478" s="11"/>
      <c r="F478" s="11"/>
      <c r="G478" s="11"/>
      <c r="L478" s="11"/>
      <c r="N478" s="12"/>
      <c r="O478" s="1" t="str">
        <f aca="false">IF(OR(D478="",G478=""),"",G478-D478)</f>
        <v/>
      </c>
    </row>
    <row r="479" customFormat="false" ht="15" hidden="false" customHeight="false" outlineLevel="0" collapsed="false">
      <c r="D479" s="11"/>
      <c r="E479" s="11"/>
      <c r="F479" s="11"/>
      <c r="G479" s="11"/>
      <c r="L479" s="11"/>
      <c r="N479" s="12"/>
      <c r="O479" s="1" t="str">
        <f aca="false">IF(OR(D479="",G479=""),"",G479-D479)</f>
        <v/>
      </c>
    </row>
    <row r="480" customFormat="false" ht="15" hidden="false" customHeight="false" outlineLevel="0" collapsed="false">
      <c r="D480" s="11"/>
      <c r="E480" s="11"/>
      <c r="F480" s="11"/>
      <c r="G480" s="11"/>
      <c r="L480" s="11"/>
      <c r="N480" s="12"/>
      <c r="O480" s="1" t="str">
        <f aca="false">IF(OR(D480="",G480=""),"",G480-D480)</f>
        <v/>
      </c>
    </row>
    <row r="481" customFormat="false" ht="15" hidden="false" customHeight="false" outlineLevel="0" collapsed="false">
      <c r="D481" s="11"/>
      <c r="E481" s="11"/>
      <c r="F481" s="11"/>
      <c r="G481" s="11"/>
      <c r="L481" s="11"/>
      <c r="N481" s="12"/>
      <c r="O481" s="1" t="str">
        <f aca="false">IF(OR(D481="",G481=""),"",G481-D481)</f>
        <v/>
      </c>
    </row>
    <row r="482" customFormat="false" ht="15" hidden="false" customHeight="false" outlineLevel="0" collapsed="false">
      <c r="D482" s="11"/>
      <c r="E482" s="11"/>
      <c r="F482" s="11"/>
      <c r="G482" s="11"/>
      <c r="L482" s="11"/>
      <c r="N482" s="12"/>
      <c r="O482" s="1" t="str">
        <f aca="false">IF(OR(D482="",G482=""),"",G482-D482)</f>
        <v/>
      </c>
    </row>
    <row r="483" customFormat="false" ht="15" hidden="false" customHeight="false" outlineLevel="0" collapsed="false">
      <c r="D483" s="11"/>
      <c r="E483" s="11"/>
      <c r="F483" s="11"/>
      <c r="G483" s="11"/>
      <c r="L483" s="11"/>
      <c r="N483" s="12"/>
      <c r="O483" s="1" t="str">
        <f aca="false">IF(OR(D483="",G483=""),"",G483-D483)</f>
        <v/>
      </c>
    </row>
    <row r="484" customFormat="false" ht="15" hidden="false" customHeight="false" outlineLevel="0" collapsed="false">
      <c r="D484" s="11"/>
      <c r="E484" s="11"/>
      <c r="F484" s="11"/>
      <c r="G484" s="11"/>
      <c r="L484" s="11"/>
      <c r="N484" s="12"/>
      <c r="O484" s="1" t="str">
        <f aca="false">IF(OR(D484="",G484=""),"",G484-D484)</f>
        <v/>
      </c>
    </row>
    <row r="485" customFormat="false" ht="15" hidden="false" customHeight="false" outlineLevel="0" collapsed="false">
      <c r="D485" s="11"/>
      <c r="E485" s="11"/>
      <c r="F485" s="11"/>
      <c r="G485" s="11"/>
      <c r="L485" s="11"/>
      <c r="N485" s="12"/>
      <c r="O485" s="1" t="str">
        <f aca="false">IF(OR(D485="",G485=""),"",G485-D485)</f>
        <v/>
      </c>
    </row>
    <row r="486" customFormat="false" ht="15" hidden="false" customHeight="false" outlineLevel="0" collapsed="false">
      <c r="D486" s="11"/>
      <c r="E486" s="11"/>
      <c r="F486" s="11"/>
      <c r="G486" s="11"/>
      <c r="L486" s="11"/>
      <c r="N486" s="12"/>
      <c r="O486" s="1" t="str">
        <f aca="false">IF(OR(D486="",G486=""),"",G486-D486)</f>
        <v/>
      </c>
    </row>
    <row r="487" customFormat="false" ht="15" hidden="false" customHeight="false" outlineLevel="0" collapsed="false">
      <c r="D487" s="11"/>
      <c r="E487" s="11"/>
      <c r="F487" s="11"/>
      <c r="G487" s="11"/>
      <c r="L487" s="11"/>
      <c r="N487" s="12"/>
      <c r="O487" s="1" t="str">
        <f aca="false">IF(OR(D487="",G487=""),"",G487-D487)</f>
        <v/>
      </c>
    </row>
    <row r="488" customFormat="false" ht="15" hidden="false" customHeight="false" outlineLevel="0" collapsed="false">
      <c r="D488" s="11"/>
      <c r="E488" s="11"/>
      <c r="F488" s="11"/>
      <c r="G488" s="11"/>
      <c r="L488" s="11"/>
      <c r="N488" s="12"/>
      <c r="O488" s="1" t="str">
        <f aca="false">IF(OR(D488="",G488=""),"",G488-D488)</f>
        <v/>
      </c>
    </row>
    <row r="489" customFormat="false" ht="15" hidden="false" customHeight="false" outlineLevel="0" collapsed="false">
      <c r="D489" s="11"/>
      <c r="E489" s="11"/>
      <c r="F489" s="11"/>
      <c r="G489" s="11"/>
      <c r="L489" s="11"/>
      <c r="N489" s="12"/>
      <c r="O489" s="1" t="str">
        <f aca="false">IF(OR(D489="",G489=""),"",G489-D489)</f>
        <v/>
      </c>
    </row>
    <row r="490" customFormat="false" ht="15" hidden="false" customHeight="false" outlineLevel="0" collapsed="false">
      <c r="D490" s="11"/>
      <c r="E490" s="11"/>
      <c r="F490" s="11"/>
      <c r="G490" s="11"/>
      <c r="L490" s="11"/>
      <c r="N490" s="12"/>
      <c r="O490" s="1" t="str">
        <f aca="false">IF(OR(D490="",G490=""),"",G490-D490)</f>
        <v/>
      </c>
    </row>
    <row r="491" customFormat="false" ht="15" hidden="false" customHeight="false" outlineLevel="0" collapsed="false">
      <c r="D491" s="11"/>
      <c r="E491" s="11"/>
      <c r="F491" s="11"/>
      <c r="G491" s="11"/>
      <c r="L491" s="11"/>
      <c r="N491" s="12"/>
      <c r="O491" s="1" t="str">
        <f aca="false">IF(OR(D491="",G491=""),"",G491-D491)</f>
        <v/>
      </c>
    </row>
    <row r="492" customFormat="false" ht="15" hidden="false" customHeight="false" outlineLevel="0" collapsed="false">
      <c r="D492" s="11"/>
      <c r="E492" s="11"/>
      <c r="F492" s="11"/>
      <c r="G492" s="11"/>
      <c r="L492" s="11"/>
      <c r="N492" s="12"/>
      <c r="O492" s="1" t="str">
        <f aca="false">IF(OR(D492="",G492=""),"",G492-D492)</f>
        <v/>
      </c>
    </row>
    <row r="493" customFormat="false" ht="15" hidden="false" customHeight="false" outlineLevel="0" collapsed="false">
      <c r="D493" s="11"/>
      <c r="E493" s="11"/>
      <c r="F493" s="11"/>
      <c r="G493" s="11"/>
      <c r="L493" s="11"/>
      <c r="N493" s="12"/>
      <c r="O493" s="1" t="str">
        <f aca="false">IF(OR(D493="",G493=""),"",G493-D493)</f>
        <v/>
      </c>
    </row>
    <row r="494" customFormat="false" ht="15" hidden="false" customHeight="false" outlineLevel="0" collapsed="false">
      <c r="D494" s="11"/>
      <c r="E494" s="11"/>
      <c r="F494" s="11"/>
      <c r="G494" s="11"/>
      <c r="L494" s="11"/>
      <c r="N494" s="12"/>
      <c r="O494" s="1" t="str">
        <f aca="false">IF(OR(D494="",G494=""),"",G494-D494)</f>
        <v/>
      </c>
    </row>
    <row r="495" customFormat="false" ht="15" hidden="false" customHeight="false" outlineLevel="0" collapsed="false">
      <c r="D495" s="11"/>
      <c r="E495" s="11"/>
      <c r="F495" s="11"/>
      <c r="G495" s="11"/>
      <c r="L495" s="11"/>
      <c r="N495" s="12"/>
      <c r="O495" s="1" t="str">
        <f aca="false">IF(OR(D495="",G495=""),"",G495-D495)</f>
        <v/>
      </c>
    </row>
    <row r="496" customFormat="false" ht="15" hidden="false" customHeight="false" outlineLevel="0" collapsed="false">
      <c r="D496" s="11"/>
      <c r="E496" s="11"/>
      <c r="F496" s="11"/>
      <c r="G496" s="11"/>
      <c r="L496" s="11"/>
      <c r="N496" s="12"/>
      <c r="O496" s="1" t="str">
        <f aca="false">IF(OR(D496="",G496=""),"",G496-D496)</f>
        <v/>
      </c>
    </row>
    <row r="497" customFormat="false" ht="15" hidden="false" customHeight="false" outlineLevel="0" collapsed="false">
      <c r="D497" s="11"/>
      <c r="E497" s="11"/>
      <c r="F497" s="11"/>
      <c r="G497" s="11"/>
      <c r="L497" s="11"/>
      <c r="N497" s="12"/>
      <c r="O497" s="1" t="str">
        <f aca="false">IF(OR(D497="",G497=""),"",G497-D497)</f>
        <v/>
      </c>
    </row>
    <row r="498" customFormat="false" ht="15" hidden="false" customHeight="false" outlineLevel="0" collapsed="false">
      <c r="D498" s="11"/>
      <c r="E498" s="11"/>
      <c r="F498" s="11"/>
      <c r="G498" s="11"/>
      <c r="L498" s="11"/>
      <c r="N498" s="12"/>
      <c r="O498" s="1" t="str">
        <f aca="false">IF(OR(D498="",G498=""),"",G498-D498)</f>
        <v/>
      </c>
    </row>
    <row r="499" customFormat="false" ht="15" hidden="false" customHeight="false" outlineLevel="0" collapsed="false">
      <c r="D499" s="11"/>
      <c r="E499" s="11"/>
      <c r="F499" s="11"/>
      <c r="G499" s="11"/>
      <c r="L499" s="11"/>
      <c r="N499" s="12"/>
      <c r="O499" s="1" t="str">
        <f aca="false">IF(OR(D499="",G499=""),"",G499-D499)</f>
        <v/>
      </c>
    </row>
    <row r="500" customFormat="false" ht="15" hidden="false" customHeight="false" outlineLevel="0" collapsed="false">
      <c r="D500" s="11"/>
      <c r="E500" s="11"/>
      <c r="F500" s="11"/>
      <c r="G500" s="11"/>
      <c r="L500" s="11"/>
      <c r="N500" s="12"/>
      <c r="O500" s="1" t="str">
        <f aca="false">IF(OR(D500="",G500=""),"",G500-D500)</f>
        <v/>
      </c>
    </row>
    <row r="501" customFormat="false" ht="15" hidden="false" customHeight="false" outlineLevel="0" collapsed="false">
      <c r="D501" s="11"/>
      <c r="E501" s="11"/>
      <c r="F501" s="11"/>
      <c r="G501" s="11"/>
      <c r="L501" s="11"/>
      <c r="N501" s="12"/>
      <c r="O501" s="1" t="str">
        <f aca="false">IF(OR(D501="",G501=""),"",G501-D501)</f>
        <v/>
      </c>
    </row>
    <row r="502" customFormat="false" ht="15" hidden="false" customHeight="false" outlineLevel="0" collapsed="false">
      <c r="D502" s="11"/>
      <c r="E502" s="11"/>
      <c r="F502" s="11"/>
      <c r="G502" s="11"/>
      <c r="L502" s="11"/>
      <c r="N502" s="12"/>
      <c r="O502" s="1" t="str">
        <f aca="false">IF(OR(D502="",G502=""),"",G502-D502)</f>
        <v/>
      </c>
    </row>
    <row r="503" customFormat="false" ht="15" hidden="false" customHeight="false" outlineLevel="0" collapsed="false">
      <c r="D503" s="11"/>
      <c r="E503" s="11"/>
      <c r="F503" s="11"/>
      <c r="G503" s="11"/>
      <c r="L503" s="11"/>
      <c r="N503" s="12"/>
      <c r="O503" s="1" t="str">
        <f aca="false">IF(OR(D503="",G503=""),"",G503-D503)</f>
        <v/>
      </c>
    </row>
    <row r="504" customFormat="false" ht="15" hidden="false" customHeight="false" outlineLevel="0" collapsed="false">
      <c r="D504" s="11"/>
      <c r="E504" s="11"/>
      <c r="F504" s="11"/>
      <c r="G504" s="11"/>
      <c r="L504" s="11"/>
      <c r="N504" s="12"/>
      <c r="O504" s="1" t="str">
        <f aca="false">IF(OR(D504="",G504=""),"",G504-D504)</f>
        <v/>
      </c>
    </row>
    <row r="505" customFormat="false" ht="15" hidden="false" customHeight="false" outlineLevel="0" collapsed="false">
      <c r="D505" s="11"/>
      <c r="E505" s="11"/>
      <c r="F505" s="11"/>
      <c r="G505" s="11"/>
      <c r="L505" s="11"/>
      <c r="N505" s="12"/>
      <c r="O505" s="1" t="str">
        <f aca="false">IF(OR(D505="",G505=""),"",G505-D505)</f>
        <v/>
      </c>
    </row>
    <row r="506" customFormat="false" ht="15" hidden="false" customHeight="false" outlineLevel="0" collapsed="false">
      <c r="D506" s="11"/>
      <c r="E506" s="11"/>
      <c r="F506" s="11"/>
      <c r="G506" s="11"/>
      <c r="L506" s="11"/>
      <c r="N506" s="12"/>
      <c r="O506" s="1" t="str">
        <f aca="false">IF(OR(D506="",G506=""),"",G506-D506)</f>
        <v/>
      </c>
    </row>
    <row r="507" customFormat="false" ht="15" hidden="false" customHeight="false" outlineLevel="0" collapsed="false">
      <c r="D507" s="11"/>
      <c r="E507" s="11"/>
      <c r="F507" s="11"/>
      <c r="G507" s="11"/>
      <c r="L507" s="11"/>
      <c r="N507" s="12"/>
      <c r="O507" s="1" t="str">
        <f aca="false">IF(OR(D507="",G507=""),"",G507-D507)</f>
        <v/>
      </c>
    </row>
    <row r="508" customFormat="false" ht="15" hidden="false" customHeight="false" outlineLevel="0" collapsed="false">
      <c r="D508" s="11"/>
      <c r="E508" s="11"/>
      <c r="F508" s="11"/>
      <c r="G508" s="11"/>
      <c r="L508" s="11"/>
      <c r="N508" s="12"/>
      <c r="O508" s="1" t="str">
        <f aca="false">IF(OR(D508="",G508=""),"",G508-D508)</f>
        <v/>
      </c>
    </row>
    <row r="509" customFormat="false" ht="15" hidden="false" customHeight="false" outlineLevel="0" collapsed="false">
      <c r="D509" s="11"/>
      <c r="E509" s="11"/>
      <c r="F509" s="11"/>
      <c r="G509" s="11"/>
      <c r="L509" s="11"/>
      <c r="N509" s="12"/>
      <c r="O509" s="1" t="str">
        <f aca="false">IF(OR(D509="",G509=""),"",G509-D509)</f>
        <v/>
      </c>
    </row>
    <row r="510" customFormat="false" ht="15" hidden="false" customHeight="false" outlineLevel="0" collapsed="false">
      <c r="D510" s="11"/>
      <c r="E510" s="11"/>
      <c r="F510" s="11"/>
      <c r="G510" s="11"/>
      <c r="L510" s="11"/>
      <c r="N510" s="12"/>
      <c r="O510" s="1" t="str">
        <f aca="false">IF(OR(D510="",G510=""),"",G510-D510)</f>
        <v/>
      </c>
    </row>
    <row r="511" customFormat="false" ht="15" hidden="false" customHeight="false" outlineLevel="0" collapsed="false">
      <c r="D511" s="11"/>
      <c r="E511" s="11"/>
      <c r="F511" s="11"/>
      <c r="G511" s="11"/>
      <c r="L511" s="11"/>
      <c r="N511" s="12"/>
      <c r="O511" s="1" t="str">
        <f aca="false">IF(OR(D511="",G511=""),"",G511-D511)</f>
        <v/>
      </c>
    </row>
    <row r="512" customFormat="false" ht="15" hidden="false" customHeight="false" outlineLevel="0" collapsed="false">
      <c r="D512" s="11"/>
      <c r="E512" s="11"/>
      <c r="F512" s="11"/>
      <c r="G512" s="11"/>
      <c r="L512" s="11"/>
      <c r="N512" s="12"/>
      <c r="O512" s="1" t="str">
        <f aca="false">IF(OR(D512="",G512=""),"",G512-D512)</f>
        <v/>
      </c>
    </row>
    <row r="513" customFormat="false" ht="15" hidden="false" customHeight="false" outlineLevel="0" collapsed="false">
      <c r="D513" s="11"/>
      <c r="E513" s="11"/>
      <c r="F513" s="11"/>
      <c r="G513" s="11"/>
      <c r="L513" s="11"/>
      <c r="N513" s="12"/>
      <c r="O513" s="1" t="str">
        <f aca="false">IF(OR(D513="",G513=""),"",G513-D513)</f>
        <v/>
      </c>
    </row>
    <row r="514" customFormat="false" ht="15" hidden="false" customHeight="false" outlineLevel="0" collapsed="false">
      <c r="D514" s="11"/>
      <c r="E514" s="11"/>
      <c r="F514" s="11"/>
      <c r="G514" s="11"/>
      <c r="L514" s="11"/>
      <c r="N514" s="12"/>
      <c r="O514" s="1" t="str">
        <f aca="false">IF(OR(D514="",G514=""),"",G514-D514)</f>
        <v/>
      </c>
    </row>
    <row r="515" customFormat="false" ht="15" hidden="false" customHeight="false" outlineLevel="0" collapsed="false">
      <c r="D515" s="11"/>
      <c r="E515" s="11"/>
      <c r="F515" s="11"/>
      <c r="G515" s="11"/>
      <c r="L515" s="11"/>
      <c r="N515" s="12"/>
      <c r="O515" s="1" t="str">
        <f aca="false">IF(OR(D515="",G515=""),"",G515-D515)</f>
        <v/>
      </c>
    </row>
    <row r="516" customFormat="false" ht="15" hidden="false" customHeight="false" outlineLevel="0" collapsed="false">
      <c r="D516" s="11"/>
      <c r="E516" s="11"/>
      <c r="F516" s="11"/>
      <c r="G516" s="11"/>
      <c r="L516" s="11"/>
      <c r="N516" s="12"/>
      <c r="O516" s="1" t="str">
        <f aca="false">IF(OR(D516="",G516=""),"",G516-D516)</f>
        <v/>
      </c>
    </row>
    <row r="517" customFormat="false" ht="15" hidden="false" customHeight="false" outlineLevel="0" collapsed="false">
      <c r="D517" s="11"/>
      <c r="E517" s="11"/>
      <c r="F517" s="11"/>
      <c r="G517" s="11"/>
      <c r="L517" s="11"/>
      <c r="N517" s="12"/>
      <c r="O517" s="1" t="str">
        <f aca="false">IF(OR(D517="",G517=""),"",G517-D517)</f>
        <v/>
      </c>
    </row>
    <row r="518" customFormat="false" ht="15" hidden="false" customHeight="false" outlineLevel="0" collapsed="false">
      <c r="D518" s="11"/>
      <c r="E518" s="11"/>
      <c r="F518" s="11"/>
      <c r="G518" s="11"/>
      <c r="L518" s="11"/>
      <c r="N518" s="12"/>
      <c r="O518" s="1" t="str">
        <f aca="false">IF(OR(D518="",G518=""),"",G518-D518)</f>
        <v/>
      </c>
    </row>
    <row r="519" customFormat="false" ht="15" hidden="false" customHeight="false" outlineLevel="0" collapsed="false">
      <c r="D519" s="11"/>
      <c r="E519" s="11"/>
      <c r="F519" s="11"/>
      <c r="G519" s="11"/>
      <c r="L519" s="11"/>
      <c r="N519" s="12"/>
      <c r="O519" s="1" t="str">
        <f aca="false">IF(OR(D519="",G519=""),"",G519-D519)</f>
        <v/>
      </c>
    </row>
    <row r="520" customFormat="false" ht="15" hidden="false" customHeight="false" outlineLevel="0" collapsed="false">
      <c r="D520" s="11"/>
      <c r="E520" s="11"/>
      <c r="F520" s="11"/>
      <c r="G520" s="11"/>
      <c r="L520" s="11"/>
      <c r="N520" s="12"/>
      <c r="O520" s="1" t="str">
        <f aca="false">IF(OR(D520="",G520=""),"",G520-D520)</f>
        <v/>
      </c>
    </row>
    <row r="521" customFormat="false" ht="15" hidden="false" customHeight="false" outlineLevel="0" collapsed="false">
      <c r="D521" s="11"/>
      <c r="E521" s="11"/>
      <c r="F521" s="11"/>
      <c r="G521" s="11"/>
      <c r="L521" s="11"/>
      <c r="N521" s="12"/>
      <c r="O521" s="1" t="str">
        <f aca="false">IF(OR(D521="",G521=""),"",G521-D521)</f>
        <v/>
      </c>
    </row>
    <row r="522" customFormat="false" ht="15" hidden="false" customHeight="false" outlineLevel="0" collapsed="false">
      <c r="D522" s="11"/>
      <c r="E522" s="11"/>
      <c r="F522" s="11"/>
      <c r="G522" s="11"/>
      <c r="L522" s="11"/>
      <c r="N522" s="12"/>
      <c r="O522" s="1" t="str">
        <f aca="false">IF(OR(D522="",G522=""),"",G522-D522)</f>
        <v/>
      </c>
    </row>
    <row r="523" customFormat="false" ht="15" hidden="false" customHeight="false" outlineLevel="0" collapsed="false">
      <c r="D523" s="11"/>
      <c r="E523" s="11"/>
      <c r="F523" s="11"/>
      <c r="G523" s="11"/>
      <c r="L523" s="11"/>
      <c r="N523" s="12"/>
      <c r="O523" s="1" t="str">
        <f aca="false">IF(OR(D523="",G523=""),"",G523-D523)</f>
        <v/>
      </c>
    </row>
    <row r="524" customFormat="false" ht="15" hidden="false" customHeight="false" outlineLevel="0" collapsed="false">
      <c r="D524" s="11"/>
      <c r="E524" s="11"/>
      <c r="F524" s="11"/>
      <c r="G524" s="11"/>
      <c r="L524" s="11"/>
      <c r="N524" s="12"/>
      <c r="O524" s="1" t="str">
        <f aca="false">IF(OR(D524="",G524=""),"",G524-D524)</f>
        <v/>
      </c>
    </row>
    <row r="525" customFormat="false" ht="15" hidden="false" customHeight="false" outlineLevel="0" collapsed="false">
      <c r="D525" s="11"/>
      <c r="E525" s="11"/>
      <c r="F525" s="11"/>
      <c r="G525" s="11"/>
      <c r="L525" s="11"/>
      <c r="N525" s="12"/>
      <c r="O525" s="1" t="str">
        <f aca="false">IF(OR(D525="",G525=""),"",G525-D525)</f>
        <v/>
      </c>
    </row>
    <row r="526" customFormat="false" ht="15" hidden="false" customHeight="false" outlineLevel="0" collapsed="false">
      <c r="D526" s="11"/>
      <c r="E526" s="11"/>
      <c r="F526" s="11"/>
      <c r="G526" s="11"/>
      <c r="L526" s="11"/>
      <c r="N526" s="12"/>
      <c r="O526" s="1" t="str">
        <f aca="false">IF(OR(D526="",G526=""),"",G526-D526)</f>
        <v/>
      </c>
    </row>
    <row r="527" customFormat="false" ht="15" hidden="false" customHeight="false" outlineLevel="0" collapsed="false">
      <c r="D527" s="11"/>
      <c r="E527" s="11"/>
      <c r="F527" s="11"/>
      <c r="G527" s="11"/>
      <c r="L527" s="11"/>
      <c r="N527" s="12"/>
      <c r="O527" s="1" t="str">
        <f aca="false">IF(OR(D527="",G527=""),"",G527-D527)</f>
        <v/>
      </c>
    </row>
    <row r="528" customFormat="false" ht="15" hidden="false" customHeight="false" outlineLevel="0" collapsed="false">
      <c r="D528" s="11"/>
      <c r="E528" s="11"/>
      <c r="F528" s="11"/>
      <c r="G528" s="11"/>
      <c r="L528" s="11"/>
      <c r="N528" s="12"/>
      <c r="O528" s="1" t="str">
        <f aca="false">IF(OR(D528="",G528=""),"",G528-D528)</f>
        <v/>
      </c>
    </row>
    <row r="529" customFormat="false" ht="15" hidden="false" customHeight="false" outlineLevel="0" collapsed="false">
      <c r="D529" s="11"/>
      <c r="E529" s="11"/>
      <c r="F529" s="11"/>
      <c r="G529" s="11"/>
      <c r="L529" s="11"/>
      <c r="N529" s="12"/>
      <c r="O529" s="1" t="str">
        <f aca="false">IF(OR(D529="",G529=""),"",G529-D529)</f>
        <v/>
      </c>
    </row>
    <row r="530" customFormat="false" ht="15" hidden="false" customHeight="false" outlineLevel="0" collapsed="false">
      <c r="D530" s="11"/>
      <c r="E530" s="11"/>
      <c r="F530" s="11"/>
      <c r="G530" s="11"/>
      <c r="L530" s="11"/>
      <c r="N530" s="12"/>
      <c r="O530" s="1" t="str">
        <f aca="false">IF(OR(D530="",G530=""),"",G530-D530)</f>
        <v/>
      </c>
    </row>
    <row r="531" customFormat="false" ht="15" hidden="false" customHeight="false" outlineLevel="0" collapsed="false">
      <c r="D531" s="11"/>
      <c r="E531" s="11"/>
      <c r="F531" s="11"/>
      <c r="G531" s="11"/>
      <c r="L531" s="11"/>
      <c r="N531" s="12"/>
      <c r="O531" s="1" t="str">
        <f aca="false">IF(OR(D531="",G531=""),"",G531-D531)</f>
        <v/>
      </c>
    </row>
    <row r="532" customFormat="false" ht="15" hidden="false" customHeight="false" outlineLevel="0" collapsed="false">
      <c r="D532" s="11"/>
      <c r="E532" s="11"/>
      <c r="F532" s="11"/>
      <c r="G532" s="11"/>
      <c r="L532" s="11"/>
      <c r="N532" s="12"/>
      <c r="O532" s="1" t="str">
        <f aca="false">IF(OR(D532="",G532=""),"",G532-D532)</f>
        <v/>
      </c>
    </row>
    <row r="533" customFormat="false" ht="15" hidden="false" customHeight="false" outlineLevel="0" collapsed="false">
      <c r="D533" s="11"/>
      <c r="E533" s="11"/>
      <c r="F533" s="11"/>
      <c r="G533" s="11"/>
      <c r="L533" s="11"/>
      <c r="N533" s="12"/>
      <c r="O533" s="1" t="str">
        <f aca="false">IF(OR(D533="",G533=""),"",G533-D533)</f>
        <v/>
      </c>
    </row>
    <row r="534" customFormat="false" ht="15" hidden="false" customHeight="false" outlineLevel="0" collapsed="false">
      <c r="D534" s="11"/>
      <c r="E534" s="11"/>
      <c r="F534" s="11"/>
      <c r="G534" s="11"/>
      <c r="L534" s="11"/>
      <c r="N534" s="12"/>
      <c r="O534" s="1" t="str">
        <f aca="false">IF(OR(D534="",G534=""),"",G534-D534)</f>
        <v/>
      </c>
    </row>
    <row r="535" customFormat="false" ht="15" hidden="false" customHeight="false" outlineLevel="0" collapsed="false">
      <c r="D535" s="11"/>
      <c r="E535" s="11"/>
      <c r="F535" s="11"/>
      <c r="G535" s="11"/>
      <c r="L535" s="11"/>
      <c r="N535" s="12"/>
      <c r="O535" s="1" t="str">
        <f aca="false">IF(OR(D535="",G535=""),"",G535-D535)</f>
        <v/>
      </c>
    </row>
    <row r="536" customFormat="false" ht="15" hidden="false" customHeight="false" outlineLevel="0" collapsed="false">
      <c r="D536" s="11"/>
      <c r="E536" s="11"/>
      <c r="F536" s="11"/>
      <c r="G536" s="11"/>
      <c r="L536" s="11"/>
      <c r="N536" s="12"/>
      <c r="O536" s="1" t="str">
        <f aca="false">IF(OR(D536="",G536=""),"",G536-D536)</f>
        <v/>
      </c>
    </row>
    <row r="537" customFormat="false" ht="15" hidden="false" customHeight="false" outlineLevel="0" collapsed="false">
      <c r="D537" s="11"/>
      <c r="E537" s="11"/>
      <c r="F537" s="11"/>
      <c r="G537" s="11"/>
      <c r="L537" s="11"/>
      <c r="N537" s="12"/>
      <c r="O537" s="1" t="str">
        <f aca="false">IF(OR(D537="",G537=""),"",G537-D537)</f>
        <v/>
      </c>
    </row>
    <row r="538" customFormat="false" ht="15" hidden="false" customHeight="false" outlineLevel="0" collapsed="false">
      <c r="D538" s="11"/>
      <c r="E538" s="11"/>
      <c r="F538" s="11"/>
      <c r="G538" s="11"/>
      <c r="L538" s="11"/>
      <c r="N538" s="12"/>
      <c r="O538" s="1" t="str">
        <f aca="false">IF(OR(D538="",G538=""),"",G538-D538)</f>
        <v/>
      </c>
    </row>
    <row r="539" customFormat="false" ht="15" hidden="false" customHeight="false" outlineLevel="0" collapsed="false">
      <c r="D539" s="11"/>
      <c r="E539" s="11"/>
      <c r="F539" s="11"/>
      <c r="G539" s="11"/>
      <c r="L539" s="11"/>
      <c r="N539" s="12"/>
      <c r="O539" s="1" t="str">
        <f aca="false">IF(OR(D539="",G539=""),"",G539-D539)</f>
        <v/>
      </c>
    </row>
    <row r="540" customFormat="false" ht="15" hidden="false" customHeight="false" outlineLevel="0" collapsed="false">
      <c r="D540" s="11"/>
      <c r="E540" s="11"/>
      <c r="F540" s="11"/>
      <c r="G540" s="11"/>
      <c r="L540" s="11"/>
      <c r="N540" s="12"/>
      <c r="O540" s="1" t="str">
        <f aca="false">IF(OR(D540="",G540=""),"",G540-D540)</f>
        <v/>
      </c>
    </row>
    <row r="541" customFormat="false" ht="15" hidden="false" customHeight="false" outlineLevel="0" collapsed="false">
      <c r="D541" s="11"/>
      <c r="E541" s="11"/>
      <c r="F541" s="11"/>
      <c r="G541" s="11"/>
      <c r="L541" s="11"/>
      <c r="N541" s="12"/>
      <c r="O541" s="1" t="str">
        <f aca="false">IF(OR(D541="",G541=""),"",G541-D541)</f>
        <v/>
      </c>
    </row>
    <row r="542" customFormat="false" ht="15" hidden="false" customHeight="false" outlineLevel="0" collapsed="false">
      <c r="D542" s="11"/>
      <c r="E542" s="11"/>
      <c r="F542" s="11"/>
      <c r="G542" s="11"/>
      <c r="L542" s="11"/>
      <c r="N542" s="12"/>
      <c r="O542" s="1" t="str">
        <f aca="false">IF(OR(D542="",G542=""),"",G542-D542)</f>
        <v/>
      </c>
    </row>
    <row r="543" customFormat="false" ht="15" hidden="false" customHeight="false" outlineLevel="0" collapsed="false">
      <c r="D543" s="11"/>
      <c r="E543" s="11"/>
      <c r="F543" s="11"/>
      <c r="G543" s="11"/>
      <c r="L543" s="11"/>
      <c r="N543" s="12"/>
      <c r="O543" s="1" t="str">
        <f aca="false">IF(OR(D543="",G543=""),"",G543-D543)</f>
        <v/>
      </c>
    </row>
    <row r="544" customFormat="false" ht="15" hidden="false" customHeight="false" outlineLevel="0" collapsed="false">
      <c r="D544" s="11"/>
      <c r="E544" s="11"/>
      <c r="F544" s="11"/>
      <c r="G544" s="11"/>
      <c r="L544" s="11"/>
      <c r="N544" s="12"/>
      <c r="O544" s="1" t="str">
        <f aca="false">IF(OR(D544="",G544=""),"",G544-D544)</f>
        <v/>
      </c>
    </row>
    <row r="545" customFormat="false" ht="15" hidden="false" customHeight="false" outlineLevel="0" collapsed="false">
      <c r="D545" s="11"/>
      <c r="E545" s="11"/>
      <c r="F545" s="11"/>
      <c r="G545" s="11"/>
      <c r="L545" s="11"/>
      <c r="N545" s="12"/>
      <c r="O545" s="1" t="str">
        <f aca="false">IF(OR(D545="",G545=""),"",G545-D545)</f>
        <v/>
      </c>
    </row>
    <row r="546" customFormat="false" ht="15" hidden="false" customHeight="false" outlineLevel="0" collapsed="false">
      <c r="D546" s="11"/>
      <c r="E546" s="11"/>
      <c r="F546" s="11"/>
      <c r="G546" s="11"/>
      <c r="L546" s="11"/>
      <c r="N546" s="12"/>
      <c r="O546" s="1" t="str">
        <f aca="false">IF(OR(D546="",G546=""),"",G546-D546)</f>
        <v/>
      </c>
    </row>
    <row r="547" customFormat="false" ht="15" hidden="false" customHeight="false" outlineLevel="0" collapsed="false">
      <c r="D547" s="11"/>
      <c r="E547" s="11"/>
      <c r="F547" s="11"/>
      <c r="G547" s="11"/>
      <c r="L547" s="11"/>
      <c r="N547" s="12"/>
      <c r="O547" s="1" t="str">
        <f aca="false">IF(OR(D547="",G547=""),"",G547-D547)</f>
        <v/>
      </c>
    </row>
    <row r="548" customFormat="false" ht="15" hidden="false" customHeight="false" outlineLevel="0" collapsed="false">
      <c r="D548" s="11"/>
      <c r="E548" s="11"/>
      <c r="F548" s="11"/>
      <c r="G548" s="11"/>
      <c r="L548" s="11"/>
      <c r="N548" s="12"/>
      <c r="O548" s="1" t="str">
        <f aca="false">IF(OR(D548="",G548=""),"",G548-D548)</f>
        <v/>
      </c>
    </row>
    <row r="549" customFormat="false" ht="15" hidden="false" customHeight="false" outlineLevel="0" collapsed="false">
      <c r="D549" s="11"/>
      <c r="E549" s="11"/>
      <c r="F549" s="11"/>
      <c r="G549" s="11"/>
      <c r="L549" s="11"/>
      <c r="N549" s="12"/>
      <c r="O549" s="1" t="str">
        <f aca="false">IF(OR(D549="",G549=""),"",G549-D549)</f>
        <v/>
      </c>
    </row>
    <row r="550" customFormat="false" ht="15" hidden="false" customHeight="false" outlineLevel="0" collapsed="false">
      <c r="D550" s="11"/>
      <c r="E550" s="11"/>
      <c r="F550" s="11"/>
      <c r="G550" s="11"/>
      <c r="L550" s="11"/>
      <c r="N550" s="12"/>
      <c r="O550" s="1" t="str">
        <f aca="false">IF(OR(D550="",G550=""),"",G550-D550)</f>
        <v/>
      </c>
    </row>
    <row r="551" customFormat="false" ht="15" hidden="false" customHeight="false" outlineLevel="0" collapsed="false">
      <c r="D551" s="11"/>
      <c r="E551" s="11"/>
      <c r="F551" s="11"/>
      <c r="G551" s="11"/>
      <c r="L551" s="11"/>
      <c r="N551" s="12"/>
      <c r="O551" s="1" t="str">
        <f aca="false">IF(OR(D551="",G551=""),"",G551-D551)</f>
        <v/>
      </c>
    </row>
    <row r="552" customFormat="false" ht="15" hidden="false" customHeight="false" outlineLevel="0" collapsed="false">
      <c r="D552" s="11"/>
      <c r="E552" s="11"/>
      <c r="F552" s="11"/>
      <c r="G552" s="11"/>
      <c r="L552" s="11"/>
      <c r="N552" s="12"/>
      <c r="O552" s="1" t="str">
        <f aca="false">IF(OR(D552="",G552=""),"",G552-D552)</f>
        <v/>
      </c>
    </row>
    <row r="553" customFormat="false" ht="15" hidden="false" customHeight="false" outlineLevel="0" collapsed="false">
      <c r="D553" s="11"/>
      <c r="E553" s="11"/>
      <c r="F553" s="11"/>
      <c r="G553" s="11"/>
      <c r="L553" s="11"/>
      <c r="N553" s="12"/>
      <c r="O553" s="1" t="str">
        <f aca="false">IF(OR(D553="",G553=""),"",G553-D553)</f>
        <v/>
      </c>
    </row>
    <row r="554" customFormat="false" ht="15" hidden="false" customHeight="false" outlineLevel="0" collapsed="false">
      <c r="D554" s="11"/>
      <c r="E554" s="11"/>
      <c r="F554" s="11"/>
      <c r="G554" s="11"/>
      <c r="L554" s="11"/>
      <c r="N554" s="12"/>
      <c r="O554" s="1" t="str">
        <f aca="false">IF(OR(D554="",G554=""),"",G554-D554)</f>
        <v/>
      </c>
    </row>
    <row r="555" customFormat="false" ht="15" hidden="false" customHeight="false" outlineLevel="0" collapsed="false">
      <c r="D555" s="11"/>
      <c r="E555" s="11"/>
      <c r="F555" s="11"/>
      <c r="G555" s="11"/>
      <c r="L555" s="11"/>
      <c r="N555" s="12"/>
      <c r="O555" s="1" t="str">
        <f aca="false">IF(OR(D555="",G555=""),"",G555-D555)</f>
        <v/>
      </c>
    </row>
    <row r="556" customFormat="false" ht="15" hidden="false" customHeight="false" outlineLevel="0" collapsed="false">
      <c r="D556" s="11"/>
      <c r="E556" s="11"/>
      <c r="F556" s="11"/>
      <c r="G556" s="11"/>
      <c r="L556" s="11"/>
      <c r="N556" s="12"/>
      <c r="O556" s="1" t="str">
        <f aca="false">IF(OR(D556="",G556=""),"",G556-D556)</f>
        <v/>
      </c>
    </row>
    <row r="557" customFormat="false" ht="15" hidden="false" customHeight="false" outlineLevel="0" collapsed="false">
      <c r="D557" s="11"/>
      <c r="E557" s="11"/>
      <c r="F557" s="11"/>
      <c r="G557" s="11"/>
      <c r="L557" s="11"/>
      <c r="N557" s="12"/>
      <c r="O557" s="1" t="str">
        <f aca="false">IF(OR(D557="",G557=""),"",G557-D557)</f>
        <v/>
      </c>
    </row>
    <row r="558" customFormat="false" ht="15" hidden="false" customHeight="false" outlineLevel="0" collapsed="false">
      <c r="D558" s="11"/>
      <c r="E558" s="11"/>
      <c r="F558" s="11"/>
      <c r="G558" s="11"/>
      <c r="L558" s="11"/>
      <c r="N558" s="12"/>
      <c r="O558" s="1" t="str">
        <f aca="false">IF(OR(D558="",G558=""),"",G558-D558)</f>
        <v/>
      </c>
    </row>
    <row r="559" customFormat="false" ht="15" hidden="false" customHeight="false" outlineLevel="0" collapsed="false">
      <c r="D559" s="11"/>
      <c r="E559" s="11"/>
      <c r="F559" s="11"/>
      <c r="G559" s="11"/>
      <c r="L559" s="11"/>
      <c r="N559" s="12"/>
      <c r="O559" s="1" t="str">
        <f aca="false">IF(OR(D559="",G559=""),"",G559-D559)</f>
        <v/>
      </c>
    </row>
    <row r="560" customFormat="false" ht="15" hidden="false" customHeight="false" outlineLevel="0" collapsed="false">
      <c r="D560" s="11"/>
      <c r="E560" s="11"/>
      <c r="F560" s="11"/>
      <c r="G560" s="11"/>
      <c r="L560" s="11"/>
      <c r="N560" s="12"/>
      <c r="O560" s="1" t="str">
        <f aca="false">IF(OR(D560="",G560=""),"",G560-D560)</f>
        <v/>
      </c>
    </row>
    <row r="561" customFormat="false" ht="15" hidden="false" customHeight="false" outlineLevel="0" collapsed="false">
      <c r="D561" s="11"/>
      <c r="E561" s="11"/>
      <c r="F561" s="11"/>
      <c r="G561" s="11"/>
      <c r="L561" s="11"/>
      <c r="N561" s="12"/>
      <c r="O561" s="1" t="str">
        <f aca="false">IF(OR(D561="",G561=""),"",G561-D561)</f>
        <v/>
      </c>
    </row>
    <row r="562" customFormat="false" ht="15" hidden="false" customHeight="false" outlineLevel="0" collapsed="false">
      <c r="D562" s="11"/>
      <c r="E562" s="11"/>
      <c r="F562" s="11"/>
      <c r="G562" s="11"/>
      <c r="L562" s="11"/>
      <c r="N562" s="12"/>
      <c r="O562" s="1" t="str">
        <f aca="false">IF(OR(D562="",G562=""),"",G562-D562)</f>
        <v/>
      </c>
    </row>
    <row r="563" customFormat="false" ht="15" hidden="false" customHeight="false" outlineLevel="0" collapsed="false">
      <c r="D563" s="11"/>
      <c r="E563" s="11"/>
      <c r="F563" s="11"/>
      <c r="G563" s="11"/>
      <c r="L563" s="11"/>
      <c r="N563" s="12"/>
      <c r="O563" s="1" t="str">
        <f aca="false">IF(OR(D563="",G563=""),"",G563-D563)</f>
        <v/>
      </c>
    </row>
    <row r="564" customFormat="false" ht="15" hidden="false" customHeight="false" outlineLevel="0" collapsed="false">
      <c r="D564" s="11"/>
      <c r="E564" s="11"/>
      <c r="F564" s="11"/>
      <c r="G564" s="11"/>
      <c r="L564" s="11"/>
      <c r="N564" s="12"/>
      <c r="O564" s="1" t="str">
        <f aca="false">IF(OR(D564="",G564=""),"",G564-D564)</f>
        <v/>
      </c>
    </row>
    <row r="565" customFormat="false" ht="15" hidden="false" customHeight="false" outlineLevel="0" collapsed="false">
      <c r="D565" s="11"/>
      <c r="E565" s="11"/>
      <c r="F565" s="11"/>
      <c r="G565" s="11"/>
      <c r="L565" s="11"/>
      <c r="N565" s="12"/>
      <c r="O565" s="1" t="str">
        <f aca="false">IF(OR(D565="",G565=""),"",G565-D565)</f>
        <v/>
      </c>
    </row>
    <row r="566" customFormat="false" ht="15" hidden="false" customHeight="false" outlineLevel="0" collapsed="false">
      <c r="D566" s="11"/>
      <c r="E566" s="11"/>
      <c r="F566" s="11"/>
      <c r="G566" s="11"/>
      <c r="L566" s="11"/>
      <c r="N566" s="12"/>
      <c r="O566" s="1" t="str">
        <f aca="false">IF(OR(D566="",G566=""),"",G566-D566)</f>
        <v/>
      </c>
    </row>
    <row r="567" customFormat="false" ht="15" hidden="false" customHeight="false" outlineLevel="0" collapsed="false">
      <c r="D567" s="11"/>
      <c r="E567" s="11"/>
      <c r="F567" s="11"/>
      <c r="G567" s="11"/>
      <c r="L567" s="11"/>
      <c r="N567" s="12"/>
      <c r="O567" s="1" t="str">
        <f aca="false">IF(OR(D567="",G567=""),"",G567-D567)</f>
        <v/>
      </c>
    </row>
    <row r="568" customFormat="false" ht="15" hidden="false" customHeight="false" outlineLevel="0" collapsed="false">
      <c r="D568" s="11"/>
      <c r="E568" s="11"/>
      <c r="F568" s="11"/>
      <c r="G568" s="11"/>
      <c r="L568" s="11"/>
      <c r="N568" s="12"/>
      <c r="O568" s="1" t="str">
        <f aca="false">IF(OR(D568="",G568=""),"",G568-D568)</f>
        <v/>
      </c>
    </row>
    <row r="569" customFormat="false" ht="15" hidden="false" customHeight="false" outlineLevel="0" collapsed="false">
      <c r="D569" s="11"/>
      <c r="E569" s="11"/>
      <c r="F569" s="11"/>
      <c r="G569" s="11"/>
      <c r="L569" s="11"/>
      <c r="N569" s="12"/>
      <c r="O569" s="1" t="str">
        <f aca="false">IF(OR(D569="",G569=""),"",G569-D569)</f>
        <v/>
      </c>
    </row>
    <row r="570" customFormat="false" ht="15" hidden="false" customHeight="false" outlineLevel="0" collapsed="false">
      <c r="D570" s="11"/>
      <c r="E570" s="11"/>
      <c r="F570" s="11"/>
      <c r="G570" s="11"/>
      <c r="L570" s="11"/>
      <c r="N570" s="12"/>
      <c r="O570" s="1" t="str">
        <f aca="false">IF(OR(D570="",G570=""),"",G570-D570)</f>
        <v/>
      </c>
    </row>
    <row r="571" customFormat="false" ht="15" hidden="false" customHeight="false" outlineLevel="0" collapsed="false">
      <c r="D571" s="11"/>
      <c r="E571" s="11"/>
      <c r="F571" s="11"/>
      <c r="G571" s="11"/>
      <c r="L571" s="11"/>
      <c r="N571" s="12"/>
      <c r="O571" s="1" t="str">
        <f aca="false">IF(OR(D571="",G571=""),"",G571-D571)</f>
        <v/>
      </c>
    </row>
    <row r="572" customFormat="false" ht="15" hidden="false" customHeight="false" outlineLevel="0" collapsed="false">
      <c r="D572" s="11"/>
      <c r="E572" s="11"/>
      <c r="F572" s="11"/>
      <c r="G572" s="11"/>
      <c r="L572" s="11"/>
      <c r="N572" s="12"/>
      <c r="O572" s="1" t="str">
        <f aca="false">IF(OR(D572="",G572=""),"",G572-D572)</f>
        <v/>
      </c>
    </row>
    <row r="573" customFormat="false" ht="15" hidden="false" customHeight="false" outlineLevel="0" collapsed="false">
      <c r="D573" s="11"/>
      <c r="E573" s="11"/>
      <c r="F573" s="11"/>
      <c r="G573" s="11"/>
      <c r="L573" s="11"/>
      <c r="N573" s="12"/>
      <c r="O573" s="1" t="str">
        <f aca="false">IF(OR(D573="",G573=""),"",G573-D573)</f>
        <v/>
      </c>
    </row>
    <row r="574" customFormat="false" ht="15" hidden="false" customHeight="false" outlineLevel="0" collapsed="false">
      <c r="D574" s="11"/>
      <c r="E574" s="11"/>
      <c r="F574" s="11"/>
      <c r="G574" s="11"/>
      <c r="L574" s="11"/>
      <c r="N574" s="12"/>
      <c r="O574" s="1" t="str">
        <f aca="false">IF(OR(D574="",G574=""),"",G574-D574)</f>
        <v/>
      </c>
    </row>
    <row r="575" customFormat="false" ht="15" hidden="false" customHeight="false" outlineLevel="0" collapsed="false">
      <c r="D575" s="11"/>
      <c r="E575" s="11"/>
      <c r="F575" s="11"/>
      <c r="G575" s="11"/>
      <c r="L575" s="11"/>
      <c r="N575" s="12"/>
      <c r="O575" s="1" t="str">
        <f aca="false">IF(OR(D575="",G575=""),"",G575-D575)</f>
        <v/>
      </c>
    </row>
    <row r="576" customFormat="false" ht="15" hidden="false" customHeight="false" outlineLevel="0" collapsed="false">
      <c r="D576" s="11"/>
      <c r="E576" s="11"/>
      <c r="F576" s="11"/>
      <c r="G576" s="11"/>
      <c r="L576" s="11"/>
      <c r="N576" s="12"/>
      <c r="O576" s="1" t="str">
        <f aca="false">IF(OR(D576="",G576=""),"",G576-D576)</f>
        <v/>
      </c>
    </row>
    <row r="577" customFormat="false" ht="15" hidden="false" customHeight="false" outlineLevel="0" collapsed="false">
      <c r="D577" s="11"/>
      <c r="E577" s="11"/>
      <c r="F577" s="11"/>
      <c r="G577" s="11"/>
      <c r="L577" s="11"/>
      <c r="N577" s="12"/>
      <c r="O577" s="1" t="str">
        <f aca="false">IF(OR(D577="",G577=""),"",G577-D577)</f>
        <v/>
      </c>
    </row>
    <row r="578" customFormat="false" ht="15" hidden="false" customHeight="false" outlineLevel="0" collapsed="false">
      <c r="D578" s="11"/>
      <c r="E578" s="11"/>
      <c r="F578" s="11"/>
      <c r="G578" s="11"/>
      <c r="L578" s="11"/>
      <c r="N578" s="12"/>
      <c r="O578" s="1" t="str">
        <f aca="false">IF(OR(D578="",G578=""),"",G578-D578)</f>
        <v/>
      </c>
    </row>
    <row r="579" customFormat="false" ht="15" hidden="false" customHeight="false" outlineLevel="0" collapsed="false">
      <c r="D579" s="11"/>
      <c r="E579" s="11"/>
      <c r="F579" s="11"/>
      <c r="G579" s="11"/>
      <c r="L579" s="11"/>
      <c r="N579" s="12"/>
      <c r="O579" s="1" t="str">
        <f aca="false">IF(OR(D579="",G579=""),"",G579-D579)</f>
        <v/>
      </c>
    </row>
    <row r="580" customFormat="false" ht="15" hidden="false" customHeight="false" outlineLevel="0" collapsed="false">
      <c r="D580" s="11"/>
      <c r="E580" s="11"/>
      <c r="F580" s="11"/>
      <c r="G580" s="11"/>
      <c r="L580" s="11"/>
      <c r="N580" s="12"/>
      <c r="O580" s="1" t="str">
        <f aca="false">IF(OR(D580="",G580=""),"",G580-D580)</f>
        <v/>
      </c>
    </row>
    <row r="581" customFormat="false" ht="15" hidden="false" customHeight="false" outlineLevel="0" collapsed="false">
      <c r="D581" s="11"/>
      <c r="E581" s="11"/>
      <c r="F581" s="11"/>
      <c r="G581" s="11"/>
      <c r="L581" s="11"/>
      <c r="N581" s="12"/>
      <c r="O581" s="1" t="str">
        <f aca="false">IF(OR(D581="",G581=""),"",G581-D581)</f>
        <v/>
      </c>
    </row>
    <row r="582" customFormat="false" ht="15" hidden="false" customHeight="false" outlineLevel="0" collapsed="false">
      <c r="D582" s="11"/>
      <c r="E582" s="11"/>
      <c r="F582" s="11"/>
      <c r="G582" s="11"/>
      <c r="L582" s="11"/>
      <c r="N582" s="12"/>
      <c r="O582" s="1" t="str">
        <f aca="false">IF(OR(D582="",G582=""),"",G582-D582)</f>
        <v/>
      </c>
    </row>
    <row r="583" customFormat="false" ht="15" hidden="false" customHeight="false" outlineLevel="0" collapsed="false">
      <c r="D583" s="11"/>
      <c r="E583" s="11"/>
      <c r="F583" s="11"/>
      <c r="G583" s="11"/>
      <c r="L583" s="11"/>
      <c r="N583" s="12"/>
      <c r="O583" s="1" t="str">
        <f aca="false">IF(OR(D583="",G583=""),"",G583-D583)</f>
        <v/>
      </c>
    </row>
    <row r="584" customFormat="false" ht="15" hidden="false" customHeight="false" outlineLevel="0" collapsed="false">
      <c r="D584" s="11"/>
      <c r="E584" s="11"/>
      <c r="F584" s="11"/>
      <c r="G584" s="11"/>
      <c r="L584" s="11"/>
      <c r="N584" s="12"/>
      <c r="O584" s="1" t="str">
        <f aca="false">IF(OR(D584="",G584=""),"",G584-D584)</f>
        <v/>
      </c>
    </row>
    <row r="585" customFormat="false" ht="15" hidden="false" customHeight="false" outlineLevel="0" collapsed="false">
      <c r="D585" s="11"/>
      <c r="E585" s="11"/>
      <c r="F585" s="11"/>
      <c r="G585" s="11"/>
      <c r="L585" s="11"/>
      <c r="N585" s="12"/>
      <c r="O585" s="1" t="str">
        <f aca="false">IF(OR(D585="",G585=""),"",G585-D585)</f>
        <v/>
      </c>
    </row>
    <row r="586" customFormat="false" ht="15" hidden="false" customHeight="false" outlineLevel="0" collapsed="false">
      <c r="D586" s="11"/>
      <c r="E586" s="11"/>
      <c r="F586" s="11"/>
      <c r="G586" s="11"/>
      <c r="L586" s="11"/>
      <c r="N586" s="12"/>
      <c r="O586" s="1" t="str">
        <f aca="false">IF(OR(D586="",G586=""),"",G586-D586)</f>
        <v/>
      </c>
    </row>
    <row r="587" customFormat="false" ht="15" hidden="false" customHeight="false" outlineLevel="0" collapsed="false">
      <c r="D587" s="11"/>
      <c r="E587" s="11"/>
      <c r="F587" s="11"/>
      <c r="G587" s="11"/>
      <c r="L587" s="11"/>
      <c r="N587" s="12"/>
      <c r="O587" s="1" t="str">
        <f aca="false">IF(OR(D587="",G587=""),"",G587-D587)</f>
        <v/>
      </c>
    </row>
    <row r="588" customFormat="false" ht="15" hidden="false" customHeight="false" outlineLevel="0" collapsed="false">
      <c r="D588" s="11"/>
      <c r="E588" s="11"/>
      <c r="F588" s="11"/>
      <c r="G588" s="11"/>
      <c r="L588" s="11"/>
      <c r="N588" s="12"/>
      <c r="O588" s="1" t="str">
        <f aca="false">IF(OR(D588="",G588=""),"",G588-D588)</f>
        <v/>
      </c>
    </row>
    <row r="589" customFormat="false" ht="15" hidden="false" customHeight="false" outlineLevel="0" collapsed="false">
      <c r="D589" s="11"/>
      <c r="E589" s="11"/>
      <c r="F589" s="11"/>
      <c r="G589" s="11"/>
      <c r="L589" s="11"/>
      <c r="N589" s="12"/>
      <c r="O589" s="1" t="str">
        <f aca="false">IF(OR(D589="",G589=""),"",G589-D589)</f>
        <v/>
      </c>
    </row>
    <row r="590" customFormat="false" ht="15" hidden="false" customHeight="false" outlineLevel="0" collapsed="false">
      <c r="D590" s="11"/>
      <c r="E590" s="11"/>
      <c r="F590" s="11"/>
      <c r="G590" s="11"/>
      <c r="L590" s="11"/>
      <c r="N590" s="12"/>
      <c r="O590" s="1" t="str">
        <f aca="false">IF(OR(D590="",G590=""),"",G590-D590)</f>
        <v/>
      </c>
    </row>
    <row r="591" customFormat="false" ht="15" hidden="false" customHeight="false" outlineLevel="0" collapsed="false">
      <c r="D591" s="11"/>
      <c r="E591" s="11"/>
      <c r="F591" s="11"/>
      <c r="G591" s="11"/>
      <c r="L591" s="11"/>
      <c r="N591" s="12"/>
      <c r="O591" s="1" t="str">
        <f aca="false">IF(OR(D591="",G591=""),"",G591-D591)</f>
        <v/>
      </c>
    </row>
    <row r="592" customFormat="false" ht="15" hidden="false" customHeight="false" outlineLevel="0" collapsed="false">
      <c r="D592" s="11"/>
      <c r="E592" s="11"/>
      <c r="F592" s="11"/>
      <c r="G592" s="11"/>
      <c r="L592" s="11"/>
      <c r="N592" s="12"/>
      <c r="O592" s="1" t="str">
        <f aca="false">IF(OR(D592="",G592=""),"",G592-D592)</f>
        <v/>
      </c>
    </row>
    <row r="593" customFormat="false" ht="15" hidden="false" customHeight="false" outlineLevel="0" collapsed="false">
      <c r="D593" s="11"/>
      <c r="E593" s="11"/>
      <c r="F593" s="11"/>
      <c r="G593" s="11"/>
      <c r="L593" s="11"/>
      <c r="N593" s="12"/>
      <c r="O593" s="1" t="str">
        <f aca="false">IF(OR(D593="",G593=""),"",G593-D593)</f>
        <v/>
      </c>
    </row>
    <row r="594" customFormat="false" ht="15" hidden="false" customHeight="false" outlineLevel="0" collapsed="false">
      <c r="D594" s="11"/>
      <c r="E594" s="11"/>
      <c r="F594" s="11"/>
      <c r="G594" s="11"/>
      <c r="L594" s="11"/>
      <c r="N594" s="12"/>
      <c r="O594" s="1" t="str">
        <f aca="false">IF(OR(D594="",G594=""),"",G594-D594)</f>
        <v/>
      </c>
    </row>
    <row r="595" customFormat="false" ht="15" hidden="false" customHeight="false" outlineLevel="0" collapsed="false">
      <c r="D595" s="11"/>
      <c r="E595" s="11"/>
      <c r="F595" s="11"/>
      <c r="G595" s="11"/>
      <c r="L595" s="11"/>
      <c r="N595" s="12"/>
      <c r="O595" s="1" t="str">
        <f aca="false">IF(OR(D595="",G595=""),"",G595-D595)</f>
        <v/>
      </c>
    </row>
    <row r="596" customFormat="false" ht="15" hidden="false" customHeight="false" outlineLevel="0" collapsed="false">
      <c r="D596" s="11"/>
      <c r="E596" s="11"/>
      <c r="F596" s="11"/>
      <c r="G596" s="11"/>
      <c r="L596" s="11"/>
      <c r="N596" s="12"/>
      <c r="O596" s="1" t="str">
        <f aca="false">IF(OR(D596="",G596=""),"",G596-D596)</f>
        <v/>
      </c>
    </row>
    <row r="597" customFormat="false" ht="15" hidden="false" customHeight="false" outlineLevel="0" collapsed="false">
      <c r="D597" s="11"/>
      <c r="E597" s="11"/>
      <c r="F597" s="11"/>
      <c r="G597" s="11"/>
      <c r="L597" s="11"/>
      <c r="N597" s="12"/>
      <c r="O597" s="1" t="str">
        <f aca="false">IF(OR(D597="",G597=""),"",G597-D597)</f>
        <v/>
      </c>
    </row>
    <row r="598" customFormat="false" ht="15" hidden="false" customHeight="false" outlineLevel="0" collapsed="false">
      <c r="D598" s="11"/>
      <c r="E598" s="11"/>
      <c r="F598" s="11"/>
      <c r="G598" s="11"/>
      <c r="L598" s="11"/>
      <c r="N598" s="12"/>
      <c r="O598" s="1" t="str">
        <f aca="false">IF(OR(D598="",G598=""),"",G598-D598)</f>
        <v/>
      </c>
    </row>
    <row r="599" customFormat="false" ht="15" hidden="false" customHeight="false" outlineLevel="0" collapsed="false">
      <c r="D599" s="11"/>
      <c r="E599" s="11"/>
      <c r="F599" s="11"/>
      <c r="G599" s="11"/>
      <c r="L599" s="11"/>
      <c r="N599" s="12"/>
      <c r="O599" s="1" t="str">
        <f aca="false">IF(OR(D599="",G599=""),"",G599-D599)</f>
        <v/>
      </c>
    </row>
    <row r="600" customFormat="false" ht="15" hidden="false" customHeight="false" outlineLevel="0" collapsed="false">
      <c r="D600" s="11"/>
      <c r="E600" s="11"/>
      <c r="F600" s="11"/>
      <c r="G600" s="11"/>
      <c r="L600" s="11"/>
      <c r="N600" s="12"/>
      <c r="O600" s="1" t="str">
        <f aca="false">IF(OR(D600="",G600=""),"",G600-D600)</f>
        <v/>
      </c>
    </row>
    <row r="601" customFormat="false" ht="15" hidden="false" customHeight="false" outlineLevel="0" collapsed="false">
      <c r="D601" s="11"/>
      <c r="E601" s="11"/>
      <c r="F601" s="11"/>
      <c r="G601" s="11"/>
      <c r="L601" s="11"/>
      <c r="N601" s="12"/>
      <c r="O601" s="1" t="str">
        <f aca="false">IF(OR(D601="",G601=""),"",G601-D601)</f>
        <v/>
      </c>
    </row>
    <row r="602" customFormat="false" ht="15" hidden="false" customHeight="false" outlineLevel="0" collapsed="false">
      <c r="D602" s="11"/>
      <c r="E602" s="11"/>
      <c r="F602" s="11"/>
      <c r="G602" s="11"/>
      <c r="L602" s="11"/>
      <c r="N602" s="12"/>
      <c r="O602" s="1" t="str">
        <f aca="false">IF(OR(D602="",G602=""),"",G602-D602)</f>
        <v/>
      </c>
    </row>
    <row r="603" customFormat="false" ht="15" hidden="false" customHeight="false" outlineLevel="0" collapsed="false">
      <c r="D603" s="11"/>
      <c r="E603" s="11"/>
      <c r="F603" s="11"/>
      <c r="G603" s="11"/>
      <c r="L603" s="11"/>
      <c r="N603" s="12"/>
      <c r="O603" s="1" t="str">
        <f aca="false">IF(OR(D603="",G603=""),"",G603-D603)</f>
        <v/>
      </c>
    </row>
    <row r="604" customFormat="false" ht="15" hidden="false" customHeight="false" outlineLevel="0" collapsed="false">
      <c r="D604" s="11"/>
      <c r="E604" s="11"/>
      <c r="F604" s="11"/>
      <c r="G604" s="11"/>
      <c r="L604" s="11"/>
      <c r="N604" s="12"/>
      <c r="O604" s="1" t="str">
        <f aca="false">IF(OR(D604="",G604=""),"",G604-D604)</f>
        <v/>
      </c>
    </row>
    <row r="605" customFormat="false" ht="15" hidden="false" customHeight="false" outlineLevel="0" collapsed="false">
      <c r="D605" s="11"/>
      <c r="E605" s="11"/>
      <c r="F605" s="11"/>
      <c r="G605" s="11"/>
      <c r="L605" s="11"/>
      <c r="N605" s="12"/>
      <c r="O605" s="1" t="str">
        <f aca="false">IF(OR(D605="",G605=""),"",G605-D605)</f>
        <v/>
      </c>
    </row>
    <row r="606" customFormat="false" ht="15" hidden="false" customHeight="false" outlineLevel="0" collapsed="false">
      <c r="D606" s="11"/>
      <c r="E606" s="11"/>
      <c r="F606" s="11"/>
      <c r="G606" s="11"/>
      <c r="L606" s="11"/>
      <c r="N606" s="12"/>
      <c r="O606" s="1" t="str">
        <f aca="false">IF(OR(D606="",G606=""),"",G606-D606)</f>
        <v/>
      </c>
    </row>
    <row r="607" customFormat="false" ht="15" hidden="false" customHeight="false" outlineLevel="0" collapsed="false">
      <c r="D607" s="11"/>
      <c r="E607" s="11"/>
      <c r="F607" s="11"/>
      <c r="G607" s="11"/>
      <c r="L607" s="11"/>
      <c r="N607" s="12"/>
      <c r="O607" s="1" t="str">
        <f aca="false">IF(OR(D607="",G607=""),"",G607-D607)</f>
        <v/>
      </c>
    </row>
    <row r="608" customFormat="false" ht="15" hidden="false" customHeight="false" outlineLevel="0" collapsed="false">
      <c r="D608" s="11"/>
      <c r="E608" s="11"/>
      <c r="F608" s="11"/>
      <c r="G608" s="11"/>
      <c r="L608" s="11"/>
      <c r="N608" s="12"/>
      <c r="O608" s="1" t="str">
        <f aca="false">IF(OR(D608="",G608=""),"",G608-D608)</f>
        <v/>
      </c>
    </row>
    <row r="609" customFormat="false" ht="15" hidden="false" customHeight="false" outlineLevel="0" collapsed="false">
      <c r="D609" s="11"/>
      <c r="E609" s="11"/>
      <c r="F609" s="11"/>
      <c r="G609" s="11"/>
      <c r="L609" s="11"/>
      <c r="N609" s="12"/>
      <c r="O609" s="1" t="str">
        <f aca="false">IF(OR(D609="",G609=""),"",G609-D609)</f>
        <v/>
      </c>
    </row>
    <row r="610" customFormat="false" ht="15" hidden="false" customHeight="false" outlineLevel="0" collapsed="false">
      <c r="D610" s="11"/>
      <c r="E610" s="11"/>
      <c r="F610" s="11"/>
      <c r="G610" s="11"/>
      <c r="L610" s="11"/>
      <c r="N610" s="12"/>
      <c r="O610" s="1" t="str">
        <f aca="false">IF(OR(D610="",G610=""),"",G610-D610)</f>
        <v/>
      </c>
    </row>
    <row r="611" customFormat="false" ht="15" hidden="false" customHeight="false" outlineLevel="0" collapsed="false">
      <c r="D611" s="11"/>
      <c r="E611" s="11"/>
      <c r="F611" s="11"/>
      <c r="G611" s="11"/>
      <c r="L611" s="11"/>
      <c r="N611" s="12"/>
      <c r="O611" s="1" t="str">
        <f aca="false">IF(OR(D611="",G611=""),"",G611-D611)</f>
        <v/>
      </c>
    </row>
    <row r="612" customFormat="false" ht="15" hidden="false" customHeight="false" outlineLevel="0" collapsed="false">
      <c r="D612" s="11"/>
      <c r="E612" s="11"/>
      <c r="F612" s="11"/>
      <c r="G612" s="11"/>
      <c r="L612" s="11"/>
      <c r="N612" s="12"/>
      <c r="O612" s="1" t="str">
        <f aca="false">IF(OR(D612="",G612=""),"",G612-D612)</f>
        <v/>
      </c>
    </row>
    <row r="613" customFormat="false" ht="15" hidden="false" customHeight="false" outlineLevel="0" collapsed="false">
      <c r="D613" s="11"/>
      <c r="E613" s="11"/>
      <c r="F613" s="11"/>
      <c r="G613" s="11"/>
      <c r="L613" s="11"/>
      <c r="N613" s="12"/>
      <c r="O613" s="1" t="str">
        <f aca="false">IF(OR(D613="",G613=""),"",G613-D613)</f>
        <v/>
      </c>
    </row>
    <row r="614" customFormat="false" ht="15" hidden="false" customHeight="false" outlineLevel="0" collapsed="false">
      <c r="D614" s="11"/>
      <c r="E614" s="11"/>
      <c r="F614" s="11"/>
      <c r="G614" s="11"/>
      <c r="L614" s="11"/>
      <c r="N614" s="12"/>
      <c r="O614" s="1" t="str">
        <f aca="false">IF(OR(D614="",G614=""),"",G614-D614)</f>
        <v/>
      </c>
    </row>
    <row r="615" customFormat="false" ht="15" hidden="false" customHeight="false" outlineLevel="0" collapsed="false">
      <c r="D615" s="11"/>
      <c r="E615" s="11"/>
      <c r="F615" s="11"/>
      <c r="G615" s="11"/>
      <c r="L615" s="11"/>
      <c r="N615" s="12"/>
      <c r="O615" s="1" t="str">
        <f aca="false">IF(OR(D615="",G615=""),"",G615-D615)</f>
        <v/>
      </c>
    </row>
    <row r="616" customFormat="false" ht="15" hidden="false" customHeight="false" outlineLevel="0" collapsed="false">
      <c r="D616" s="11"/>
      <c r="E616" s="11"/>
      <c r="F616" s="11"/>
      <c r="G616" s="11"/>
      <c r="L616" s="11"/>
      <c r="N616" s="12"/>
      <c r="O616" s="1" t="str">
        <f aca="false">IF(OR(D616="",G616=""),"",G616-D616)</f>
        <v/>
      </c>
    </row>
    <row r="617" customFormat="false" ht="15" hidden="false" customHeight="false" outlineLevel="0" collapsed="false">
      <c r="D617" s="11"/>
      <c r="E617" s="11"/>
      <c r="F617" s="11"/>
      <c r="G617" s="11"/>
      <c r="L617" s="11"/>
      <c r="N617" s="12"/>
      <c r="O617" s="1" t="str">
        <f aca="false">IF(OR(D617="",G617=""),"",G617-D617)</f>
        <v/>
      </c>
    </row>
    <row r="618" customFormat="false" ht="15" hidden="false" customHeight="false" outlineLevel="0" collapsed="false">
      <c r="D618" s="11"/>
      <c r="E618" s="11"/>
      <c r="F618" s="11"/>
      <c r="G618" s="11"/>
      <c r="L618" s="11"/>
      <c r="N618" s="12"/>
      <c r="O618" s="1" t="str">
        <f aca="false">IF(OR(D618="",G618=""),"",G618-D618)</f>
        <v/>
      </c>
    </row>
    <row r="619" customFormat="false" ht="15" hidden="false" customHeight="false" outlineLevel="0" collapsed="false">
      <c r="D619" s="11"/>
      <c r="E619" s="11"/>
      <c r="F619" s="11"/>
      <c r="G619" s="11"/>
      <c r="L619" s="11"/>
      <c r="N619" s="12"/>
      <c r="O619" s="1" t="str">
        <f aca="false">IF(OR(D619="",G619=""),"",G619-D619)</f>
        <v/>
      </c>
    </row>
    <row r="620" customFormat="false" ht="15" hidden="false" customHeight="false" outlineLevel="0" collapsed="false">
      <c r="D620" s="11"/>
      <c r="E620" s="11"/>
      <c r="F620" s="11"/>
      <c r="G620" s="11"/>
      <c r="L620" s="11"/>
      <c r="N620" s="12"/>
      <c r="O620" s="1" t="str">
        <f aca="false">IF(OR(D620="",G620=""),"",G620-D620)</f>
        <v/>
      </c>
    </row>
    <row r="621" customFormat="false" ht="15" hidden="false" customHeight="false" outlineLevel="0" collapsed="false">
      <c r="D621" s="11"/>
      <c r="E621" s="11"/>
      <c r="F621" s="11"/>
      <c r="G621" s="11"/>
      <c r="L621" s="11"/>
      <c r="N621" s="12"/>
      <c r="O621" s="1" t="str">
        <f aca="false">IF(OR(D621="",G621=""),"",G621-D621)</f>
        <v/>
      </c>
    </row>
    <row r="622" customFormat="false" ht="15" hidden="false" customHeight="false" outlineLevel="0" collapsed="false">
      <c r="D622" s="11"/>
      <c r="E622" s="11"/>
      <c r="F622" s="11"/>
      <c r="G622" s="11"/>
      <c r="L622" s="11"/>
      <c r="N622" s="12"/>
      <c r="O622" s="1" t="str">
        <f aca="false">IF(OR(D622="",G622=""),"",G622-D622)</f>
        <v/>
      </c>
    </row>
    <row r="623" customFormat="false" ht="15" hidden="false" customHeight="false" outlineLevel="0" collapsed="false">
      <c r="D623" s="11"/>
      <c r="E623" s="11"/>
      <c r="F623" s="11"/>
      <c r="G623" s="11"/>
      <c r="L623" s="11"/>
      <c r="N623" s="12"/>
      <c r="O623" s="1" t="str">
        <f aca="false">IF(OR(D623="",G623=""),"",G623-D623)</f>
        <v/>
      </c>
    </row>
    <row r="624" customFormat="false" ht="15" hidden="false" customHeight="false" outlineLevel="0" collapsed="false">
      <c r="D624" s="11"/>
      <c r="E624" s="11"/>
      <c r="F624" s="11"/>
      <c r="G624" s="11"/>
      <c r="L624" s="11"/>
      <c r="N624" s="12"/>
      <c r="O624" s="1" t="str">
        <f aca="false">IF(OR(D624="",G624=""),"",G624-D624)</f>
        <v/>
      </c>
    </row>
    <row r="625" customFormat="false" ht="15" hidden="false" customHeight="false" outlineLevel="0" collapsed="false">
      <c r="D625" s="11"/>
      <c r="E625" s="11"/>
      <c r="F625" s="11"/>
      <c r="G625" s="11"/>
      <c r="L625" s="11"/>
      <c r="N625" s="12"/>
      <c r="O625" s="1" t="str">
        <f aca="false">IF(OR(D625="",G625=""),"",G625-D625)</f>
        <v/>
      </c>
    </row>
    <row r="626" customFormat="false" ht="15" hidden="false" customHeight="false" outlineLevel="0" collapsed="false">
      <c r="D626" s="11"/>
      <c r="E626" s="11"/>
      <c r="F626" s="11"/>
      <c r="G626" s="11"/>
      <c r="L626" s="11"/>
      <c r="N626" s="12"/>
      <c r="O626" s="1" t="str">
        <f aca="false">IF(OR(D626="",G626=""),"",G626-D626)</f>
        <v/>
      </c>
    </row>
    <row r="627" customFormat="false" ht="15" hidden="false" customHeight="false" outlineLevel="0" collapsed="false">
      <c r="D627" s="11"/>
      <c r="E627" s="11"/>
      <c r="F627" s="11"/>
      <c r="G627" s="11"/>
      <c r="L627" s="11"/>
      <c r="N627" s="12"/>
      <c r="O627" s="1" t="str">
        <f aca="false">IF(OR(D627="",G627=""),"",G627-D627)</f>
        <v/>
      </c>
    </row>
    <row r="628" customFormat="false" ht="15" hidden="false" customHeight="false" outlineLevel="0" collapsed="false">
      <c r="D628" s="11"/>
      <c r="E628" s="11"/>
      <c r="F628" s="11"/>
      <c r="G628" s="11"/>
      <c r="L628" s="11"/>
      <c r="N628" s="12"/>
      <c r="O628" s="1" t="str">
        <f aca="false">IF(OR(D628="",G628=""),"",G628-D628)</f>
        <v/>
      </c>
    </row>
    <row r="629" customFormat="false" ht="15" hidden="false" customHeight="false" outlineLevel="0" collapsed="false">
      <c r="D629" s="11"/>
      <c r="E629" s="11"/>
      <c r="F629" s="11"/>
      <c r="G629" s="11"/>
      <c r="L629" s="11"/>
      <c r="N629" s="12"/>
      <c r="O629" s="1" t="str">
        <f aca="false">IF(OR(D629="",G629=""),"",G629-D629)</f>
        <v/>
      </c>
    </row>
    <row r="630" customFormat="false" ht="15" hidden="false" customHeight="false" outlineLevel="0" collapsed="false">
      <c r="D630" s="11"/>
      <c r="E630" s="11"/>
      <c r="F630" s="11"/>
      <c r="G630" s="11"/>
      <c r="L630" s="11"/>
      <c r="N630" s="12"/>
      <c r="O630" s="1" t="str">
        <f aca="false">IF(OR(D630="",G630=""),"",G630-D630)</f>
        <v/>
      </c>
    </row>
    <row r="631" customFormat="false" ht="15" hidden="false" customHeight="false" outlineLevel="0" collapsed="false">
      <c r="D631" s="11"/>
      <c r="E631" s="11"/>
      <c r="F631" s="11"/>
      <c r="G631" s="11"/>
      <c r="L631" s="11"/>
      <c r="N631" s="12"/>
      <c r="O631" s="1" t="str">
        <f aca="false">IF(OR(D631="",G631=""),"",G631-D631)</f>
        <v/>
      </c>
    </row>
    <row r="632" customFormat="false" ht="15" hidden="false" customHeight="false" outlineLevel="0" collapsed="false">
      <c r="D632" s="11"/>
      <c r="E632" s="11"/>
      <c r="F632" s="11"/>
      <c r="G632" s="11"/>
      <c r="L632" s="11"/>
      <c r="N632" s="12"/>
      <c r="O632" s="1" t="str">
        <f aca="false">IF(OR(D632="",G632=""),"",G632-D632)</f>
        <v/>
      </c>
    </row>
    <row r="633" customFormat="false" ht="15" hidden="false" customHeight="false" outlineLevel="0" collapsed="false">
      <c r="D633" s="11"/>
      <c r="E633" s="11"/>
      <c r="F633" s="11"/>
      <c r="G633" s="11"/>
      <c r="L633" s="11"/>
      <c r="N633" s="12"/>
      <c r="O633" s="1" t="str">
        <f aca="false">IF(OR(D633="",G633=""),"",G633-D633)</f>
        <v/>
      </c>
    </row>
    <row r="634" customFormat="false" ht="15" hidden="false" customHeight="false" outlineLevel="0" collapsed="false">
      <c r="D634" s="11"/>
      <c r="E634" s="11"/>
      <c r="F634" s="11"/>
      <c r="G634" s="11"/>
      <c r="L634" s="11"/>
      <c r="N634" s="12"/>
      <c r="O634" s="1" t="str">
        <f aca="false">IF(OR(D634="",G634=""),"",G634-D634)</f>
        <v/>
      </c>
    </row>
    <row r="635" customFormat="false" ht="15" hidden="false" customHeight="false" outlineLevel="0" collapsed="false">
      <c r="D635" s="11"/>
      <c r="E635" s="11"/>
      <c r="F635" s="11"/>
      <c r="G635" s="11"/>
      <c r="L635" s="11"/>
      <c r="N635" s="12"/>
      <c r="O635" s="1" t="str">
        <f aca="false">IF(OR(D635="",G635=""),"",G635-D635)</f>
        <v/>
      </c>
    </row>
    <row r="636" customFormat="false" ht="15" hidden="false" customHeight="false" outlineLevel="0" collapsed="false">
      <c r="D636" s="11"/>
      <c r="E636" s="11"/>
      <c r="F636" s="11"/>
      <c r="G636" s="11"/>
      <c r="L636" s="11"/>
      <c r="N636" s="12"/>
      <c r="O636" s="1" t="str">
        <f aca="false">IF(OR(D636="",G636=""),"",G636-D636)</f>
        <v/>
      </c>
    </row>
    <row r="637" customFormat="false" ht="15" hidden="false" customHeight="false" outlineLevel="0" collapsed="false">
      <c r="D637" s="11"/>
      <c r="E637" s="11"/>
      <c r="F637" s="11"/>
      <c r="G637" s="11"/>
      <c r="L637" s="11"/>
      <c r="N637" s="12"/>
      <c r="O637" s="1" t="str">
        <f aca="false">IF(OR(D637="",G637=""),"",G637-D637)</f>
        <v/>
      </c>
    </row>
    <row r="638" customFormat="false" ht="15" hidden="false" customHeight="false" outlineLevel="0" collapsed="false">
      <c r="D638" s="11"/>
      <c r="E638" s="11"/>
      <c r="F638" s="11"/>
      <c r="G638" s="11"/>
      <c r="L638" s="11"/>
      <c r="N638" s="12"/>
      <c r="O638" s="1" t="str">
        <f aca="false">IF(OR(D638="",G638=""),"",G638-D638)</f>
        <v/>
      </c>
    </row>
    <row r="639" customFormat="false" ht="15" hidden="false" customHeight="false" outlineLevel="0" collapsed="false">
      <c r="D639" s="11"/>
      <c r="E639" s="11"/>
      <c r="F639" s="11"/>
      <c r="G639" s="11"/>
      <c r="L639" s="11"/>
      <c r="N639" s="12"/>
      <c r="O639" s="1" t="str">
        <f aca="false">IF(OR(D639="",G639=""),"",G639-D639)</f>
        <v/>
      </c>
    </row>
    <row r="640" customFormat="false" ht="15" hidden="false" customHeight="false" outlineLevel="0" collapsed="false">
      <c r="D640" s="11"/>
      <c r="E640" s="11"/>
      <c r="F640" s="11"/>
      <c r="G640" s="11"/>
      <c r="L640" s="11"/>
      <c r="N640" s="12"/>
      <c r="O640" s="1" t="str">
        <f aca="false">IF(OR(D640="",G640=""),"",G640-D640)</f>
        <v/>
      </c>
    </row>
    <row r="641" customFormat="false" ht="15" hidden="false" customHeight="false" outlineLevel="0" collapsed="false">
      <c r="D641" s="11"/>
      <c r="E641" s="11"/>
      <c r="F641" s="11"/>
      <c r="G641" s="11"/>
      <c r="L641" s="11"/>
      <c r="N641" s="12"/>
      <c r="O641" s="1" t="str">
        <f aca="false">IF(OR(D641="",G641=""),"",G641-D641)</f>
        <v/>
      </c>
    </row>
    <row r="642" customFormat="false" ht="15" hidden="false" customHeight="false" outlineLevel="0" collapsed="false">
      <c r="D642" s="11"/>
      <c r="E642" s="11"/>
      <c r="F642" s="11"/>
      <c r="G642" s="11"/>
      <c r="L642" s="11"/>
      <c r="N642" s="12"/>
      <c r="O642" s="1" t="str">
        <f aca="false">IF(OR(D642="",G642=""),"",G642-D642)</f>
        <v/>
      </c>
    </row>
    <row r="643" customFormat="false" ht="15" hidden="false" customHeight="false" outlineLevel="0" collapsed="false">
      <c r="D643" s="11"/>
      <c r="E643" s="11"/>
      <c r="F643" s="11"/>
      <c r="G643" s="11"/>
      <c r="L643" s="11"/>
      <c r="N643" s="12"/>
      <c r="O643" s="1" t="str">
        <f aca="false">IF(OR(D643="",G643=""),"",G643-D643)</f>
        <v/>
      </c>
    </row>
    <row r="644" customFormat="false" ht="15" hidden="false" customHeight="false" outlineLevel="0" collapsed="false">
      <c r="D644" s="11"/>
      <c r="E644" s="11"/>
      <c r="F644" s="11"/>
      <c r="G644" s="11"/>
      <c r="L644" s="11"/>
      <c r="N644" s="12"/>
      <c r="O644" s="1" t="str">
        <f aca="false">IF(OR(D644="",G644=""),"",G644-D644)</f>
        <v/>
      </c>
    </row>
    <row r="645" customFormat="false" ht="15" hidden="false" customHeight="false" outlineLevel="0" collapsed="false">
      <c r="D645" s="11"/>
      <c r="E645" s="11"/>
      <c r="F645" s="11"/>
      <c r="G645" s="11"/>
      <c r="L645" s="11"/>
      <c r="N645" s="12"/>
      <c r="O645" s="1" t="str">
        <f aca="false">IF(OR(D645="",G645=""),"",G645-D645)</f>
        <v/>
      </c>
    </row>
    <row r="646" customFormat="false" ht="15" hidden="false" customHeight="false" outlineLevel="0" collapsed="false">
      <c r="D646" s="11"/>
      <c r="E646" s="11"/>
      <c r="F646" s="11"/>
      <c r="G646" s="11"/>
      <c r="L646" s="11"/>
      <c r="N646" s="12"/>
      <c r="O646" s="1" t="str">
        <f aca="false">IF(OR(D646="",G646=""),"",G646-D646)</f>
        <v/>
      </c>
    </row>
    <row r="647" customFormat="false" ht="15" hidden="false" customHeight="false" outlineLevel="0" collapsed="false">
      <c r="D647" s="11"/>
      <c r="E647" s="11"/>
      <c r="F647" s="11"/>
      <c r="G647" s="11"/>
      <c r="L647" s="11"/>
      <c r="N647" s="12"/>
      <c r="O647" s="1" t="str">
        <f aca="false">IF(OR(D647="",G647=""),"",G647-D647)</f>
        <v/>
      </c>
    </row>
    <row r="648" customFormat="false" ht="15" hidden="false" customHeight="false" outlineLevel="0" collapsed="false">
      <c r="D648" s="11"/>
      <c r="E648" s="11"/>
      <c r="F648" s="11"/>
      <c r="G648" s="11"/>
      <c r="L648" s="11"/>
      <c r="N648" s="12"/>
      <c r="O648" s="1" t="str">
        <f aca="false">IF(OR(D648="",G648=""),"",G648-D648)</f>
        <v/>
      </c>
    </row>
    <row r="649" customFormat="false" ht="15" hidden="false" customHeight="false" outlineLevel="0" collapsed="false">
      <c r="D649" s="11"/>
      <c r="E649" s="11"/>
      <c r="F649" s="11"/>
      <c r="G649" s="11"/>
      <c r="L649" s="11"/>
      <c r="N649" s="12"/>
      <c r="O649" s="1" t="str">
        <f aca="false">IF(OR(D649="",G649=""),"",G649-D649)</f>
        <v/>
      </c>
    </row>
    <row r="650" customFormat="false" ht="15" hidden="false" customHeight="false" outlineLevel="0" collapsed="false">
      <c r="D650" s="11"/>
      <c r="E650" s="11"/>
      <c r="F650" s="11"/>
      <c r="G650" s="11"/>
      <c r="L650" s="11"/>
      <c r="N650" s="12"/>
      <c r="O650" s="1" t="str">
        <f aca="false">IF(OR(D650="",G650=""),"",G650-D650)</f>
        <v/>
      </c>
    </row>
    <row r="651" customFormat="false" ht="15" hidden="false" customHeight="false" outlineLevel="0" collapsed="false">
      <c r="D651" s="11"/>
      <c r="E651" s="11"/>
      <c r="F651" s="11"/>
      <c r="G651" s="11"/>
      <c r="L651" s="11"/>
      <c r="N651" s="12"/>
      <c r="O651" s="1" t="str">
        <f aca="false">IF(OR(D651="",G651=""),"",G651-D651)</f>
        <v/>
      </c>
    </row>
    <row r="652" customFormat="false" ht="15" hidden="false" customHeight="false" outlineLevel="0" collapsed="false">
      <c r="D652" s="11"/>
      <c r="E652" s="11"/>
      <c r="F652" s="11"/>
      <c r="G652" s="11"/>
      <c r="L652" s="11"/>
      <c r="N652" s="12"/>
      <c r="O652" s="1" t="str">
        <f aca="false">IF(OR(D652="",G652=""),"",G652-D652)</f>
        <v/>
      </c>
    </row>
    <row r="653" customFormat="false" ht="15" hidden="false" customHeight="false" outlineLevel="0" collapsed="false">
      <c r="D653" s="11"/>
      <c r="E653" s="11"/>
      <c r="F653" s="11"/>
      <c r="G653" s="11"/>
      <c r="L653" s="11"/>
      <c r="N653" s="12"/>
      <c r="O653" s="1" t="str">
        <f aca="false">IF(OR(D653="",G653=""),"",G653-D653)</f>
        <v/>
      </c>
    </row>
    <row r="654" customFormat="false" ht="15" hidden="false" customHeight="false" outlineLevel="0" collapsed="false">
      <c r="D654" s="11"/>
      <c r="E654" s="11"/>
      <c r="F654" s="11"/>
      <c r="G654" s="11"/>
      <c r="L654" s="11"/>
      <c r="N654" s="12"/>
      <c r="O654" s="1" t="str">
        <f aca="false">IF(OR(D654="",G654=""),"",G654-D654)</f>
        <v/>
      </c>
    </row>
    <row r="655" customFormat="false" ht="15" hidden="false" customHeight="false" outlineLevel="0" collapsed="false">
      <c r="D655" s="11"/>
      <c r="E655" s="11"/>
      <c r="F655" s="11"/>
      <c r="G655" s="11"/>
      <c r="L655" s="11"/>
      <c r="N655" s="12"/>
      <c r="O655" s="1" t="str">
        <f aca="false">IF(OR(D655="",G655=""),"",G655-D655)</f>
        <v/>
      </c>
    </row>
    <row r="656" customFormat="false" ht="15" hidden="false" customHeight="false" outlineLevel="0" collapsed="false">
      <c r="D656" s="11"/>
      <c r="E656" s="11"/>
      <c r="F656" s="11"/>
      <c r="G656" s="11"/>
      <c r="L656" s="11"/>
      <c r="N656" s="12"/>
      <c r="O656" s="1" t="str">
        <f aca="false">IF(OR(D656="",G656=""),"",G656-D656)</f>
        <v/>
      </c>
    </row>
    <row r="657" customFormat="false" ht="15" hidden="false" customHeight="false" outlineLevel="0" collapsed="false">
      <c r="D657" s="11"/>
      <c r="E657" s="11"/>
      <c r="F657" s="11"/>
      <c r="G657" s="11"/>
      <c r="L657" s="11"/>
      <c r="N657" s="12"/>
      <c r="O657" s="1" t="str">
        <f aca="false">IF(OR(D657="",G657=""),"",G657-D657)</f>
        <v/>
      </c>
    </row>
    <row r="658" customFormat="false" ht="15" hidden="false" customHeight="false" outlineLevel="0" collapsed="false">
      <c r="D658" s="11"/>
      <c r="E658" s="11"/>
      <c r="F658" s="11"/>
      <c r="G658" s="11"/>
      <c r="L658" s="11"/>
      <c r="N658" s="12"/>
      <c r="O658" s="1" t="str">
        <f aca="false">IF(OR(D658="",G658=""),"",G658-D658)</f>
        <v/>
      </c>
    </row>
    <row r="659" customFormat="false" ht="15" hidden="false" customHeight="false" outlineLevel="0" collapsed="false">
      <c r="D659" s="11"/>
      <c r="E659" s="11"/>
      <c r="F659" s="11"/>
      <c r="G659" s="11"/>
      <c r="L659" s="11"/>
      <c r="N659" s="12"/>
      <c r="O659" s="1" t="str">
        <f aca="false">IF(OR(D659="",G659=""),"",G659-D659)</f>
        <v/>
      </c>
    </row>
    <row r="660" customFormat="false" ht="15" hidden="false" customHeight="false" outlineLevel="0" collapsed="false">
      <c r="D660" s="11"/>
      <c r="E660" s="11"/>
      <c r="F660" s="11"/>
      <c r="G660" s="11"/>
      <c r="L660" s="11"/>
      <c r="N660" s="12"/>
      <c r="O660" s="1" t="str">
        <f aca="false">IF(OR(D660="",G660=""),"",G660-D660)</f>
        <v/>
      </c>
    </row>
    <row r="661" customFormat="false" ht="15" hidden="false" customHeight="false" outlineLevel="0" collapsed="false">
      <c r="D661" s="11"/>
      <c r="E661" s="11"/>
      <c r="F661" s="11"/>
      <c r="G661" s="11"/>
      <c r="L661" s="11"/>
      <c r="N661" s="12"/>
      <c r="O661" s="1" t="str">
        <f aca="false">IF(OR(D661="",G661=""),"",G661-D661)</f>
        <v/>
      </c>
    </row>
    <row r="662" customFormat="false" ht="15" hidden="false" customHeight="false" outlineLevel="0" collapsed="false">
      <c r="D662" s="11"/>
      <c r="E662" s="11"/>
      <c r="F662" s="11"/>
      <c r="G662" s="11"/>
      <c r="L662" s="11"/>
      <c r="N662" s="12"/>
      <c r="O662" s="1" t="str">
        <f aca="false">IF(OR(D662="",G662=""),"",G662-D662)</f>
        <v/>
      </c>
    </row>
    <row r="663" customFormat="false" ht="15" hidden="false" customHeight="false" outlineLevel="0" collapsed="false">
      <c r="D663" s="11"/>
      <c r="E663" s="11"/>
      <c r="F663" s="11"/>
      <c r="G663" s="11"/>
      <c r="L663" s="11"/>
      <c r="N663" s="12"/>
      <c r="O663" s="1" t="str">
        <f aca="false">IF(OR(D663="",G663=""),"",G663-D663)</f>
        <v/>
      </c>
    </row>
    <row r="664" customFormat="false" ht="15" hidden="false" customHeight="false" outlineLevel="0" collapsed="false">
      <c r="D664" s="11"/>
      <c r="E664" s="11"/>
      <c r="F664" s="11"/>
      <c r="G664" s="11"/>
      <c r="L664" s="11"/>
      <c r="N664" s="12"/>
      <c r="O664" s="1" t="str">
        <f aca="false">IF(OR(D664="",G664=""),"",G664-D664)</f>
        <v/>
      </c>
    </row>
    <row r="665" customFormat="false" ht="15" hidden="false" customHeight="false" outlineLevel="0" collapsed="false">
      <c r="D665" s="11"/>
      <c r="E665" s="11"/>
      <c r="F665" s="11"/>
      <c r="G665" s="11"/>
      <c r="L665" s="11"/>
      <c r="N665" s="12"/>
      <c r="O665" s="1" t="str">
        <f aca="false">IF(OR(D665="",G665=""),"",G665-D665)</f>
        <v/>
      </c>
    </row>
    <row r="666" customFormat="false" ht="15" hidden="false" customHeight="false" outlineLevel="0" collapsed="false">
      <c r="D666" s="11"/>
      <c r="E666" s="11"/>
      <c r="F666" s="11"/>
      <c r="G666" s="11"/>
      <c r="L666" s="11"/>
      <c r="N666" s="12"/>
      <c r="O666" s="1" t="str">
        <f aca="false">IF(OR(D666="",G666=""),"",G666-D666)</f>
        <v/>
      </c>
    </row>
    <row r="667" customFormat="false" ht="15" hidden="false" customHeight="false" outlineLevel="0" collapsed="false">
      <c r="D667" s="11"/>
      <c r="E667" s="11"/>
      <c r="F667" s="11"/>
      <c r="G667" s="11"/>
      <c r="L667" s="11"/>
      <c r="N667" s="12"/>
      <c r="O667" s="1" t="str">
        <f aca="false">IF(OR(D667="",G667=""),"",G667-D667)</f>
        <v/>
      </c>
    </row>
    <row r="668" customFormat="false" ht="15" hidden="false" customHeight="false" outlineLevel="0" collapsed="false">
      <c r="D668" s="11"/>
      <c r="E668" s="11"/>
      <c r="F668" s="11"/>
      <c r="G668" s="11"/>
      <c r="L668" s="11"/>
      <c r="N668" s="12"/>
      <c r="O668" s="1" t="str">
        <f aca="false">IF(OR(D668="",G668=""),"",G668-D668)</f>
        <v/>
      </c>
    </row>
    <row r="669" customFormat="false" ht="15" hidden="false" customHeight="false" outlineLevel="0" collapsed="false">
      <c r="D669" s="11"/>
      <c r="E669" s="11"/>
      <c r="F669" s="11"/>
      <c r="G669" s="11"/>
      <c r="L669" s="11"/>
      <c r="N669" s="12"/>
      <c r="O669" s="1" t="str">
        <f aca="false">IF(OR(D669="",G669=""),"",G669-D669)</f>
        <v/>
      </c>
    </row>
    <row r="670" customFormat="false" ht="15" hidden="false" customHeight="false" outlineLevel="0" collapsed="false">
      <c r="D670" s="11"/>
      <c r="E670" s="11"/>
      <c r="F670" s="11"/>
      <c r="G670" s="11"/>
      <c r="L670" s="11"/>
      <c r="N670" s="12"/>
      <c r="O670" s="1" t="str">
        <f aca="false">IF(OR(D670="",G670=""),"",G670-D670)</f>
        <v/>
      </c>
    </row>
    <row r="671" customFormat="false" ht="15" hidden="false" customHeight="false" outlineLevel="0" collapsed="false">
      <c r="D671" s="11"/>
      <c r="E671" s="11"/>
      <c r="F671" s="11"/>
      <c r="G671" s="11"/>
      <c r="L671" s="11"/>
      <c r="N671" s="12"/>
      <c r="O671" s="1" t="str">
        <f aca="false">IF(OR(D671="",G671=""),"",G671-D671)</f>
        <v/>
      </c>
    </row>
    <row r="672" customFormat="false" ht="15" hidden="false" customHeight="false" outlineLevel="0" collapsed="false">
      <c r="D672" s="11"/>
      <c r="E672" s="11"/>
      <c r="F672" s="11"/>
      <c r="G672" s="11"/>
      <c r="L672" s="11"/>
      <c r="N672" s="12"/>
      <c r="O672" s="1" t="str">
        <f aca="false">IF(OR(D672="",G672=""),"",G672-D672)</f>
        <v/>
      </c>
    </row>
    <row r="673" customFormat="false" ht="15" hidden="false" customHeight="false" outlineLevel="0" collapsed="false">
      <c r="D673" s="11"/>
      <c r="E673" s="11"/>
      <c r="F673" s="11"/>
      <c r="G673" s="11"/>
      <c r="L673" s="11"/>
      <c r="N673" s="12"/>
      <c r="O673" s="1" t="str">
        <f aca="false">IF(OR(D673="",G673=""),"",G673-D673)</f>
        <v/>
      </c>
    </row>
    <row r="674" customFormat="false" ht="15" hidden="false" customHeight="false" outlineLevel="0" collapsed="false">
      <c r="D674" s="11"/>
      <c r="E674" s="11"/>
      <c r="F674" s="11"/>
      <c r="G674" s="11"/>
      <c r="L674" s="11"/>
      <c r="N674" s="12"/>
      <c r="O674" s="1" t="str">
        <f aca="false">IF(OR(D674="",G674=""),"",G674-D674)</f>
        <v/>
      </c>
    </row>
    <row r="675" customFormat="false" ht="15" hidden="false" customHeight="false" outlineLevel="0" collapsed="false">
      <c r="D675" s="11"/>
      <c r="E675" s="11"/>
      <c r="F675" s="11"/>
      <c r="G675" s="11"/>
      <c r="L675" s="11"/>
      <c r="N675" s="12"/>
      <c r="O675" s="1" t="str">
        <f aca="false">IF(OR(D675="",G675=""),"",G675-D675)</f>
        <v/>
      </c>
    </row>
    <row r="676" customFormat="false" ht="15" hidden="false" customHeight="false" outlineLevel="0" collapsed="false">
      <c r="D676" s="11"/>
      <c r="E676" s="11"/>
      <c r="F676" s="11"/>
      <c r="G676" s="11"/>
      <c r="L676" s="11"/>
      <c r="N676" s="12"/>
      <c r="O676" s="1" t="str">
        <f aca="false">IF(OR(D676="",G676=""),"",G676-D676)</f>
        <v/>
      </c>
    </row>
    <row r="677" customFormat="false" ht="15" hidden="false" customHeight="false" outlineLevel="0" collapsed="false">
      <c r="D677" s="11"/>
      <c r="E677" s="11"/>
      <c r="F677" s="11"/>
      <c r="G677" s="11"/>
      <c r="L677" s="11"/>
      <c r="N677" s="12"/>
      <c r="O677" s="1" t="str">
        <f aca="false">IF(OR(D677="",G677=""),"",G677-D677)</f>
        <v/>
      </c>
    </row>
    <row r="678" customFormat="false" ht="15" hidden="false" customHeight="false" outlineLevel="0" collapsed="false">
      <c r="D678" s="11"/>
      <c r="E678" s="11"/>
      <c r="F678" s="11"/>
      <c r="G678" s="11"/>
      <c r="L678" s="11"/>
      <c r="N678" s="12"/>
      <c r="O678" s="1" t="str">
        <f aca="false">IF(OR(D678="",G678=""),"",G678-D678)</f>
        <v/>
      </c>
    </row>
    <row r="679" customFormat="false" ht="15" hidden="false" customHeight="false" outlineLevel="0" collapsed="false">
      <c r="D679" s="11"/>
      <c r="E679" s="11"/>
      <c r="F679" s="11"/>
      <c r="G679" s="11"/>
      <c r="L679" s="11"/>
      <c r="N679" s="12"/>
      <c r="O679" s="1" t="str">
        <f aca="false">IF(OR(D679="",G679=""),"",G679-D679)</f>
        <v/>
      </c>
    </row>
    <row r="680" customFormat="false" ht="15" hidden="false" customHeight="false" outlineLevel="0" collapsed="false">
      <c r="D680" s="11"/>
      <c r="E680" s="11"/>
      <c r="F680" s="11"/>
      <c r="G680" s="11"/>
      <c r="L680" s="11"/>
      <c r="N680" s="12"/>
      <c r="O680" s="1" t="str">
        <f aca="false">IF(OR(D680="",G680=""),"",G680-D680)</f>
        <v/>
      </c>
    </row>
    <row r="681" customFormat="false" ht="15" hidden="false" customHeight="false" outlineLevel="0" collapsed="false">
      <c r="D681" s="11"/>
      <c r="E681" s="11"/>
      <c r="F681" s="11"/>
      <c r="G681" s="11"/>
      <c r="L681" s="11"/>
      <c r="N681" s="12"/>
      <c r="O681" s="1" t="str">
        <f aca="false">IF(OR(D681="",G681=""),"",G681-D681)</f>
        <v/>
      </c>
    </row>
    <row r="682" customFormat="false" ht="15" hidden="false" customHeight="false" outlineLevel="0" collapsed="false">
      <c r="D682" s="11"/>
      <c r="E682" s="11"/>
      <c r="F682" s="11"/>
      <c r="G682" s="11"/>
      <c r="L682" s="11"/>
      <c r="N682" s="12"/>
      <c r="O682" s="1" t="str">
        <f aca="false">IF(OR(D682="",G682=""),"",G682-D682)</f>
        <v/>
      </c>
    </row>
    <row r="683" customFormat="false" ht="15" hidden="false" customHeight="false" outlineLevel="0" collapsed="false">
      <c r="D683" s="11"/>
      <c r="E683" s="11"/>
      <c r="F683" s="11"/>
      <c r="G683" s="11"/>
      <c r="L683" s="11"/>
      <c r="N683" s="12"/>
      <c r="O683" s="1" t="str">
        <f aca="false">IF(OR(D683="",G683=""),"",G683-D683)</f>
        <v/>
      </c>
    </row>
    <row r="684" customFormat="false" ht="15" hidden="false" customHeight="false" outlineLevel="0" collapsed="false">
      <c r="D684" s="11"/>
      <c r="E684" s="11"/>
      <c r="F684" s="11"/>
      <c r="G684" s="11"/>
      <c r="L684" s="11"/>
      <c r="N684" s="12"/>
      <c r="O684" s="1" t="str">
        <f aca="false">IF(OR(D684="",G684=""),"",G684-D684)</f>
        <v/>
      </c>
    </row>
    <row r="685" customFormat="false" ht="15" hidden="false" customHeight="false" outlineLevel="0" collapsed="false">
      <c r="D685" s="11"/>
      <c r="E685" s="11"/>
      <c r="F685" s="11"/>
      <c r="G685" s="11"/>
      <c r="L685" s="11"/>
      <c r="N685" s="12"/>
      <c r="O685" s="1" t="str">
        <f aca="false">IF(OR(D685="",G685=""),"",G685-D685)</f>
        <v/>
      </c>
    </row>
    <row r="686" customFormat="false" ht="15" hidden="false" customHeight="false" outlineLevel="0" collapsed="false">
      <c r="D686" s="11"/>
      <c r="E686" s="11"/>
      <c r="F686" s="11"/>
      <c r="G686" s="11"/>
      <c r="L686" s="11"/>
      <c r="N686" s="12"/>
      <c r="O686" s="1" t="str">
        <f aca="false">IF(OR(D686="",G686=""),"",G686-D686)</f>
        <v/>
      </c>
    </row>
    <row r="687" customFormat="false" ht="15" hidden="false" customHeight="false" outlineLevel="0" collapsed="false">
      <c r="D687" s="11"/>
      <c r="E687" s="11"/>
      <c r="F687" s="11"/>
      <c r="G687" s="11"/>
      <c r="L687" s="11"/>
      <c r="N687" s="12"/>
      <c r="O687" s="1" t="str">
        <f aca="false">IF(OR(D687="",G687=""),"",G687-D687)</f>
        <v/>
      </c>
    </row>
    <row r="688" customFormat="false" ht="15" hidden="false" customHeight="false" outlineLevel="0" collapsed="false">
      <c r="D688" s="11"/>
      <c r="E688" s="11"/>
      <c r="F688" s="11"/>
      <c r="G688" s="11"/>
      <c r="L688" s="11"/>
      <c r="N688" s="12"/>
      <c r="O688" s="1" t="str">
        <f aca="false">IF(OR(D688="",G688=""),"",G688-D688)</f>
        <v/>
      </c>
    </row>
    <row r="689" customFormat="false" ht="15" hidden="false" customHeight="false" outlineLevel="0" collapsed="false">
      <c r="D689" s="11"/>
      <c r="E689" s="11"/>
      <c r="F689" s="11"/>
      <c r="G689" s="11"/>
      <c r="L689" s="11"/>
      <c r="N689" s="12"/>
      <c r="O689" s="1" t="str">
        <f aca="false">IF(OR(D689="",G689=""),"",G689-D689)</f>
        <v/>
      </c>
    </row>
    <row r="690" customFormat="false" ht="15" hidden="false" customHeight="false" outlineLevel="0" collapsed="false">
      <c r="D690" s="11"/>
      <c r="E690" s="11"/>
      <c r="F690" s="11"/>
      <c r="G690" s="11"/>
      <c r="L690" s="11"/>
      <c r="N690" s="12"/>
      <c r="O690" s="1" t="str">
        <f aca="false">IF(OR(D690="",G690=""),"",G690-D690)</f>
        <v/>
      </c>
    </row>
    <row r="691" customFormat="false" ht="15" hidden="false" customHeight="false" outlineLevel="0" collapsed="false">
      <c r="D691" s="11"/>
      <c r="E691" s="11"/>
      <c r="F691" s="11"/>
      <c r="G691" s="11"/>
      <c r="L691" s="11"/>
      <c r="N691" s="12"/>
      <c r="O691" s="1" t="str">
        <f aca="false">IF(OR(D691="",G691=""),"",G691-D691)</f>
        <v/>
      </c>
    </row>
    <row r="692" customFormat="false" ht="15" hidden="false" customHeight="false" outlineLevel="0" collapsed="false">
      <c r="D692" s="11"/>
      <c r="E692" s="11"/>
      <c r="F692" s="11"/>
      <c r="G692" s="11"/>
      <c r="L692" s="11"/>
      <c r="N692" s="12"/>
      <c r="O692" s="1" t="str">
        <f aca="false">IF(OR(D692="",G692=""),"",G692-D692)</f>
        <v/>
      </c>
    </row>
    <row r="693" customFormat="false" ht="15" hidden="false" customHeight="false" outlineLevel="0" collapsed="false">
      <c r="D693" s="11"/>
      <c r="E693" s="11"/>
      <c r="F693" s="11"/>
      <c r="G693" s="11"/>
      <c r="L693" s="11"/>
      <c r="N693" s="12"/>
      <c r="O693" s="1" t="str">
        <f aca="false">IF(OR(D693="",G693=""),"",G693-D693)</f>
        <v/>
      </c>
    </row>
    <row r="694" customFormat="false" ht="15" hidden="false" customHeight="false" outlineLevel="0" collapsed="false">
      <c r="D694" s="11"/>
      <c r="E694" s="11"/>
      <c r="F694" s="11"/>
      <c r="G694" s="11"/>
      <c r="L694" s="11"/>
      <c r="N694" s="12"/>
      <c r="O694" s="1" t="str">
        <f aca="false">IF(OR(D694="",G694=""),"",G694-D694)</f>
        <v/>
      </c>
    </row>
    <row r="695" customFormat="false" ht="15" hidden="false" customHeight="false" outlineLevel="0" collapsed="false">
      <c r="D695" s="11"/>
      <c r="E695" s="11"/>
      <c r="F695" s="11"/>
      <c r="G695" s="11"/>
      <c r="L695" s="11"/>
      <c r="N695" s="12"/>
      <c r="O695" s="1" t="str">
        <f aca="false">IF(OR(D695="",G695=""),"",G695-D695)</f>
        <v/>
      </c>
    </row>
    <row r="696" customFormat="false" ht="15" hidden="false" customHeight="false" outlineLevel="0" collapsed="false">
      <c r="D696" s="11"/>
      <c r="E696" s="11"/>
      <c r="F696" s="11"/>
      <c r="G696" s="11"/>
      <c r="L696" s="11"/>
      <c r="N696" s="12"/>
      <c r="O696" s="1" t="str">
        <f aca="false">IF(OR(D696="",G696=""),"",G696-D696)</f>
        <v/>
      </c>
    </row>
    <row r="697" customFormat="false" ht="15" hidden="false" customHeight="false" outlineLevel="0" collapsed="false">
      <c r="D697" s="11"/>
      <c r="E697" s="11"/>
      <c r="F697" s="11"/>
      <c r="G697" s="11"/>
      <c r="L697" s="11"/>
      <c r="N697" s="12"/>
      <c r="O697" s="1" t="str">
        <f aca="false">IF(OR(D697="",G697=""),"",G697-D697)</f>
        <v/>
      </c>
    </row>
    <row r="698" customFormat="false" ht="15" hidden="false" customHeight="false" outlineLevel="0" collapsed="false">
      <c r="D698" s="11"/>
      <c r="E698" s="11"/>
      <c r="F698" s="11"/>
      <c r="G698" s="11"/>
      <c r="L698" s="11"/>
      <c r="N698" s="12"/>
      <c r="O698" s="1" t="str">
        <f aca="false">IF(OR(D698="",G698=""),"",G698-D698)</f>
        <v/>
      </c>
    </row>
    <row r="699" customFormat="false" ht="15" hidden="false" customHeight="false" outlineLevel="0" collapsed="false">
      <c r="D699" s="11"/>
      <c r="E699" s="11"/>
      <c r="F699" s="11"/>
      <c r="G699" s="11"/>
      <c r="L699" s="11"/>
      <c r="N699" s="12"/>
      <c r="O699" s="1" t="str">
        <f aca="false">IF(OR(D699="",G699=""),"",G699-D699)</f>
        <v/>
      </c>
    </row>
    <row r="700" customFormat="false" ht="15" hidden="false" customHeight="false" outlineLevel="0" collapsed="false">
      <c r="D700" s="11"/>
      <c r="E700" s="11"/>
      <c r="F700" s="11"/>
      <c r="G700" s="11"/>
      <c r="L700" s="11"/>
      <c r="N700" s="12"/>
      <c r="O700" s="1" t="str">
        <f aca="false">IF(OR(D700="",G700=""),"",G700-D700)</f>
        <v/>
      </c>
    </row>
    <row r="701" customFormat="false" ht="15" hidden="false" customHeight="false" outlineLevel="0" collapsed="false">
      <c r="D701" s="11"/>
      <c r="E701" s="11"/>
      <c r="F701" s="11"/>
      <c r="G701" s="11"/>
      <c r="L701" s="11"/>
      <c r="N701" s="12"/>
      <c r="O701" s="1" t="str">
        <f aca="false">IF(OR(D701="",G701=""),"",G701-D701)</f>
        <v/>
      </c>
    </row>
    <row r="702" customFormat="false" ht="15" hidden="false" customHeight="false" outlineLevel="0" collapsed="false">
      <c r="D702" s="11"/>
      <c r="E702" s="11"/>
      <c r="F702" s="11"/>
      <c r="G702" s="11"/>
      <c r="L702" s="11"/>
      <c r="N702" s="12"/>
      <c r="O702" s="1" t="str">
        <f aca="false">IF(OR(D702="",G702=""),"",G702-D702)</f>
        <v/>
      </c>
    </row>
    <row r="703" customFormat="false" ht="15" hidden="false" customHeight="false" outlineLevel="0" collapsed="false">
      <c r="D703" s="11"/>
      <c r="E703" s="11"/>
      <c r="F703" s="11"/>
      <c r="G703" s="11"/>
      <c r="L703" s="11"/>
      <c r="N703" s="12"/>
      <c r="O703" s="1" t="str">
        <f aca="false">IF(OR(D703="",G703=""),"",G703-D703)</f>
        <v/>
      </c>
    </row>
    <row r="704" customFormat="false" ht="15" hidden="false" customHeight="false" outlineLevel="0" collapsed="false">
      <c r="D704" s="11"/>
      <c r="E704" s="11"/>
      <c r="F704" s="11"/>
      <c r="G704" s="11"/>
      <c r="L704" s="11"/>
      <c r="N704" s="12"/>
      <c r="O704" s="1" t="str">
        <f aca="false">IF(OR(D704="",G704=""),"",G704-D704)</f>
        <v/>
      </c>
    </row>
    <row r="705" customFormat="false" ht="15" hidden="false" customHeight="false" outlineLevel="0" collapsed="false">
      <c r="D705" s="11"/>
      <c r="E705" s="11"/>
      <c r="F705" s="11"/>
      <c r="G705" s="11"/>
      <c r="L705" s="11"/>
      <c r="N705" s="12"/>
      <c r="O705" s="1" t="str">
        <f aca="false">IF(OR(D705="",G705=""),"",G705-D705)</f>
        <v/>
      </c>
    </row>
    <row r="706" customFormat="false" ht="15" hidden="false" customHeight="false" outlineLevel="0" collapsed="false">
      <c r="D706" s="11"/>
      <c r="E706" s="11"/>
      <c r="F706" s="11"/>
      <c r="G706" s="11"/>
      <c r="L706" s="11"/>
      <c r="N706" s="12"/>
      <c r="O706" s="1" t="str">
        <f aca="false">IF(OR(D706="",G706=""),"",G706-D706)</f>
        <v/>
      </c>
    </row>
    <row r="707" customFormat="false" ht="15" hidden="false" customHeight="false" outlineLevel="0" collapsed="false">
      <c r="D707" s="11"/>
      <c r="E707" s="11"/>
      <c r="F707" s="11"/>
      <c r="G707" s="11"/>
      <c r="L707" s="11"/>
      <c r="N707" s="12"/>
      <c r="O707" s="1" t="str">
        <f aca="false">IF(OR(D707="",G707=""),"",G707-D707)</f>
        <v/>
      </c>
    </row>
    <row r="708" customFormat="false" ht="15" hidden="false" customHeight="false" outlineLevel="0" collapsed="false">
      <c r="D708" s="11"/>
      <c r="E708" s="11"/>
      <c r="F708" s="11"/>
      <c r="G708" s="11"/>
      <c r="L708" s="11"/>
      <c r="N708" s="12"/>
      <c r="O708" s="1" t="str">
        <f aca="false">IF(OR(D708="",G708=""),"",G708-D708)</f>
        <v/>
      </c>
    </row>
    <row r="709" customFormat="false" ht="15" hidden="false" customHeight="false" outlineLevel="0" collapsed="false">
      <c r="D709" s="11"/>
      <c r="E709" s="11"/>
      <c r="F709" s="11"/>
      <c r="G709" s="11"/>
      <c r="L709" s="11"/>
      <c r="N709" s="12"/>
      <c r="O709" s="1" t="str">
        <f aca="false">IF(OR(D709="",G709=""),"",G709-D709)</f>
        <v/>
      </c>
    </row>
    <row r="710" customFormat="false" ht="15" hidden="false" customHeight="false" outlineLevel="0" collapsed="false">
      <c r="D710" s="11"/>
      <c r="E710" s="11"/>
      <c r="F710" s="11"/>
      <c r="G710" s="11"/>
      <c r="L710" s="11"/>
      <c r="N710" s="12"/>
      <c r="O710" s="1" t="str">
        <f aca="false">IF(OR(D710="",G710=""),"",G710-D710)</f>
        <v/>
      </c>
    </row>
    <row r="711" customFormat="false" ht="15" hidden="false" customHeight="false" outlineLevel="0" collapsed="false">
      <c r="D711" s="11"/>
      <c r="E711" s="11"/>
      <c r="F711" s="11"/>
      <c r="G711" s="11"/>
      <c r="L711" s="11"/>
      <c r="N711" s="12"/>
      <c r="O711" s="1" t="str">
        <f aca="false">IF(OR(D711="",G711=""),"",G711-D711)</f>
        <v/>
      </c>
    </row>
    <row r="712" customFormat="false" ht="15" hidden="false" customHeight="false" outlineLevel="0" collapsed="false">
      <c r="D712" s="11"/>
      <c r="E712" s="11"/>
      <c r="F712" s="11"/>
      <c r="G712" s="11"/>
      <c r="L712" s="11"/>
      <c r="N712" s="12"/>
      <c r="O712" s="1" t="str">
        <f aca="false">IF(OR(D712="",G712=""),"",G712-D712)</f>
        <v/>
      </c>
    </row>
    <row r="713" customFormat="false" ht="15" hidden="false" customHeight="false" outlineLevel="0" collapsed="false">
      <c r="D713" s="11"/>
      <c r="E713" s="11"/>
      <c r="F713" s="11"/>
      <c r="G713" s="11"/>
      <c r="L713" s="11"/>
      <c r="N713" s="12"/>
      <c r="O713" s="1" t="str">
        <f aca="false">IF(OR(D713="",G713=""),"",G713-D713)</f>
        <v/>
      </c>
    </row>
    <row r="714" customFormat="false" ht="15" hidden="false" customHeight="false" outlineLevel="0" collapsed="false">
      <c r="D714" s="11"/>
      <c r="E714" s="11"/>
      <c r="F714" s="11"/>
      <c r="G714" s="11"/>
      <c r="L714" s="11"/>
      <c r="N714" s="12"/>
      <c r="O714" s="1" t="str">
        <f aca="false">IF(OR(D714="",G714=""),"",G714-D714)</f>
        <v/>
      </c>
    </row>
    <row r="715" customFormat="false" ht="15" hidden="false" customHeight="false" outlineLevel="0" collapsed="false">
      <c r="D715" s="11"/>
      <c r="E715" s="11"/>
      <c r="F715" s="11"/>
      <c r="G715" s="11"/>
      <c r="L715" s="11"/>
      <c r="N715" s="12"/>
      <c r="O715" s="1" t="str">
        <f aca="false">IF(OR(D715="",G715=""),"",G715-D715)</f>
        <v/>
      </c>
    </row>
    <row r="716" customFormat="false" ht="15" hidden="false" customHeight="false" outlineLevel="0" collapsed="false">
      <c r="D716" s="11"/>
      <c r="E716" s="11"/>
      <c r="F716" s="11"/>
      <c r="G716" s="11"/>
      <c r="L716" s="11"/>
      <c r="N716" s="12"/>
      <c r="O716" s="1" t="str">
        <f aca="false">IF(OR(D716="",G716=""),"",G716-D716)</f>
        <v/>
      </c>
    </row>
    <row r="717" customFormat="false" ht="15" hidden="false" customHeight="false" outlineLevel="0" collapsed="false">
      <c r="D717" s="11"/>
      <c r="E717" s="11"/>
      <c r="F717" s="11"/>
      <c r="G717" s="11"/>
      <c r="L717" s="11"/>
      <c r="N717" s="12"/>
      <c r="O717" s="1" t="str">
        <f aca="false">IF(OR(D717="",G717=""),"",G717-D717)</f>
        <v/>
      </c>
    </row>
    <row r="718" customFormat="false" ht="15" hidden="false" customHeight="false" outlineLevel="0" collapsed="false">
      <c r="D718" s="11"/>
      <c r="E718" s="11"/>
      <c r="F718" s="11"/>
      <c r="G718" s="11"/>
      <c r="L718" s="11"/>
      <c r="N718" s="12"/>
      <c r="O718" s="1" t="str">
        <f aca="false">IF(OR(D718="",G718=""),"",G718-D718)</f>
        <v/>
      </c>
    </row>
    <row r="719" customFormat="false" ht="15" hidden="false" customHeight="false" outlineLevel="0" collapsed="false">
      <c r="D719" s="11"/>
      <c r="E719" s="11"/>
      <c r="F719" s="11"/>
      <c r="G719" s="11"/>
      <c r="L719" s="11"/>
      <c r="N719" s="12"/>
      <c r="O719" s="1" t="str">
        <f aca="false">IF(OR(D719="",G719=""),"",G719-D719)</f>
        <v/>
      </c>
    </row>
    <row r="720" customFormat="false" ht="15" hidden="false" customHeight="false" outlineLevel="0" collapsed="false">
      <c r="D720" s="11"/>
      <c r="E720" s="11"/>
      <c r="F720" s="11"/>
      <c r="G720" s="11"/>
      <c r="L720" s="11"/>
      <c r="N720" s="12"/>
      <c r="O720" s="1" t="str">
        <f aca="false">IF(OR(D720="",G720=""),"",G720-D720)</f>
        <v/>
      </c>
    </row>
    <row r="721" customFormat="false" ht="15" hidden="false" customHeight="false" outlineLevel="0" collapsed="false">
      <c r="D721" s="11"/>
      <c r="E721" s="11"/>
      <c r="F721" s="11"/>
      <c r="G721" s="11"/>
      <c r="L721" s="11"/>
      <c r="N721" s="12"/>
      <c r="O721" s="1" t="str">
        <f aca="false">IF(OR(D721="",G721=""),"",G721-D721)</f>
        <v/>
      </c>
    </row>
    <row r="722" customFormat="false" ht="15" hidden="false" customHeight="false" outlineLevel="0" collapsed="false">
      <c r="D722" s="11"/>
      <c r="E722" s="11"/>
      <c r="F722" s="11"/>
      <c r="G722" s="11"/>
      <c r="L722" s="11"/>
      <c r="N722" s="12"/>
      <c r="O722" s="1" t="str">
        <f aca="false">IF(OR(D722="",G722=""),"",G722-D722)</f>
        <v/>
      </c>
    </row>
    <row r="723" customFormat="false" ht="15" hidden="false" customHeight="false" outlineLevel="0" collapsed="false">
      <c r="D723" s="11"/>
      <c r="E723" s="11"/>
      <c r="F723" s="11"/>
      <c r="G723" s="11"/>
      <c r="L723" s="11"/>
      <c r="N723" s="12"/>
      <c r="O723" s="1" t="str">
        <f aca="false">IF(OR(D723="",G723=""),"",G723-D723)</f>
        <v/>
      </c>
    </row>
    <row r="724" customFormat="false" ht="15" hidden="false" customHeight="false" outlineLevel="0" collapsed="false">
      <c r="D724" s="11"/>
      <c r="E724" s="11"/>
      <c r="F724" s="11"/>
      <c r="G724" s="11"/>
      <c r="L724" s="11"/>
      <c r="N724" s="12"/>
      <c r="O724" s="1" t="str">
        <f aca="false">IF(OR(D724="",G724=""),"",G724-D724)</f>
        <v/>
      </c>
    </row>
    <row r="725" customFormat="false" ht="15" hidden="false" customHeight="false" outlineLevel="0" collapsed="false">
      <c r="D725" s="11"/>
      <c r="E725" s="11"/>
      <c r="F725" s="11"/>
      <c r="G725" s="11"/>
      <c r="L725" s="11"/>
      <c r="N725" s="12"/>
      <c r="O725" s="1" t="str">
        <f aca="false">IF(OR(D725="",G725=""),"",G725-D725)</f>
        <v/>
      </c>
    </row>
    <row r="726" customFormat="false" ht="15" hidden="false" customHeight="false" outlineLevel="0" collapsed="false">
      <c r="D726" s="11"/>
      <c r="E726" s="11"/>
      <c r="F726" s="11"/>
      <c r="G726" s="11"/>
      <c r="L726" s="11"/>
      <c r="N726" s="12"/>
      <c r="O726" s="1" t="str">
        <f aca="false">IF(OR(D726="",G726=""),"",G726-D726)</f>
        <v/>
      </c>
    </row>
    <row r="727" customFormat="false" ht="15" hidden="false" customHeight="false" outlineLevel="0" collapsed="false">
      <c r="D727" s="11"/>
      <c r="E727" s="11"/>
      <c r="F727" s="11"/>
      <c r="G727" s="11"/>
      <c r="L727" s="11"/>
      <c r="N727" s="12"/>
      <c r="O727" s="1" t="str">
        <f aca="false">IF(OR(D727="",G727=""),"",G727-D727)</f>
        <v/>
      </c>
    </row>
    <row r="728" customFormat="false" ht="15" hidden="false" customHeight="false" outlineLevel="0" collapsed="false">
      <c r="D728" s="11"/>
      <c r="E728" s="11"/>
      <c r="F728" s="11"/>
      <c r="G728" s="11"/>
      <c r="L728" s="11"/>
      <c r="N728" s="12"/>
      <c r="O728" s="1" t="str">
        <f aca="false">IF(OR(D728="",G728=""),"",G728-D728)</f>
        <v/>
      </c>
    </row>
    <row r="729" customFormat="false" ht="15" hidden="false" customHeight="false" outlineLevel="0" collapsed="false">
      <c r="D729" s="11"/>
      <c r="E729" s="11"/>
      <c r="F729" s="11"/>
      <c r="G729" s="11"/>
      <c r="L729" s="11"/>
      <c r="N729" s="12"/>
      <c r="O729" s="1" t="str">
        <f aca="false">IF(OR(D729="",G729=""),"",G729-D729)</f>
        <v/>
      </c>
    </row>
    <row r="730" customFormat="false" ht="15" hidden="false" customHeight="false" outlineLevel="0" collapsed="false">
      <c r="D730" s="11"/>
      <c r="E730" s="11"/>
      <c r="F730" s="11"/>
      <c r="G730" s="11"/>
      <c r="L730" s="11"/>
      <c r="N730" s="12"/>
      <c r="O730" s="1" t="str">
        <f aca="false">IF(OR(D730="",G730=""),"",G730-D730)</f>
        <v/>
      </c>
    </row>
    <row r="731" customFormat="false" ht="15" hidden="false" customHeight="false" outlineLevel="0" collapsed="false">
      <c r="D731" s="11"/>
      <c r="E731" s="11"/>
      <c r="F731" s="11"/>
      <c r="G731" s="11"/>
      <c r="L731" s="11"/>
      <c r="N731" s="12"/>
      <c r="O731" s="1" t="str">
        <f aca="false">IF(OR(D731="",G731=""),"",G731-D731)</f>
        <v/>
      </c>
    </row>
    <row r="732" customFormat="false" ht="15" hidden="false" customHeight="false" outlineLevel="0" collapsed="false">
      <c r="D732" s="11"/>
      <c r="E732" s="11"/>
      <c r="F732" s="11"/>
      <c r="G732" s="11"/>
      <c r="L732" s="11"/>
      <c r="N732" s="12"/>
      <c r="O732" s="1" t="str">
        <f aca="false">IF(OR(D732="",G732=""),"",G732-D732)</f>
        <v/>
      </c>
    </row>
    <row r="733" customFormat="false" ht="15" hidden="false" customHeight="false" outlineLevel="0" collapsed="false">
      <c r="D733" s="11"/>
      <c r="E733" s="11"/>
      <c r="F733" s="11"/>
      <c r="G733" s="11"/>
      <c r="L733" s="11"/>
      <c r="N733" s="12"/>
      <c r="O733" s="1" t="str">
        <f aca="false">IF(OR(D733="",G733=""),"",G733-D733)</f>
        <v/>
      </c>
    </row>
    <row r="734" customFormat="false" ht="15" hidden="false" customHeight="false" outlineLevel="0" collapsed="false">
      <c r="D734" s="11"/>
      <c r="E734" s="11"/>
      <c r="F734" s="11"/>
      <c r="G734" s="11"/>
      <c r="L734" s="11"/>
      <c r="N734" s="12"/>
      <c r="O734" s="1" t="str">
        <f aca="false">IF(OR(D734="",G734=""),"",G734-D734)</f>
        <v/>
      </c>
    </row>
    <row r="735" customFormat="false" ht="15" hidden="false" customHeight="false" outlineLevel="0" collapsed="false">
      <c r="D735" s="11"/>
      <c r="E735" s="11"/>
      <c r="F735" s="11"/>
      <c r="G735" s="11"/>
      <c r="L735" s="11"/>
      <c r="N735" s="12"/>
      <c r="O735" s="1" t="str">
        <f aca="false">IF(OR(D735="",G735=""),"",G735-D735)</f>
        <v/>
      </c>
    </row>
    <row r="736" customFormat="false" ht="15" hidden="false" customHeight="false" outlineLevel="0" collapsed="false">
      <c r="D736" s="11"/>
      <c r="E736" s="11"/>
      <c r="F736" s="11"/>
      <c r="G736" s="11"/>
      <c r="L736" s="11"/>
      <c r="N736" s="12"/>
      <c r="O736" s="1" t="str">
        <f aca="false">IF(OR(D736="",G736=""),"",G736-D736)</f>
        <v/>
      </c>
    </row>
    <row r="737" customFormat="false" ht="15" hidden="false" customHeight="false" outlineLevel="0" collapsed="false">
      <c r="D737" s="11"/>
      <c r="E737" s="11"/>
      <c r="F737" s="11"/>
      <c r="G737" s="11"/>
      <c r="L737" s="11"/>
      <c r="N737" s="12"/>
      <c r="O737" s="1" t="str">
        <f aca="false">IF(OR(D737="",G737=""),"",G737-D737)</f>
        <v/>
      </c>
    </row>
    <row r="738" customFormat="false" ht="15" hidden="false" customHeight="false" outlineLevel="0" collapsed="false">
      <c r="D738" s="11"/>
      <c r="E738" s="11"/>
      <c r="F738" s="11"/>
      <c r="G738" s="11"/>
      <c r="L738" s="11"/>
      <c r="N738" s="12"/>
      <c r="O738" s="1" t="str">
        <f aca="false">IF(OR(D738="",G738=""),"",G738-D738)</f>
        <v/>
      </c>
    </row>
    <row r="739" customFormat="false" ht="15" hidden="false" customHeight="false" outlineLevel="0" collapsed="false">
      <c r="D739" s="11"/>
      <c r="E739" s="11"/>
      <c r="F739" s="11"/>
      <c r="G739" s="11"/>
      <c r="L739" s="11"/>
      <c r="N739" s="12"/>
      <c r="O739" s="1" t="str">
        <f aca="false">IF(OR(D739="",G739=""),"",G739-D739)</f>
        <v/>
      </c>
    </row>
    <row r="740" customFormat="false" ht="15" hidden="false" customHeight="false" outlineLevel="0" collapsed="false">
      <c r="D740" s="11"/>
      <c r="E740" s="11"/>
      <c r="F740" s="11"/>
      <c r="G740" s="11"/>
      <c r="L740" s="11"/>
      <c r="N740" s="12"/>
      <c r="O740" s="1" t="str">
        <f aca="false">IF(OR(D740="",G740=""),"",G740-D740)</f>
        <v/>
      </c>
    </row>
    <row r="741" customFormat="false" ht="15" hidden="false" customHeight="false" outlineLevel="0" collapsed="false">
      <c r="D741" s="11"/>
      <c r="E741" s="11"/>
      <c r="F741" s="11"/>
      <c r="G741" s="11"/>
      <c r="L741" s="11"/>
      <c r="N741" s="12"/>
      <c r="O741" s="1" t="str">
        <f aca="false">IF(OR(D741="",G741=""),"",G741-D741)</f>
        <v/>
      </c>
    </row>
    <row r="742" customFormat="false" ht="15" hidden="false" customHeight="false" outlineLevel="0" collapsed="false">
      <c r="D742" s="11"/>
      <c r="E742" s="11"/>
      <c r="F742" s="11"/>
      <c r="G742" s="11"/>
      <c r="L742" s="11"/>
      <c r="N742" s="12"/>
      <c r="O742" s="1" t="str">
        <f aca="false">IF(OR(D742="",G742=""),"",G742-D742)</f>
        <v/>
      </c>
    </row>
    <row r="743" customFormat="false" ht="15" hidden="false" customHeight="false" outlineLevel="0" collapsed="false">
      <c r="D743" s="11"/>
      <c r="E743" s="11"/>
      <c r="F743" s="11"/>
      <c r="G743" s="11"/>
      <c r="L743" s="11"/>
      <c r="N743" s="12"/>
      <c r="O743" s="1" t="str">
        <f aca="false">IF(OR(D743="",G743=""),"",G743-D743)</f>
        <v/>
      </c>
    </row>
    <row r="744" customFormat="false" ht="15" hidden="false" customHeight="false" outlineLevel="0" collapsed="false">
      <c r="D744" s="11"/>
      <c r="E744" s="11"/>
      <c r="F744" s="11"/>
      <c r="G744" s="11"/>
      <c r="L744" s="11"/>
      <c r="N744" s="12"/>
      <c r="O744" s="1" t="str">
        <f aca="false">IF(OR(D744="",G744=""),"",G744-D744)</f>
        <v/>
      </c>
    </row>
    <row r="745" customFormat="false" ht="15" hidden="false" customHeight="false" outlineLevel="0" collapsed="false">
      <c r="D745" s="11"/>
      <c r="E745" s="11"/>
      <c r="F745" s="11"/>
      <c r="G745" s="11"/>
      <c r="L745" s="11"/>
      <c r="N745" s="12"/>
      <c r="O745" s="1" t="str">
        <f aca="false">IF(OR(D745="",G745=""),"",G745-D745)</f>
        <v/>
      </c>
    </row>
    <row r="746" customFormat="false" ht="15" hidden="false" customHeight="false" outlineLevel="0" collapsed="false">
      <c r="D746" s="11"/>
      <c r="E746" s="11"/>
      <c r="F746" s="11"/>
      <c r="G746" s="11"/>
      <c r="L746" s="11"/>
      <c r="N746" s="12"/>
      <c r="O746" s="1" t="str">
        <f aca="false">IF(OR(D746="",G746=""),"",G746-D746)</f>
        <v/>
      </c>
    </row>
    <row r="747" customFormat="false" ht="15" hidden="false" customHeight="false" outlineLevel="0" collapsed="false">
      <c r="D747" s="11"/>
      <c r="E747" s="11"/>
      <c r="F747" s="11"/>
      <c r="G747" s="11"/>
      <c r="L747" s="11"/>
      <c r="N747" s="12"/>
      <c r="O747" s="1" t="str">
        <f aca="false">IF(OR(D747="",G747=""),"",G747-D747)</f>
        <v/>
      </c>
    </row>
    <row r="748" customFormat="false" ht="15" hidden="false" customHeight="false" outlineLevel="0" collapsed="false">
      <c r="D748" s="11"/>
      <c r="E748" s="11"/>
      <c r="F748" s="11"/>
      <c r="G748" s="11"/>
      <c r="L748" s="11"/>
      <c r="N748" s="12"/>
      <c r="O748" s="1" t="str">
        <f aca="false">IF(OR(D748="",G748=""),"",G748-D748)</f>
        <v/>
      </c>
    </row>
    <row r="749" customFormat="false" ht="15" hidden="false" customHeight="false" outlineLevel="0" collapsed="false">
      <c r="D749" s="11"/>
      <c r="E749" s="11"/>
      <c r="F749" s="11"/>
      <c r="G749" s="11"/>
      <c r="L749" s="11"/>
      <c r="N749" s="12"/>
      <c r="O749" s="1" t="str">
        <f aca="false">IF(OR(D749="",G749=""),"",G749-D749)</f>
        <v/>
      </c>
    </row>
    <row r="750" customFormat="false" ht="15" hidden="false" customHeight="false" outlineLevel="0" collapsed="false">
      <c r="D750" s="11"/>
      <c r="E750" s="11"/>
      <c r="F750" s="11"/>
      <c r="G750" s="11"/>
      <c r="L750" s="11"/>
      <c r="N750" s="12"/>
      <c r="O750" s="1" t="str">
        <f aca="false">IF(OR(D750="",G750=""),"",G750-D750)</f>
        <v/>
      </c>
    </row>
    <row r="751" customFormat="false" ht="15" hidden="false" customHeight="false" outlineLevel="0" collapsed="false">
      <c r="D751" s="11"/>
      <c r="E751" s="11"/>
      <c r="F751" s="11"/>
      <c r="G751" s="11"/>
      <c r="L751" s="11"/>
      <c r="N751" s="12"/>
      <c r="O751" s="1" t="str">
        <f aca="false">IF(OR(D751="",G751=""),"",G751-D751)</f>
        <v/>
      </c>
    </row>
    <row r="752" customFormat="false" ht="15" hidden="false" customHeight="false" outlineLevel="0" collapsed="false">
      <c r="D752" s="11"/>
      <c r="E752" s="11"/>
      <c r="F752" s="11"/>
      <c r="G752" s="11"/>
      <c r="L752" s="11"/>
      <c r="N752" s="12"/>
      <c r="O752" s="1" t="str">
        <f aca="false">IF(OR(D752="",G752=""),"",G752-D752)</f>
        <v/>
      </c>
    </row>
    <row r="753" customFormat="false" ht="15" hidden="false" customHeight="false" outlineLevel="0" collapsed="false">
      <c r="D753" s="11"/>
      <c r="E753" s="11"/>
      <c r="F753" s="11"/>
      <c r="G753" s="11"/>
      <c r="L753" s="11"/>
      <c r="N753" s="12"/>
      <c r="O753" s="1" t="str">
        <f aca="false">IF(OR(D753="",G753=""),"",G753-D753)</f>
        <v/>
      </c>
    </row>
    <row r="754" customFormat="false" ht="15" hidden="false" customHeight="false" outlineLevel="0" collapsed="false">
      <c r="D754" s="11"/>
      <c r="E754" s="11"/>
      <c r="F754" s="11"/>
      <c r="G754" s="11"/>
      <c r="L754" s="11"/>
      <c r="N754" s="12"/>
      <c r="O754" s="1" t="str">
        <f aca="false">IF(OR(D754="",G754=""),"",G754-D754)</f>
        <v/>
      </c>
    </row>
    <row r="755" customFormat="false" ht="15" hidden="false" customHeight="false" outlineLevel="0" collapsed="false">
      <c r="D755" s="11"/>
      <c r="E755" s="11"/>
      <c r="F755" s="11"/>
      <c r="G755" s="11"/>
      <c r="L755" s="11"/>
      <c r="N755" s="12"/>
      <c r="O755" s="1" t="str">
        <f aca="false">IF(OR(D755="",G755=""),"",G755-D755)</f>
        <v/>
      </c>
    </row>
    <row r="756" customFormat="false" ht="15" hidden="false" customHeight="false" outlineLevel="0" collapsed="false">
      <c r="D756" s="11"/>
      <c r="E756" s="11"/>
      <c r="F756" s="11"/>
      <c r="G756" s="11"/>
      <c r="L756" s="11"/>
      <c r="N756" s="12"/>
      <c r="O756" s="1" t="str">
        <f aca="false">IF(OR(D756="",G756=""),"",G756-D756)</f>
        <v/>
      </c>
    </row>
    <row r="757" customFormat="false" ht="15" hidden="false" customHeight="false" outlineLevel="0" collapsed="false">
      <c r="D757" s="11"/>
      <c r="E757" s="11"/>
      <c r="F757" s="11"/>
      <c r="G757" s="11"/>
      <c r="L757" s="11"/>
      <c r="N757" s="12"/>
      <c r="O757" s="1" t="str">
        <f aca="false">IF(OR(D757="",G757=""),"",G757-D757)</f>
        <v/>
      </c>
    </row>
    <row r="758" customFormat="false" ht="15" hidden="false" customHeight="false" outlineLevel="0" collapsed="false">
      <c r="D758" s="11"/>
      <c r="E758" s="11"/>
      <c r="F758" s="11"/>
      <c r="G758" s="11"/>
      <c r="L758" s="11"/>
      <c r="N758" s="12"/>
      <c r="O758" s="1" t="str">
        <f aca="false">IF(OR(D758="",G758=""),"",G758-D758)</f>
        <v/>
      </c>
    </row>
    <row r="759" customFormat="false" ht="15" hidden="false" customHeight="false" outlineLevel="0" collapsed="false">
      <c r="D759" s="11"/>
      <c r="E759" s="11"/>
      <c r="F759" s="11"/>
      <c r="G759" s="11"/>
      <c r="L759" s="11"/>
      <c r="N759" s="12"/>
      <c r="O759" s="1" t="str">
        <f aca="false">IF(OR(D759="",G759=""),"",G759-D759)</f>
        <v/>
      </c>
    </row>
    <row r="760" customFormat="false" ht="15" hidden="false" customHeight="false" outlineLevel="0" collapsed="false">
      <c r="D760" s="11"/>
      <c r="E760" s="11"/>
      <c r="F760" s="11"/>
      <c r="G760" s="11"/>
      <c r="L760" s="11"/>
      <c r="N760" s="12"/>
      <c r="O760" s="1" t="str">
        <f aca="false">IF(OR(D760="",G760=""),"",G760-D760)</f>
        <v/>
      </c>
    </row>
    <row r="761" customFormat="false" ht="15" hidden="false" customHeight="false" outlineLevel="0" collapsed="false">
      <c r="D761" s="11"/>
      <c r="E761" s="11"/>
      <c r="F761" s="11"/>
      <c r="G761" s="11"/>
      <c r="L761" s="11"/>
      <c r="N761" s="12"/>
      <c r="O761" s="1" t="str">
        <f aca="false">IF(OR(D761="",G761=""),"",G761-D761)</f>
        <v/>
      </c>
    </row>
    <row r="762" customFormat="false" ht="15" hidden="false" customHeight="false" outlineLevel="0" collapsed="false">
      <c r="D762" s="11"/>
      <c r="E762" s="11"/>
      <c r="F762" s="11"/>
      <c r="G762" s="11"/>
      <c r="L762" s="11"/>
      <c r="N762" s="12"/>
      <c r="O762" s="1" t="str">
        <f aca="false">IF(OR(D762="",G762=""),"",G762-D762)</f>
        <v/>
      </c>
    </row>
    <row r="763" customFormat="false" ht="15" hidden="false" customHeight="false" outlineLevel="0" collapsed="false">
      <c r="D763" s="11"/>
      <c r="E763" s="11"/>
      <c r="F763" s="11"/>
      <c r="G763" s="11"/>
      <c r="L763" s="11"/>
      <c r="N763" s="12"/>
      <c r="O763" s="1" t="str">
        <f aca="false">IF(OR(D763="",G763=""),"",G763-D763)</f>
        <v/>
      </c>
    </row>
    <row r="764" customFormat="false" ht="15" hidden="false" customHeight="false" outlineLevel="0" collapsed="false">
      <c r="D764" s="11"/>
      <c r="E764" s="11"/>
      <c r="F764" s="11"/>
      <c r="G764" s="11"/>
      <c r="L764" s="11"/>
      <c r="N764" s="12"/>
      <c r="O764" s="1" t="str">
        <f aca="false">IF(OR(D764="",G764=""),"",G764-D764)</f>
        <v/>
      </c>
    </row>
    <row r="765" customFormat="false" ht="15" hidden="false" customHeight="false" outlineLevel="0" collapsed="false">
      <c r="D765" s="11"/>
      <c r="E765" s="11"/>
      <c r="F765" s="11"/>
      <c r="G765" s="11"/>
      <c r="L765" s="11"/>
      <c r="N765" s="12"/>
      <c r="O765" s="1" t="str">
        <f aca="false">IF(OR(D765="",G765=""),"",G765-D765)</f>
        <v/>
      </c>
    </row>
    <row r="766" customFormat="false" ht="15" hidden="false" customHeight="false" outlineLevel="0" collapsed="false">
      <c r="D766" s="11"/>
      <c r="E766" s="11"/>
      <c r="F766" s="11"/>
      <c r="G766" s="11"/>
      <c r="L766" s="11"/>
      <c r="N766" s="12"/>
      <c r="O766" s="1" t="str">
        <f aca="false">IF(OR(D766="",G766=""),"",G766-D766)</f>
        <v/>
      </c>
    </row>
    <row r="767" customFormat="false" ht="15" hidden="false" customHeight="false" outlineLevel="0" collapsed="false">
      <c r="D767" s="11"/>
      <c r="E767" s="11"/>
      <c r="F767" s="11"/>
      <c r="G767" s="11"/>
      <c r="L767" s="11"/>
      <c r="N767" s="12"/>
      <c r="O767" s="1" t="str">
        <f aca="false">IF(OR(D767="",G767=""),"",G767-D767)</f>
        <v/>
      </c>
    </row>
    <row r="768" customFormat="false" ht="15" hidden="false" customHeight="false" outlineLevel="0" collapsed="false">
      <c r="D768" s="11"/>
      <c r="E768" s="11"/>
      <c r="F768" s="11"/>
      <c r="G768" s="11"/>
      <c r="L768" s="11"/>
      <c r="N768" s="12"/>
      <c r="O768" s="1" t="str">
        <f aca="false">IF(OR(D768="",G768=""),"",G768-D768)</f>
        <v/>
      </c>
    </row>
    <row r="769" customFormat="false" ht="15" hidden="false" customHeight="false" outlineLevel="0" collapsed="false">
      <c r="D769" s="11"/>
      <c r="E769" s="11"/>
      <c r="F769" s="11"/>
      <c r="G769" s="11"/>
      <c r="L769" s="11"/>
      <c r="N769" s="12"/>
      <c r="O769" s="1" t="str">
        <f aca="false">IF(OR(D769="",G769=""),"",G769-D769)</f>
        <v/>
      </c>
    </row>
    <row r="770" customFormat="false" ht="15" hidden="false" customHeight="false" outlineLevel="0" collapsed="false">
      <c r="D770" s="11"/>
      <c r="E770" s="11"/>
      <c r="F770" s="11"/>
      <c r="G770" s="11"/>
      <c r="L770" s="11"/>
      <c r="N770" s="12"/>
      <c r="O770" s="1" t="str">
        <f aca="false">IF(OR(D770="",G770=""),"",G770-D770)</f>
        <v/>
      </c>
    </row>
    <row r="771" customFormat="false" ht="15" hidden="false" customHeight="false" outlineLevel="0" collapsed="false">
      <c r="D771" s="11"/>
      <c r="E771" s="11"/>
      <c r="F771" s="11"/>
      <c r="G771" s="11"/>
      <c r="L771" s="11"/>
      <c r="N771" s="12"/>
      <c r="O771" s="1" t="str">
        <f aca="false">IF(OR(D771="",G771=""),"",G771-D771)</f>
        <v/>
      </c>
    </row>
    <row r="772" customFormat="false" ht="15" hidden="false" customHeight="false" outlineLevel="0" collapsed="false">
      <c r="D772" s="11"/>
      <c r="E772" s="11"/>
      <c r="F772" s="11"/>
      <c r="G772" s="11"/>
      <c r="L772" s="11"/>
      <c r="N772" s="12"/>
      <c r="O772" s="1" t="str">
        <f aca="false">IF(OR(D772="",G772=""),"",G772-D772)</f>
        <v/>
      </c>
    </row>
    <row r="773" customFormat="false" ht="15" hidden="false" customHeight="false" outlineLevel="0" collapsed="false">
      <c r="D773" s="11"/>
      <c r="E773" s="11"/>
      <c r="F773" s="11"/>
      <c r="G773" s="11"/>
      <c r="L773" s="11"/>
      <c r="N773" s="12"/>
      <c r="O773" s="1" t="str">
        <f aca="false">IF(OR(D773="",G773=""),"",G773-D773)</f>
        <v/>
      </c>
    </row>
    <row r="774" customFormat="false" ht="15" hidden="false" customHeight="false" outlineLevel="0" collapsed="false">
      <c r="D774" s="11"/>
      <c r="E774" s="11"/>
      <c r="F774" s="11"/>
      <c r="G774" s="11"/>
      <c r="L774" s="11"/>
      <c r="N774" s="12"/>
      <c r="O774" s="1" t="str">
        <f aca="false">IF(OR(D774="",G774=""),"",G774-D774)</f>
        <v/>
      </c>
    </row>
    <row r="775" customFormat="false" ht="15" hidden="false" customHeight="false" outlineLevel="0" collapsed="false">
      <c r="D775" s="11"/>
      <c r="E775" s="11"/>
      <c r="F775" s="11"/>
      <c r="G775" s="11"/>
      <c r="L775" s="11"/>
      <c r="N775" s="12"/>
      <c r="O775" s="1" t="str">
        <f aca="false">IF(OR(D775="",G775=""),"",G775-D775)</f>
        <v/>
      </c>
    </row>
    <row r="776" customFormat="false" ht="15" hidden="false" customHeight="false" outlineLevel="0" collapsed="false">
      <c r="D776" s="11"/>
      <c r="E776" s="11"/>
      <c r="F776" s="11"/>
      <c r="G776" s="11"/>
      <c r="L776" s="11"/>
      <c r="N776" s="12"/>
      <c r="O776" s="1" t="str">
        <f aca="false">IF(OR(D776="",G776=""),"",G776-D776)</f>
        <v/>
      </c>
    </row>
    <row r="777" customFormat="false" ht="15" hidden="false" customHeight="false" outlineLevel="0" collapsed="false">
      <c r="D777" s="11"/>
      <c r="E777" s="11"/>
      <c r="F777" s="11"/>
      <c r="G777" s="11"/>
      <c r="L777" s="11"/>
      <c r="N777" s="12"/>
      <c r="O777" s="1" t="str">
        <f aca="false">IF(OR(D777="",G777=""),"",G777-D777)</f>
        <v/>
      </c>
    </row>
    <row r="778" customFormat="false" ht="15" hidden="false" customHeight="false" outlineLevel="0" collapsed="false">
      <c r="D778" s="11"/>
      <c r="E778" s="11"/>
      <c r="F778" s="11"/>
      <c r="G778" s="11"/>
      <c r="L778" s="11"/>
      <c r="N778" s="12"/>
      <c r="O778" s="1" t="str">
        <f aca="false">IF(OR(D778="",G778=""),"",G778-D778)</f>
        <v/>
      </c>
    </row>
    <row r="779" customFormat="false" ht="15" hidden="false" customHeight="false" outlineLevel="0" collapsed="false">
      <c r="D779" s="11"/>
      <c r="E779" s="11"/>
      <c r="F779" s="11"/>
      <c r="G779" s="11"/>
      <c r="L779" s="11"/>
      <c r="N779" s="12"/>
      <c r="O779" s="1" t="str">
        <f aca="false">IF(OR(D779="",G779=""),"",G779-D779)</f>
        <v/>
      </c>
    </row>
    <row r="780" customFormat="false" ht="15" hidden="false" customHeight="false" outlineLevel="0" collapsed="false">
      <c r="D780" s="11"/>
      <c r="E780" s="11"/>
      <c r="F780" s="11"/>
      <c r="G780" s="11"/>
      <c r="L780" s="11"/>
      <c r="N780" s="12"/>
      <c r="O780" s="1" t="str">
        <f aca="false">IF(OR(D780="",G780=""),"",G780-D780)</f>
        <v/>
      </c>
    </row>
    <row r="781" customFormat="false" ht="15" hidden="false" customHeight="false" outlineLevel="0" collapsed="false">
      <c r="D781" s="11"/>
      <c r="E781" s="11"/>
      <c r="F781" s="11"/>
      <c r="G781" s="11"/>
      <c r="L781" s="11"/>
      <c r="N781" s="12"/>
      <c r="O781" s="1" t="str">
        <f aca="false">IF(OR(D781="",G781=""),"",G781-D781)</f>
        <v/>
      </c>
    </row>
    <row r="782" customFormat="false" ht="15" hidden="false" customHeight="false" outlineLevel="0" collapsed="false">
      <c r="D782" s="11"/>
      <c r="E782" s="11"/>
      <c r="F782" s="11"/>
      <c r="G782" s="11"/>
      <c r="L782" s="11"/>
      <c r="N782" s="12"/>
      <c r="O782" s="1" t="str">
        <f aca="false">IF(OR(D782="",G782=""),"",G782-D782)</f>
        <v/>
      </c>
    </row>
    <row r="783" customFormat="false" ht="15" hidden="false" customHeight="false" outlineLevel="0" collapsed="false">
      <c r="D783" s="11"/>
      <c r="E783" s="11"/>
      <c r="F783" s="11"/>
      <c r="G783" s="11"/>
      <c r="L783" s="11"/>
      <c r="N783" s="12"/>
      <c r="O783" s="1" t="str">
        <f aca="false">IF(OR(D783="",G783=""),"",G783-D783)</f>
        <v/>
      </c>
    </row>
    <row r="784" customFormat="false" ht="15" hidden="false" customHeight="false" outlineLevel="0" collapsed="false">
      <c r="D784" s="11"/>
      <c r="E784" s="11"/>
      <c r="F784" s="11"/>
      <c r="G784" s="11"/>
      <c r="L784" s="11"/>
      <c r="N784" s="12"/>
      <c r="O784" s="1" t="str">
        <f aca="false">IF(OR(D784="",G784=""),"",G784-D784)</f>
        <v/>
      </c>
    </row>
    <row r="785" customFormat="false" ht="15" hidden="false" customHeight="false" outlineLevel="0" collapsed="false">
      <c r="D785" s="11"/>
      <c r="E785" s="11"/>
      <c r="F785" s="11"/>
      <c r="G785" s="11"/>
      <c r="L785" s="11"/>
      <c r="N785" s="12"/>
      <c r="O785" s="1" t="str">
        <f aca="false">IF(OR(D785="",G785=""),"",G785-D785)</f>
        <v/>
      </c>
    </row>
    <row r="786" customFormat="false" ht="15" hidden="false" customHeight="false" outlineLevel="0" collapsed="false">
      <c r="D786" s="11"/>
      <c r="E786" s="11"/>
      <c r="F786" s="11"/>
      <c r="G786" s="11"/>
      <c r="L786" s="11"/>
      <c r="N786" s="12"/>
      <c r="O786" s="1" t="str">
        <f aca="false">IF(OR(D786="",G786=""),"",G786-D786)</f>
        <v/>
      </c>
    </row>
    <row r="787" customFormat="false" ht="15" hidden="false" customHeight="false" outlineLevel="0" collapsed="false">
      <c r="D787" s="11"/>
      <c r="E787" s="11"/>
      <c r="F787" s="11"/>
      <c r="G787" s="11"/>
      <c r="L787" s="11"/>
      <c r="N787" s="12"/>
      <c r="O787" s="1" t="str">
        <f aca="false">IF(OR(D787="",G787=""),"",G787-D787)</f>
        <v/>
      </c>
    </row>
    <row r="788" customFormat="false" ht="15" hidden="false" customHeight="false" outlineLevel="0" collapsed="false">
      <c r="D788" s="11"/>
      <c r="E788" s="11"/>
      <c r="F788" s="11"/>
      <c r="G788" s="11"/>
      <c r="L788" s="11"/>
      <c r="N788" s="12"/>
      <c r="O788" s="1" t="str">
        <f aca="false">IF(OR(D788="",G788=""),"",G788-D788)</f>
        <v/>
      </c>
    </row>
    <row r="789" customFormat="false" ht="15" hidden="false" customHeight="false" outlineLevel="0" collapsed="false">
      <c r="D789" s="11"/>
      <c r="E789" s="11"/>
      <c r="F789" s="11"/>
      <c r="G789" s="11"/>
      <c r="L789" s="11"/>
      <c r="N789" s="12"/>
      <c r="O789" s="1" t="str">
        <f aca="false">IF(OR(D789="",G789=""),"",G789-D789)</f>
        <v/>
      </c>
    </row>
    <row r="790" customFormat="false" ht="15" hidden="false" customHeight="false" outlineLevel="0" collapsed="false">
      <c r="D790" s="11"/>
      <c r="E790" s="11"/>
      <c r="F790" s="11"/>
      <c r="G790" s="11"/>
      <c r="L790" s="11"/>
      <c r="N790" s="12"/>
      <c r="O790" s="1" t="str">
        <f aca="false">IF(OR(D790="",G790=""),"",G790-D790)</f>
        <v/>
      </c>
    </row>
    <row r="791" customFormat="false" ht="15" hidden="false" customHeight="false" outlineLevel="0" collapsed="false">
      <c r="D791" s="11"/>
      <c r="E791" s="11"/>
      <c r="F791" s="11"/>
      <c r="G791" s="11"/>
      <c r="L791" s="11"/>
      <c r="N791" s="12"/>
      <c r="O791" s="1" t="str">
        <f aca="false">IF(OR(D791="",G791=""),"",G791-D791)</f>
        <v/>
      </c>
    </row>
    <row r="792" customFormat="false" ht="15" hidden="false" customHeight="false" outlineLevel="0" collapsed="false">
      <c r="D792" s="11"/>
      <c r="E792" s="11"/>
      <c r="F792" s="11"/>
      <c r="G792" s="11"/>
      <c r="L792" s="11"/>
      <c r="N792" s="12"/>
      <c r="O792" s="1" t="str">
        <f aca="false">IF(OR(D792="",G792=""),"",G792-D792)</f>
        <v/>
      </c>
    </row>
    <row r="793" customFormat="false" ht="15" hidden="false" customHeight="false" outlineLevel="0" collapsed="false">
      <c r="D793" s="11"/>
      <c r="E793" s="11"/>
      <c r="F793" s="11"/>
      <c r="G793" s="11"/>
      <c r="L793" s="11"/>
      <c r="N793" s="12"/>
      <c r="O793" s="1" t="str">
        <f aca="false">IF(OR(D793="",G793=""),"",G793-D793)</f>
        <v/>
      </c>
    </row>
    <row r="794" customFormat="false" ht="15" hidden="false" customHeight="false" outlineLevel="0" collapsed="false">
      <c r="D794" s="11"/>
      <c r="E794" s="11"/>
      <c r="F794" s="11"/>
      <c r="G794" s="11"/>
      <c r="L794" s="11"/>
      <c r="N794" s="12"/>
      <c r="O794" s="1" t="str">
        <f aca="false">IF(OR(D794="",G794=""),"",G794-D794)</f>
        <v/>
      </c>
    </row>
    <row r="795" customFormat="false" ht="15" hidden="false" customHeight="false" outlineLevel="0" collapsed="false">
      <c r="D795" s="11"/>
      <c r="E795" s="11"/>
      <c r="F795" s="11"/>
      <c r="G795" s="11"/>
      <c r="L795" s="11"/>
      <c r="N795" s="12"/>
      <c r="O795" s="1" t="str">
        <f aca="false">IF(OR(D795="",G795=""),"",G795-D795)</f>
        <v/>
      </c>
    </row>
    <row r="796" customFormat="false" ht="15" hidden="false" customHeight="false" outlineLevel="0" collapsed="false">
      <c r="D796" s="11"/>
      <c r="E796" s="11"/>
      <c r="F796" s="11"/>
      <c r="G796" s="11"/>
      <c r="L796" s="11"/>
      <c r="N796" s="12"/>
      <c r="O796" s="1" t="str">
        <f aca="false">IF(OR(D796="",G796=""),"",G796-D796)</f>
        <v/>
      </c>
    </row>
    <row r="797" customFormat="false" ht="15" hidden="false" customHeight="false" outlineLevel="0" collapsed="false">
      <c r="D797" s="11"/>
      <c r="E797" s="11"/>
      <c r="F797" s="11"/>
      <c r="G797" s="11"/>
      <c r="L797" s="11"/>
      <c r="N797" s="12"/>
      <c r="O797" s="1" t="str">
        <f aca="false">IF(OR(D797="",G797=""),"",G797-D797)</f>
        <v/>
      </c>
    </row>
    <row r="798" customFormat="false" ht="15" hidden="false" customHeight="false" outlineLevel="0" collapsed="false">
      <c r="D798" s="11"/>
      <c r="E798" s="11"/>
      <c r="F798" s="11"/>
      <c r="G798" s="11"/>
      <c r="L798" s="11"/>
      <c r="N798" s="12"/>
      <c r="O798" s="1" t="str">
        <f aca="false">IF(OR(D798="",G798=""),"",G798-D798)</f>
        <v/>
      </c>
    </row>
    <row r="799" customFormat="false" ht="15" hidden="false" customHeight="false" outlineLevel="0" collapsed="false">
      <c r="D799" s="11"/>
      <c r="E799" s="11"/>
      <c r="F799" s="11"/>
      <c r="G799" s="11"/>
      <c r="L799" s="11"/>
      <c r="N799" s="12"/>
      <c r="O799" s="1" t="str">
        <f aca="false">IF(OR(D799="",G799=""),"",G799-D799)</f>
        <v/>
      </c>
    </row>
    <row r="800" customFormat="false" ht="15" hidden="false" customHeight="false" outlineLevel="0" collapsed="false">
      <c r="D800" s="11"/>
      <c r="E800" s="11"/>
      <c r="F800" s="11"/>
      <c r="G800" s="11"/>
      <c r="L800" s="11"/>
      <c r="N800" s="12"/>
      <c r="O800" s="1" t="str">
        <f aca="false">IF(OR(D800="",G800=""),"",G800-D800)</f>
        <v/>
      </c>
    </row>
    <row r="801" customFormat="false" ht="15" hidden="false" customHeight="false" outlineLevel="0" collapsed="false">
      <c r="D801" s="11"/>
      <c r="E801" s="11"/>
      <c r="F801" s="11"/>
      <c r="G801" s="11"/>
      <c r="L801" s="11"/>
      <c r="N801" s="12"/>
      <c r="O801" s="1" t="str">
        <f aca="false">IF(OR(D801="",G801=""),"",G801-D801)</f>
        <v/>
      </c>
    </row>
    <row r="802" customFormat="false" ht="15" hidden="false" customHeight="false" outlineLevel="0" collapsed="false">
      <c r="D802" s="11"/>
      <c r="E802" s="11"/>
      <c r="F802" s="11"/>
      <c r="G802" s="11"/>
      <c r="L802" s="11"/>
      <c r="N802" s="12"/>
      <c r="O802" s="1" t="str">
        <f aca="false">IF(OR(D802="",G802=""),"",G802-D802)</f>
        <v/>
      </c>
    </row>
    <row r="803" customFormat="false" ht="15" hidden="false" customHeight="false" outlineLevel="0" collapsed="false">
      <c r="D803" s="11"/>
      <c r="E803" s="11"/>
      <c r="F803" s="11"/>
      <c r="G803" s="11"/>
      <c r="L803" s="11"/>
      <c r="N803" s="12"/>
      <c r="O803" s="1" t="str">
        <f aca="false">IF(OR(D803="",G803=""),"",G803-D803)</f>
        <v/>
      </c>
    </row>
    <row r="804" customFormat="false" ht="15" hidden="false" customHeight="false" outlineLevel="0" collapsed="false">
      <c r="D804" s="11"/>
      <c r="E804" s="11"/>
      <c r="F804" s="11"/>
      <c r="G804" s="11"/>
      <c r="L804" s="11"/>
      <c r="N804" s="12"/>
      <c r="O804" s="1" t="str">
        <f aca="false">IF(OR(D804="",G804=""),"",G804-D804)</f>
        <v/>
      </c>
    </row>
    <row r="805" customFormat="false" ht="15" hidden="false" customHeight="false" outlineLevel="0" collapsed="false">
      <c r="D805" s="11"/>
      <c r="E805" s="11"/>
      <c r="F805" s="11"/>
      <c r="G805" s="11"/>
      <c r="L805" s="11"/>
      <c r="N805" s="12"/>
      <c r="O805" s="1" t="str">
        <f aca="false">IF(OR(D805="",G805=""),"",G805-D805)</f>
        <v/>
      </c>
    </row>
    <row r="806" customFormat="false" ht="15" hidden="false" customHeight="false" outlineLevel="0" collapsed="false">
      <c r="D806" s="11"/>
      <c r="E806" s="11"/>
      <c r="F806" s="11"/>
      <c r="G806" s="11"/>
      <c r="L806" s="11"/>
      <c r="N806" s="12"/>
      <c r="O806" s="1" t="str">
        <f aca="false">IF(OR(D806="",G806=""),"",G806-D806)</f>
        <v/>
      </c>
    </row>
    <row r="807" customFormat="false" ht="15" hidden="false" customHeight="false" outlineLevel="0" collapsed="false">
      <c r="D807" s="11"/>
      <c r="E807" s="11"/>
      <c r="F807" s="11"/>
      <c r="G807" s="11"/>
      <c r="L807" s="11"/>
      <c r="N807" s="12"/>
      <c r="O807" s="1" t="str">
        <f aca="false">IF(OR(D807="",G807=""),"",G807-D807)</f>
        <v/>
      </c>
    </row>
    <row r="808" customFormat="false" ht="15" hidden="false" customHeight="false" outlineLevel="0" collapsed="false">
      <c r="D808" s="11"/>
      <c r="E808" s="11"/>
      <c r="F808" s="11"/>
      <c r="G808" s="11"/>
      <c r="L808" s="11"/>
      <c r="N808" s="12"/>
      <c r="O808" s="1" t="str">
        <f aca="false">IF(OR(D808="",G808=""),"",G808-D808)</f>
        <v/>
      </c>
    </row>
    <row r="809" customFormat="false" ht="15" hidden="false" customHeight="false" outlineLevel="0" collapsed="false">
      <c r="D809" s="11"/>
      <c r="E809" s="11"/>
      <c r="F809" s="11"/>
      <c r="G809" s="11"/>
      <c r="L809" s="11"/>
      <c r="N809" s="12"/>
      <c r="O809" s="1" t="str">
        <f aca="false">IF(OR(D809="",G809=""),"",G809-D809)</f>
        <v/>
      </c>
    </row>
    <row r="810" customFormat="false" ht="15" hidden="false" customHeight="false" outlineLevel="0" collapsed="false">
      <c r="D810" s="11"/>
      <c r="E810" s="11"/>
      <c r="F810" s="11"/>
      <c r="G810" s="11"/>
      <c r="L810" s="11"/>
      <c r="N810" s="12"/>
      <c r="O810" s="1" t="str">
        <f aca="false">IF(OR(D810="",G810=""),"",G810-D810)</f>
        <v/>
      </c>
    </row>
    <row r="811" customFormat="false" ht="15" hidden="false" customHeight="false" outlineLevel="0" collapsed="false">
      <c r="D811" s="11"/>
      <c r="E811" s="11"/>
      <c r="F811" s="11"/>
      <c r="G811" s="11"/>
      <c r="L811" s="11"/>
      <c r="N811" s="12"/>
      <c r="O811" s="1" t="str">
        <f aca="false">IF(OR(D811="",G811=""),"",G811-D811)</f>
        <v/>
      </c>
    </row>
    <row r="812" customFormat="false" ht="15" hidden="false" customHeight="false" outlineLevel="0" collapsed="false">
      <c r="D812" s="11"/>
      <c r="E812" s="11"/>
      <c r="F812" s="11"/>
      <c r="G812" s="11"/>
      <c r="L812" s="11"/>
      <c r="N812" s="12"/>
      <c r="O812" s="1" t="str">
        <f aca="false">IF(OR(D812="",G812=""),"",G812-D812)</f>
        <v/>
      </c>
    </row>
    <row r="813" customFormat="false" ht="15" hidden="false" customHeight="false" outlineLevel="0" collapsed="false">
      <c r="D813" s="11"/>
      <c r="E813" s="11"/>
      <c r="F813" s="11"/>
      <c r="G813" s="11"/>
      <c r="L813" s="11"/>
      <c r="N813" s="12"/>
      <c r="O813" s="1" t="str">
        <f aca="false">IF(OR(D813="",G813=""),"",G813-D813)</f>
        <v/>
      </c>
    </row>
    <row r="814" customFormat="false" ht="15" hidden="false" customHeight="false" outlineLevel="0" collapsed="false">
      <c r="D814" s="11"/>
      <c r="E814" s="11"/>
      <c r="F814" s="11"/>
      <c r="G814" s="11"/>
      <c r="L814" s="11"/>
      <c r="N814" s="12"/>
      <c r="O814" s="1" t="str">
        <f aca="false">IF(OR(D814="",G814=""),"",G814-D814)</f>
        <v/>
      </c>
    </row>
    <row r="815" customFormat="false" ht="15" hidden="false" customHeight="false" outlineLevel="0" collapsed="false">
      <c r="D815" s="11"/>
      <c r="E815" s="11"/>
      <c r="F815" s="11"/>
      <c r="G815" s="11"/>
      <c r="L815" s="11"/>
      <c r="N815" s="12"/>
      <c r="O815" s="1" t="str">
        <f aca="false">IF(OR(D815="",G815=""),"",G815-D815)</f>
        <v/>
      </c>
    </row>
    <row r="816" customFormat="false" ht="15" hidden="false" customHeight="false" outlineLevel="0" collapsed="false">
      <c r="D816" s="11"/>
      <c r="E816" s="11"/>
      <c r="F816" s="11"/>
      <c r="G816" s="11"/>
      <c r="L816" s="11"/>
      <c r="N816" s="12"/>
      <c r="O816" s="1" t="str">
        <f aca="false">IF(OR(D816="",G816=""),"",G816-D816)</f>
        <v/>
      </c>
    </row>
    <row r="817" customFormat="false" ht="15" hidden="false" customHeight="false" outlineLevel="0" collapsed="false">
      <c r="D817" s="11"/>
      <c r="E817" s="11"/>
      <c r="F817" s="11"/>
      <c r="G817" s="11"/>
      <c r="L817" s="11"/>
      <c r="N817" s="12"/>
      <c r="O817" s="1" t="str">
        <f aca="false">IF(OR(D817="",G817=""),"",G817-D817)</f>
        <v/>
      </c>
    </row>
    <row r="818" customFormat="false" ht="15" hidden="false" customHeight="false" outlineLevel="0" collapsed="false">
      <c r="D818" s="11"/>
      <c r="E818" s="11"/>
      <c r="F818" s="11"/>
      <c r="G818" s="11"/>
      <c r="L818" s="11"/>
      <c r="N818" s="12"/>
      <c r="O818" s="1" t="str">
        <f aca="false">IF(OR(D818="",G818=""),"",G818-D818)</f>
        <v/>
      </c>
    </row>
    <row r="819" customFormat="false" ht="15" hidden="false" customHeight="false" outlineLevel="0" collapsed="false">
      <c r="D819" s="11"/>
      <c r="E819" s="11"/>
      <c r="F819" s="11"/>
      <c r="G819" s="11"/>
      <c r="L819" s="11"/>
      <c r="N819" s="12"/>
      <c r="O819" s="1" t="str">
        <f aca="false">IF(OR(D819="",G819=""),"",G819-D819)</f>
        <v/>
      </c>
    </row>
    <row r="820" customFormat="false" ht="15" hidden="false" customHeight="false" outlineLevel="0" collapsed="false">
      <c r="D820" s="11"/>
      <c r="E820" s="11"/>
      <c r="F820" s="11"/>
      <c r="G820" s="11"/>
      <c r="L820" s="11"/>
      <c r="N820" s="12"/>
      <c r="O820" s="1" t="str">
        <f aca="false">IF(OR(D820="",G820=""),"",G820-D820)</f>
        <v/>
      </c>
    </row>
    <row r="821" customFormat="false" ht="15" hidden="false" customHeight="false" outlineLevel="0" collapsed="false">
      <c r="D821" s="11"/>
      <c r="E821" s="11"/>
      <c r="F821" s="11"/>
      <c r="G821" s="11"/>
      <c r="L821" s="11"/>
      <c r="N821" s="12"/>
      <c r="O821" s="1" t="str">
        <f aca="false">IF(OR(D821="",G821=""),"",G821-D821)</f>
        <v/>
      </c>
    </row>
    <row r="822" customFormat="false" ht="15" hidden="false" customHeight="false" outlineLevel="0" collapsed="false">
      <c r="D822" s="11"/>
      <c r="E822" s="11"/>
      <c r="F822" s="11"/>
      <c r="G822" s="11"/>
      <c r="L822" s="11"/>
      <c r="N822" s="12"/>
      <c r="O822" s="1" t="str">
        <f aca="false">IF(OR(D822="",G822=""),"",G822-D822)</f>
        <v/>
      </c>
    </row>
    <row r="823" customFormat="false" ht="15" hidden="false" customHeight="false" outlineLevel="0" collapsed="false">
      <c r="D823" s="11"/>
      <c r="E823" s="11"/>
      <c r="F823" s="11"/>
      <c r="G823" s="11"/>
      <c r="L823" s="11"/>
      <c r="N823" s="12"/>
      <c r="O823" s="1" t="str">
        <f aca="false">IF(OR(D823="",G823=""),"",G823-D823)</f>
        <v/>
      </c>
    </row>
    <row r="824" customFormat="false" ht="15" hidden="false" customHeight="false" outlineLevel="0" collapsed="false">
      <c r="D824" s="11"/>
      <c r="E824" s="11"/>
      <c r="F824" s="11"/>
      <c r="G824" s="11"/>
      <c r="L824" s="11"/>
      <c r="N824" s="12"/>
      <c r="O824" s="1" t="str">
        <f aca="false">IF(OR(D824="",G824=""),"",G824-D824)</f>
        <v/>
      </c>
    </row>
    <row r="825" customFormat="false" ht="15" hidden="false" customHeight="false" outlineLevel="0" collapsed="false">
      <c r="D825" s="11"/>
      <c r="E825" s="11"/>
      <c r="F825" s="11"/>
      <c r="G825" s="11"/>
      <c r="L825" s="11"/>
      <c r="N825" s="12"/>
      <c r="O825" s="1" t="str">
        <f aca="false">IF(OR(D825="",G825=""),"",G825-D825)</f>
        <v/>
      </c>
    </row>
    <row r="826" customFormat="false" ht="15" hidden="false" customHeight="false" outlineLevel="0" collapsed="false">
      <c r="D826" s="11"/>
      <c r="E826" s="11"/>
      <c r="F826" s="11"/>
      <c r="G826" s="11"/>
      <c r="L826" s="11"/>
      <c r="N826" s="12"/>
      <c r="O826" s="1" t="str">
        <f aca="false">IF(OR(D826="",G826=""),"",G826-D826)</f>
        <v/>
      </c>
    </row>
    <row r="827" customFormat="false" ht="15" hidden="false" customHeight="false" outlineLevel="0" collapsed="false">
      <c r="D827" s="11"/>
      <c r="E827" s="11"/>
      <c r="F827" s="11"/>
      <c r="G827" s="11"/>
      <c r="L827" s="11"/>
      <c r="N827" s="12"/>
      <c r="O827" s="1" t="str">
        <f aca="false">IF(OR(D827="",G827=""),"",G827-D827)</f>
        <v/>
      </c>
    </row>
    <row r="828" customFormat="false" ht="15" hidden="false" customHeight="false" outlineLevel="0" collapsed="false">
      <c r="D828" s="11"/>
      <c r="E828" s="11"/>
      <c r="F828" s="11"/>
      <c r="G828" s="11"/>
      <c r="L828" s="11"/>
      <c r="N828" s="12"/>
      <c r="O828" s="1" t="str">
        <f aca="false">IF(OR(D828="",G828=""),"",G828-D828)</f>
        <v/>
      </c>
    </row>
    <row r="829" customFormat="false" ht="15" hidden="false" customHeight="false" outlineLevel="0" collapsed="false">
      <c r="D829" s="11"/>
      <c r="E829" s="11"/>
      <c r="F829" s="11"/>
      <c r="G829" s="11"/>
      <c r="L829" s="11"/>
      <c r="N829" s="12"/>
      <c r="O829" s="1" t="str">
        <f aca="false">IF(OR(D829="",G829=""),"",G829-D829)</f>
        <v/>
      </c>
    </row>
    <row r="830" customFormat="false" ht="15" hidden="false" customHeight="false" outlineLevel="0" collapsed="false">
      <c r="D830" s="11"/>
      <c r="E830" s="11"/>
      <c r="F830" s="11"/>
      <c r="G830" s="11"/>
      <c r="L830" s="11"/>
      <c r="N830" s="12"/>
      <c r="O830" s="1" t="str">
        <f aca="false">IF(OR(D830="",G830=""),"",G830-D830)</f>
        <v/>
      </c>
    </row>
    <row r="831" customFormat="false" ht="15" hidden="false" customHeight="false" outlineLevel="0" collapsed="false">
      <c r="D831" s="11"/>
      <c r="E831" s="11"/>
      <c r="F831" s="11"/>
      <c r="G831" s="11"/>
      <c r="L831" s="11"/>
      <c r="N831" s="12"/>
      <c r="O831" s="1" t="str">
        <f aca="false">IF(OR(D831="",G831=""),"",G831-D831)</f>
        <v/>
      </c>
    </row>
    <row r="832" customFormat="false" ht="15" hidden="false" customHeight="false" outlineLevel="0" collapsed="false">
      <c r="D832" s="11"/>
      <c r="E832" s="11"/>
      <c r="F832" s="11"/>
      <c r="G832" s="11"/>
      <c r="L832" s="11"/>
      <c r="N832" s="12"/>
      <c r="O832" s="1" t="str">
        <f aca="false">IF(OR(D832="",G832=""),"",G832-D832)</f>
        <v/>
      </c>
    </row>
    <row r="833" customFormat="false" ht="15" hidden="false" customHeight="false" outlineLevel="0" collapsed="false">
      <c r="D833" s="11"/>
      <c r="E833" s="11"/>
      <c r="F833" s="11"/>
      <c r="G833" s="11"/>
      <c r="L833" s="11"/>
      <c r="N833" s="12"/>
      <c r="O833" s="1" t="str">
        <f aca="false">IF(OR(D833="",G833=""),"",G833-D833)</f>
        <v/>
      </c>
    </row>
    <row r="834" customFormat="false" ht="15" hidden="false" customHeight="false" outlineLevel="0" collapsed="false">
      <c r="D834" s="11"/>
      <c r="E834" s="11"/>
      <c r="F834" s="11"/>
      <c r="G834" s="11"/>
      <c r="L834" s="11"/>
      <c r="N834" s="12"/>
      <c r="O834" s="1" t="str">
        <f aca="false">IF(OR(D834="",G834=""),"",G834-D834)</f>
        <v/>
      </c>
    </row>
    <row r="835" customFormat="false" ht="15" hidden="false" customHeight="false" outlineLevel="0" collapsed="false">
      <c r="D835" s="11"/>
      <c r="E835" s="11"/>
      <c r="F835" s="11"/>
      <c r="G835" s="11"/>
      <c r="L835" s="11"/>
      <c r="N835" s="12"/>
      <c r="O835" s="1" t="str">
        <f aca="false">IF(OR(D835="",G835=""),"",G835-D835)</f>
        <v/>
      </c>
    </row>
    <row r="836" customFormat="false" ht="15" hidden="false" customHeight="false" outlineLevel="0" collapsed="false">
      <c r="D836" s="11"/>
      <c r="E836" s="11"/>
      <c r="F836" s="11"/>
      <c r="G836" s="11"/>
      <c r="L836" s="11"/>
      <c r="N836" s="12"/>
      <c r="O836" s="1" t="str">
        <f aca="false">IF(OR(D836="",G836=""),"",G836-D836)</f>
        <v/>
      </c>
    </row>
    <row r="837" customFormat="false" ht="15" hidden="false" customHeight="false" outlineLevel="0" collapsed="false">
      <c r="D837" s="11"/>
      <c r="E837" s="11"/>
      <c r="F837" s="11"/>
      <c r="G837" s="11"/>
      <c r="L837" s="11"/>
      <c r="N837" s="12"/>
      <c r="O837" s="1" t="str">
        <f aca="false">IF(OR(D837="",G837=""),"",G837-D837)</f>
        <v/>
      </c>
    </row>
    <row r="838" customFormat="false" ht="15" hidden="false" customHeight="false" outlineLevel="0" collapsed="false">
      <c r="D838" s="11"/>
      <c r="E838" s="11"/>
      <c r="F838" s="11"/>
      <c r="G838" s="11"/>
      <c r="L838" s="11"/>
      <c r="N838" s="12"/>
      <c r="O838" s="1" t="str">
        <f aca="false">IF(OR(D838="",G838=""),"",G838-D838)</f>
        <v/>
      </c>
    </row>
    <row r="839" customFormat="false" ht="15" hidden="false" customHeight="false" outlineLevel="0" collapsed="false">
      <c r="D839" s="11"/>
      <c r="E839" s="11"/>
      <c r="F839" s="11"/>
      <c r="G839" s="11"/>
      <c r="L839" s="11"/>
      <c r="N839" s="12"/>
      <c r="O839" s="1" t="str">
        <f aca="false">IF(OR(D839="",G839=""),"",G839-D839)</f>
        <v/>
      </c>
    </row>
    <row r="840" customFormat="false" ht="15" hidden="false" customHeight="false" outlineLevel="0" collapsed="false">
      <c r="D840" s="11"/>
      <c r="E840" s="11"/>
      <c r="F840" s="11"/>
      <c r="G840" s="11"/>
      <c r="L840" s="11"/>
      <c r="N840" s="12"/>
      <c r="O840" s="1" t="str">
        <f aca="false">IF(OR(D840="",G840=""),"",G840-D840)</f>
        <v/>
      </c>
    </row>
    <row r="841" customFormat="false" ht="15" hidden="false" customHeight="false" outlineLevel="0" collapsed="false">
      <c r="D841" s="11"/>
      <c r="E841" s="11"/>
      <c r="F841" s="11"/>
      <c r="G841" s="11"/>
      <c r="L841" s="11"/>
      <c r="N841" s="12"/>
      <c r="O841" s="1" t="str">
        <f aca="false">IF(OR(D841="",G841=""),"",G841-D841)</f>
        <v/>
      </c>
    </row>
    <row r="842" customFormat="false" ht="15" hidden="false" customHeight="false" outlineLevel="0" collapsed="false">
      <c r="D842" s="11"/>
      <c r="E842" s="11"/>
      <c r="F842" s="11"/>
      <c r="G842" s="11"/>
      <c r="L842" s="11"/>
      <c r="N842" s="12"/>
      <c r="O842" s="1" t="str">
        <f aca="false">IF(OR(D842="",G842=""),"",G842-D842)</f>
        <v/>
      </c>
    </row>
    <row r="843" customFormat="false" ht="15" hidden="false" customHeight="false" outlineLevel="0" collapsed="false">
      <c r="D843" s="11"/>
      <c r="E843" s="11"/>
      <c r="F843" s="11"/>
      <c r="G843" s="11"/>
      <c r="L843" s="11"/>
      <c r="N843" s="12"/>
      <c r="O843" s="1" t="str">
        <f aca="false">IF(OR(D843="",G843=""),"",G843-D843)</f>
        <v/>
      </c>
    </row>
    <row r="844" customFormat="false" ht="15" hidden="false" customHeight="false" outlineLevel="0" collapsed="false">
      <c r="D844" s="11"/>
      <c r="E844" s="11"/>
      <c r="F844" s="11"/>
      <c r="G844" s="11"/>
      <c r="L844" s="11"/>
      <c r="N844" s="12"/>
      <c r="O844" s="1" t="str">
        <f aca="false">IF(OR(D844="",G844=""),"",G844-D844)</f>
        <v/>
      </c>
    </row>
    <row r="845" customFormat="false" ht="15" hidden="false" customHeight="false" outlineLevel="0" collapsed="false">
      <c r="D845" s="11"/>
      <c r="E845" s="11"/>
      <c r="F845" s="11"/>
      <c r="G845" s="11"/>
      <c r="L845" s="11"/>
      <c r="N845" s="12"/>
      <c r="O845" s="1" t="str">
        <f aca="false">IF(OR(D845="",G845=""),"",G845-D845)</f>
        <v/>
      </c>
    </row>
    <row r="846" customFormat="false" ht="15" hidden="false" customHeight="false" outlineLevel="0" collapsed="false">
      <c r="D846" s="11"/>
      <c r="E846" s="11"/>
      <c r="F846" s="11"/>
      <c r="G846" s="11"/>
      <c r="L846" s="11"/>
      <c r="N846" s="12"/>
      <c r="O846" s="1" t="str">
        <f aca="false">IF(OR(D846="",G846=""),"",G846-D846)</f>
        <v/>
      </c>
    </row>
    <row r="847" customFormat="false" ht="15" hidden="false" customHeight="false" outlineLevel="0" collapsed="false">
      <c r="D847" s="11"/>
      <c r="E847" s="11"/>
      <c r="F847" s="11"/>
      <c r="G847" s="11"/>
      <c r="L847" s="11"/>
      <c r="N847" s="12"/>
      <c r="O847" s="1" t="str">
        <f aca="false">IF(OR(D847="",G847=""),"",G847-D847)</f>
        <v/>
      </c>
    </row>
    <row r="848" customFormat="false" ht="15" hidden="false" customHeight="false" outlineLevel="0" collapsed="false">
      <c r="D848" s="11"/>
      <c r="E848" s="11"/>
      <c r="F848" s="11"/>
      <c r="G848" s="11"/>
      <c r="L848" s="11"/>
      <c r="N848" s="12"/>
      <c r="O848" s="1" t="str">
        <f aca="false">IF(OR(D848="",G848=""),"",G848-D848)</f>
        <v/>
      </c>
    </row>
    <row r="849" customFormat="false" ht="15" hidden="false" customHeight="false" outlineLevel="0" collapsed="false">
      <c r="D849" s="11"/>
      <c r="E849" s="11"/>
      <c r="F849" s="11"/>
      <c r="G849" s="11"/>
      <c r="L849" s="11"/>
      <c r="N849" s="12"/>
      <c r="O849" s="1" t="str">
        <f aca="false">IF(OR(D849="",G849=""),"",G849-D849)</f>
        <v/>
      </c>
    </row>
    <row r="850" customFormat="false" ht="15" hidden="false" customHeight="false" outlineLevel="0" collapsed="false">
      <c r="D850" s="11"/>
      <c r="E850" s="11"/>
      <c r="F850" s="11"/>
      <c r="G850" s="11"/>
      <c r="L850" s="11"/>
      <c r="N850" s="12"/>
      <c r="O850" s="1" t="str">
        <f aca="false">IF(OR(D850="",G850=""),"",G850-D850)</f>
        <v/>
      </c>
    </row>
    <row r="851" customFormat="false" ht="15" hidden="false" customHeight="false" outlineLevel="0" collapsed="false">
      <c r="D851" s="11"/>
      <c r="E851" s="11"/>
      <c r="F851" s="11"/>
      <c r="G851" s="11"/>
      <c r="L851" s="11"/>
      <c r="N851" s="12"/>
      <c r="O851" s="1" t="str">
        <f aca="false">IF(OR(D851="",G851=""),"",G851-D851)</f>
        <v/>
      </c>
    </row>
    <row r="852" customFormat="false" ht="15" hidden="false" customHeight="false" outlineLevel="0" collapsed="false">
      <c r="D852" s="11"/>
      <c r="E852" s="11"/>
      <c r="F852" s="11"/>
      <c r="G852" s="11"/>
      <c r="L852" s="11"/>
      <c r="N852" s="12"/>
      <c r="O852" s="1" t="str">
        <f aca="false">IF(OR(D852="",G852=""),"",G852-D852)</f>
        <v/>
      </c>
    </row>
    <row r="853" customFormat="false" ht="15" hidden="false" customHeight="false" outlineLevel="0" collapsed="false">
      <c r="D853" s="11"/>
      <c r="E853" s="11"/>
      <c r="F853" s="11"/>
      <c r="G853" s="11"/>
      <c r="L853" s="11"/>
      <c r="N853" s="12"/>
      <c r="O853" s="1" t="str">
        <f aca="false">IF(OR(D853="",G853=""),"",G853-D853)</f>
        <v/>
      </c>
    </row>
    <row r="854" customFormat="false" ht="15" hidden="false" customHeight="false" outlineLevel="0" collapsed="false">
      <c r="D854" s="11"/>
      <c r="E854" s="11"/>
      <c r="F854" s="11"/>
      <c r="G854" s="11"/>
      <c r="L854" s="11"/>
      <c r="N854" s="12"/>
      <c r="O854" s="1" t="str">
        <f aca="false">IF(OR(D854="",G854=""),"",G854-D854)</f>
        <v/>
      </c>
    </row>
    <row r="855" customFormat="false" ht="15" hidden="false" customHeight="false" outlineLevel="0" collapsed="false">
      <c r="D855" s="11"/>
      <c r="E855" s="11"/>
      <c r="F855" s="11"/>
      <c r="G855" s="11"/>
      <c r="L855" s="11"/>
      <c r="N855" s="12"/>
      <c r="O855" s="1" t="str">
        <f aca="false">IF(OR(D855="",G855=""),"",G855-D855)</f>
        <v/>
      </c>
    </row>
    <row r="856" customFormat="false" ht="15" hidden="false" customHeight="false" outlineLevel="0" collapsed="false">
      <c r="D856" s="11"/>
      <c r="E856" s="11"/>
      <c r="F856" s="11"/>
      <c r="G856" s="11"/>
      <c r="L856" s="11"/>
      <c r="N856" s="12"/>
      <c r="O856" s="1" t="str">
        <f aca="false">IF(OR(D856="",G856=""),"",G856-D856)</f>
        <v/>
      </c>
    </row>
    <row r="857" customFormat="false" ht="15" hidden="false" customHeight="false" outlineLevel="0" collapsed="false">
      <c r="D857" s="11"/>
      <c r="E857" s="11"/>
      <c r="F857" s="11"/>
      <c r="G857" s="11"/>
      <c r="L857" s="11"/>
      <c r="N857" s="12"/>
      <c r="O857" s="1" t="str">
        <f aca="false">IF(OR(D857="",G857=""),"",G857-D857)</f>
        <v/>
      </c>
    </row>
    <row r="858" customFormat="false" ht="15" hidden="false" customHeight="false" outlineLevel="0" collapsed="false">
      <c r="D858" s="11"/>
      <c r="E858" s="11"/>
      <c r="F858" s="11"/>
      <c r="G858" s="11"/>
      <c r="L858" s="11"/>
      <c r="N858" s="12"/>
      <c r="O858" s="1" t="str">
        <f aca="false">IF(OR(D858="",G858=""),"",G858-D858)</f>
        <v/>
      </c>
    </row>
    <row r="859" customFormat="false" ht="15" hidden="false" customHeight="false" outlineLevel="0" collapsed="false">
      <c r="D859" s="11"/>
      <c r="E859" s="11"/>
      <c r="F859" s="11"/>
      <c r="G859" s="11"/>
      <c r="L859" s="11"/>
      <c r="N859" s="12"/>
      <c r="O859" s="1" t="str">
        <f aca="false">IF(OR(D859="",G859=""),"",G859-D859)</f>
        <v/>
      </c>
    </row>
    <row r="860" customFormat="false" ht="15" hidden="false" customHeight="false" outlineLevel="0" collapsed="false">
      <c r="D860" s="11"/>
      <c r="E860" s="11"/>
      <c r="F860" s="11"/>
      <c r="G860" s="11"/>
      <c r="L860" s="11"/>
      <c r="N860" s="12"/>
      <c r="O860" s="1" t="str">
        <f aca="false">IF(OR(D860="",G860=""),"",G860-D860)</f>
        <v/>
      </c>
    </row>
    <row r="861" customFormat="false" ht="15" hidden="false" customHeight="false" outlineLevel="0" collapsed="false">
      <c r="D861" s="11"/>
      <c r="E861" s="11"/>
      <c r="F861" s="11"/>
      <c r="G861" s="11"/>
      <c r="L861" s="11"/>
      <c r="N861" s="12"/>
      <c r="O861" s="1" t="str">
        <f aca="false">IF(OR(D861="",G861=""),"",G861-D861)</f>
        <v/>
      </c>
    </row>
    <row r="862" customFormat="false" ht="15" hidden="false" customHeight="false" outlineLevel="0" collapsed="false">
      <c r="D862" s="11"/>
      <c r="E862" s="11"/>
      <c r="F862" s="11"/>
      <c r="G862" s="11"/>
      <c r="L862" s="11"/>
      <c r="N862" s="12"/>
      <c r="O862" s="1" t="str">
        <f aca="false">IF(OR(D862="",G862=""),"",G862-D862)</f>
        <v/>
      </c>
    </row>
    <row r="863" customFormat="false" ht="15" hidden="false" customHeight="false" outlineLevel="0" collapsed="false">
      <c r="D863" s="11"/>
      <c r="E863" s="11"/>
      <c r="F863" s="11"/>
      <c r="G863" s="11"/>
      <c r="L863" s="11"/>
      <c r="N863" s="12"/>
      <c r="O863" s="1" t="str">
        <f aca="false">IF(OR(D863="",G863=""),"",G863-D863)</f>
        <v/>
      </c>
    </row>
    <row r="864" customFormat="false" ht="15" hidden="false" customHeight="false" outlineLevel="0" collapsed="false">
      <c r="D864" s="11"/>
      <c r="E864" s="11"/>
      <c r="F864" s="11"/>
      <c r="G864" s="11"/>
      <c r="L864" s="11"/>
      <c r="N864" s="12"/>
      <c r="O864" s="1" t="str">
        <f aca="false">IF(OR(D864="",G864=""),"",G864-D864)</f>
        <v/>
      </c>
    </row>
    <row r="865" customFormat="false" ht="15" hidden="false" customHeight="false" outlineLevel="0" collapsed="false">
      <c r="D865" s="11"/>
      <c r="E865" s="11"/>
      <c r="F865" s="11"/>
      <c r="G865" s="11"/>
      <c r="L865" s="11"/>
      <c r="N865" s="12"/>
      <c r="O865" s="1" t="str">
        <f aca="false">IF(OR(D865="",G865=""),"",G865-D865)</f>
        <v/>
      </c>
    </row>
    <row r="866" customFormat="false" ht="15" hidden="false" customHeight="false" outlineLevel="0" collapsed="false">
      <c r="D866" s="11"/>
      <c r="E866" s="11"/>
      <c r="F866" s="11"/>
      <c r="G866" s="11"/>
      <c r="L866" s="11"/>
      <c r="N866" s="12"/>
      <c r="O866" s="1" t="str">
        <f aca="false">IF(OR(D866="",G866=""),"",G866-D866)</f>
        <v/>
      </c>
    </row>
    <row r="867" customFormat="false" ht="15" hidden="false" customHeight="false" outlineLevel="0" collapsed="false">
      <c r="D867" s="11"/>
      <c r="E867" s="11"/>
      <c r="F867" s="11"/>
      <c r="G867" s="11"/>
      <c r="L867" s="11"/>
      <c r="N867" s="12"/>
      <c r="O867" s="1" t="str">
        <f aca="false">IF(OR(D867="",G867=""),"",G867-D867)</f>
        <v/>
      </c>
    </row>
    <row r="868" customFormat="false" ht="15" hidden="false" customHeight="false" outlineLevel="0" collapsed="false">
      <c r="D868" s="11"/>
      <c r="E868" s="11"/>
      <c r="F868" s="11"/>
      <c r="G868" s="11"/>
      <c r="L868" s="11"/>
      <c r="N868" s="12"/>
      <c r="O868" s="1" t="str">
        <f aca="false">IF(OR(D868="",G868=""),"",G868-D868)</f>
        <v/>
      </c>
    </row>
    <row r="869" customFormat="false" ht="15" hidden="false" customHeight="false" outlineLevel="0" collapsed="false">
      <c r="D869" s="11"/>
      <c r="E869" s="11"/>
      <c r="F869" s="11"/>
      <c r="G869" s="11"/>
      <c r="L869" s="11"/>
      <c r="N869" s="12"/>
      <c r="O869" s="1" t="str">
        <f aca="false">IF(OR(D869="",G869=""),"",G869-D869)</f>
        <v/>
      </c>
    </row>
    <row r="870" customFormat="false" ht="15" hidden="false" customHeight="false" outlineLevel="0" collapsed="false">
      <c r="D870" s="11"/>
      <c r="E870" s="11"/>
      <c r="F870" s="11"/>
      <c r="G870" s="11"/>
      <c r="L870" s="11"/>
      <c r="N870" s="12"/>
      <c r="O870" s="1" t="str">
        <f aca="false">IF(OR(D870="",G870=""),"",G870-D870)</f>
        <v/>
      </c>
    </row>
    <row r="871" customFormat="false" ht="15" hidden="false" customHeight="false" outlineLevel="0" collapsed="false">
      <c r="D871" s="11"/>
      <c r="E871" s="11"/>
      <c r="F871" s="11"/>
      <c r="G871" s="11"/>
      <c r="L871" s="11"/>
      <c r="N871" s="12"/>
      <c r="O871" s="1" t="str">
        <f aca="false">IF(OR(D871="",G871=""),"",G871-D871)</f>
        <v/>
      </c>
    </row>
    <row r="872" customFormat="false" ht="15" hidden="false" customHeight="false" outlineLevel="0" collapsed="false">
      <c r="D872" s="11"/>
      <c r="E872" s="11"/>
      <c r="F872" s="11"/>
      <c r="G872" s="11"/>
      <c r="L872" s="11"/>
      <c r="N872" s="12"/>
      <c r="O872" s="1" t="str">
        <f aca="false">IF(OR(D872="",G872=""),"",G872-D872)</f>
        <v/>
      </c>
    </row>
    <row r="873" customFormat="false" ht="15" hidden="false" customHeight="false" outlineLevel="0" collapsed="false">
      <c r="D873" s="11"/>
      <c r="E873" s="11"/>
      <c r="F873" s="11"/>
      <c r="G873" s="11"/>
      <c r="L873" s="11"/>
      <c r="N873" s="12"/>
      <c r="O873" s="1" t="str">
        <f aca="false">IF(OR(D873="",G873=""),"",G873-D873)</f>
        <v/>
      </c>
    </row>
    <row r="874" customFormat="false" ht="15" hidden="false" customHeight="false" outlineLevel="0" collapsed="false">
      <c r="D874" s="11"/>
      <c r="E874" s="11"/>
      <c r="F874" s="11"/>
      <c r="G874" s="11"/>
      <c r="L874" s="11"/>
      <c r="N874" s="12"/>
      <c r="O874" s="1" t="str">
        <f aca="false">IF(OR(D874="",G874=""),"",G874-D874)</f>
        <v/>
      </c>
    </row>
    <row r="875" customFormat="false" ht="15" hidden="false" customHeight="false" outlineLevel="0" collapsed="false">
      <c r="D875" s="11"/>
      <c r="E875" s="11"/>
      <c r="F875" s="11"/>
      <c r="G875" s="11"/>
      <c r="L875" s="11"/>
      <c r="N875" s="12"/>
      <c r="O875" s="1" t="str">
        <f aca="false">IF(OR(D875="",G875=""),"",G875-D875)</f>
        <v/>
      </c>
    </row>
    <row r="876" customFormat="false" ht="15" hidden="false" customHeight="false" outlineLevel="0" collapsed="false">
      <c r="D876" s="11"/>
      <c r="E876" s="11"/>
      <c r="F876" s="11"/>
      <c r="G876" s="11"/>
      <c r="L876" s="11"/>
      <c r="N876" s="12"/>
      <c r="O876" s="1" t="str">
        <f aca="false">IF(OR(D876="",G876=""),"",G876-D876)</f>
        <v/>
      </c>
    </row>
    <row r="877" customFormat="false" ht="15" hidden="false" customHeight="false" outlineLevel="0" collapsed="false">
      <c r="D877" s="11"/>
      <c r="E877" s="11"/>
      <c r="F877" s="11"/>
      <c r="G877" s="11"/>
      <c r="L877" s="11"/>
      <c r="N877" s="12"/>
      <c r="O877" s="1" t="str">
        <f aca="false">IF(OR(D877="",G877=""),"",G877-D877)</f>
        <v/>
      </c>
    </row>
    <row r="878" customFormat="false" ht="15" hidden="false" customHeight="false" outlineLevel="0" collapsed="false">
      <c r="D878" s="11"/>
      <c r="E878" s="11"/>
      <c r="F878" s="11"/>
      <c r="G878" s="11"/>
      <c r="L878" s="11"/>
      <c r="N878" s="12"/>
      <c r="O878" s="1" t="str">
        <f aca="false">IF(OR(D878="",G878=""),"",G878-D878)</f>
        <v/>
      </c>
    </row>
    <row r="879" customFormat="false" ht="15" hidden="false" customHeight="false" outlineLevel="0" collapsed="false">
      <c r="D879" s="11"/>
      <c r="E879" s="11"/>
      <c r="F879" s="11"/>
      <c r="G879" s="11"/>
      <c r="L879" s="11"/>
      <c r="N879" s="12"/>
      <c r="O879" s="1" t="str">
        <f aca="false">IF(OR(D879="",G879=""),"",G879-D879)</f>
        <v/>
      </c>
    </row>
    <row r="880" customFormat="false" ht="15" hidden="false" customHeight="false" outlineLevel="0" collapsed="false">
      <c r="D880" s="11"/>
      <c r="E880" s="11"/>
      <c r="F880" s="11"/>
      <c r="G880" s="11"/>
      <c r="L880" s="11"/>
      <c r="N880" s="12"/>
      <c r="O880" s="1" t="str">
        <f aca="false">IF(OR(D880="",G880=""),"",G880-D880)</f>
        <v/>
      </c>
    </row>
    <row r="881" customFormat="false" ht="15" hidden="false" customHeight="false" outlineLevel="0" collapsed="false">
      <c r="D881" s="11"/>
      <c r="E881" s="11"/>
      <c r="F881" s="11"/>
      <c r="G881" s="11"/>
      <c r="L881" s="11"/>
      <c r="N881" s="12"/>
      <c r="O881" s="1" t="str">
        <f aca="false">IF(OR(D881="",G881=""),"",G881-D881)</f>
        <v/>
      </c>
    </row>
    <row r="882" customFormat="false" ht="15" hidden="false" customHeight="false" outlineLevel="0" collapsed="false">
      <c r="D882" s="11"/>
      <c r="E882" s="11"/>
      <c r="F882" s="11"/>
      <c r="G882" s="11"/>
      <c r="L882" s="11"/>
      <c r="N882" s="12"/>
      <c r="O882" s="1" t="str">
        <f aca="false">IF(OR(D882="",G882=""),"",G882-D882)</f>
        <v/>
      </c>
    </row>
    <row r="883" customFormat="false" ht="15" hidden="false" customHeight="false" outlineLevel="0" collapsed="false">
      <c r="D883" s="11"/>
      <c r="E883" s="11"/>
      <c r="F883" s="11"/>
      <c r="G883" s="11"/>
      <c r="L883" s="11"/>
      <c r="N883" s="12"/>
      <c r="O883" s="1" t="str">
        <f aca="false">IF(OR(D883="",G883=""),"",G883-D883)</f>
        <v/>
      </c>
    </row>
    <row r="884" customFormat="false" ht="15" hidden="false" customHeight="false" outlineLevel="0" collapsed="false">
      <c r="D884" s="11"/>
      <c r="E884" s="11"/>
      <c r="F884" s="11"/>
      <c r="G884" s="11"/>
      <c r="L884" s="11"/>
      <c r="N884" s="12"/>
      <c r="O884" s="1" t="str">
        <f aca="false">IF(OR(D884="",G884=""),"",G884-D884)</f>
        <v/>
      </c>
    </row>
    <row r="885" customFormat="false" ht="15" hidden="false" customHeight="false" outlineLevel="0" collapsed="false">
      <c r="D885" s="11"/>
      <c r="E885" s="11"/>
      <c r="F885" s="11"/>
      <c r="G885" s="11"/>
      <c r="L885" s="11"/>
      <c r="N885" s="12"/>
      <c r="O885" s="1" t="str">
        <f aca="false">IF(OR(D885="",G885=""),"",G885-D885)</f>
        <v/>
      </c>
    </row>
    <row r="886" customFormat="false" ht="15" hidden="false" customHeight="false" outlineLevel="0" collapsed="false">
      <c r="D886" s="11"/>
      <c r="E886" s="11"/>
      <c r="F886" s="11"/>
      <c r="G886" s="11"/>
      <c r="L886" s="11"/>
      <c r="N886" s="12"/>
      <c r="O886" s="1" t="str">
        <f aca="false">IF(OR(D886="",G886=""),"",G886-D886)</f>
        <v/>
      </c>
    </row>
    <row r="887" customFormat="false" ht="15" hidden="false" customHeight="false" outlineLevel="0" collapsed="false">
      <c r="D887" s="11"/>
      <c r="E887" s="11"/>
      <c r="F887" s="11"/>
      <c r="G887" s="11"/>
      <c r="L887" s="11"/>
      <c r="N887" s="12"/>
      <c r="O887" s="1" t="str">
        <f aca="false">IF(OR(D887="",G887=""),"",G887-D887)</f>
        <v/>
      </c>
    </row>
    <row r="888" customFormat="false" ht="15" hidden="false" customHeight="false" outlineLevel="0" collapsed="false">
      <c r="D888" s="11"/>
      <c r="E888" s="11"/>
      <c r="F888" s="11"/>
      <c r="G888" s="11"/>
      <c r="L888" s="11"/>
      <c r="N888" s="12"/>
      <c r="O888" s="1" t="str">
        <f aca="false">IF(OR(D888="",G888=""),"",G888-D888)</f>
        <v/>
      </c>
    </row>
    <row r="889" customFormat="false" ht="15" hidden="false" customHeight="false" outlineLevel="0" collapsed="false">
      <c r="D889" s="11"/>
      <c r="E889" s="11"/>
      <c r="F889" s="11"/>
      <c r="G889" s="11"/>
      <c r="L889" s="11"/>
      <c r="N889" s="12"/>
      <c r="O889" s="1" t="str">
        <f aca="false">IF(OR(D889="",G889=""),"",G889-D889)</f>
        <v/>
      </c>
    </row>
    <row r="890" customFormat="false" ht="15" hidden="false" customHeight="false" outlineLevel="0" collapsed="false">
      <c r="D890" s="11"/>
      <c r="E890" s="11"/>
      <c r="F890" s="11"/>
      <c r="G890" s="11"/>
      <c r="L890" s="11"/>
      <c r="N890" s="12"/>
      <c r="O890" s="1" t="str">
        <f aca="false">IF(OR(D890="",G890=""),"",G890-D890)</f>
        <v/>
      </c>
    </row>
    <row r="891" customFormat="false" ht="15" hidden="false" customHeight="false" outlineLevel="0" collapsed="false">
      <c r="D891" s="11"/>
      <c r="E891" s="11"/>
      <c r="F891" s="11"/>
      <c r="G891" s="11"/>
      <c r="L891" s="11"/>
      <c r="N891" s="12"/>
      <c r="O891" s="1" t="str">
        <f aca="false">IF(OR(D891="",G891=""),"",G891-D891)</f>
        <v/>
      </c>
    </row>
    <row r="892" customFormat="false" ht="15" hidden="false" customHeight="false" outlineLevel="0" collapsed="false">
      <c r="D892" s="11"/>
      <c r="E892" s="11"/>
      <c r="F892" s="11"/>
      <c r="G892" s="11"/>
      <c r="L892" s="11"/>
      <c r="N892" s="12"/>
      <c r="O892" s="1" t="str">
        <f aca="false">IF(OR(D892="",G892=""),"",G892-D892)</f>
        <v/>
      </c>
    </row>
    <row r="893" customFormat="false" ht="15" hidden="false" customHeight="false" outlineLevel="0" collapsed="false">
      <c r="D893" s="11"/>
      <c r="E893" s="11"/>
      <c r="F893" s="11"/>
      <c r="G893" s="11"/>
      <c r="L893" s="11"/>
      <c r="N893" s="12"/>
      <c r="O893" s="1" t="str">
        <f aca="false">IF(OR(D893="",G893=""),"",G893-D893)</f>
        <v/>
      </c>
    </row>
    <row r="894" customFormat="false" ht="15" hidden="false" customHeight="false" outlineLevel="0" collapsed="false">
      <c r="D894" s="11"/>
      <c r="E894" s="11"/>
      <c r="F894" s="11"/>
      <c r="G894" s="11"/>
      <c r="L894" s="11"/>
      <c r="N894" s="12"/>
      <c r="O894" s="1" t="str">
        <f aca="false">IF(OR(D894="",G894=""),"",G894-D894)</f>
        <v/>
      </c>
    </row>
    <row r="895" customFormat="false" ht="15" hidden="false" customHeight="false" outlineLevel="0" collapsed="false">
      <c r="D895" s="11"/>
      <c r="E895" s="11"/>
      <c r="F895" s="11"/>
      <c r="G895" s="11"/>
      <c r="L895" s="11"/>
      <c r="N895" s="12"/>
      <c r="O895" s="1" t="str">
        <f aca="false">IF(OR(D895="",G895=""),"",G895-D895)</f>
        <v/>
      </c>
    </row>
    <row r="896" customFormat="false" ht="15" hidden="false" customHeight="false" outlineLevel="0" collapsed="false">
      <c r="D896" s="11"/>
      <c r="E896" s="11"/>
      <c r="F896" s="11"/>
      <c r="G896" s="11"/>
      <c r="L896" s="11"/>
      <c r="N896" s="12"/>
      <c r="O896" s="1" t="str">
        <f aca="false">IF(OR(D896="",G896=""),"",G896-D896)</f>
        <v/>
      </c>
    </row>
    <row r="897" customFormat="false" ht="15" hidden="false" customHeight="false" outlineLevel="0" collapsed="false">
      <c r="D897" s="11"/>
      <c r="E897" s="11"/>
      <c r="F897" s="11"/>
      <c r="G897" s="11"/>
      <c r="L897" s="11"/>
      <c r="N897" s="12"/>
      <c r="O897" s="1" t="str">
        <f aca="false">IF(OR(D897="",G897=""),"",G897-D897)</f>
        <v/>
      </c>
    </row>
    <row r="898" customFormat="false" ht="15" hidden="false" customHeight="false" outlineLevel="0" collapsed="false">
      <c r="D898" s="11"/>
      <c r="E898" s="11"/>
      <c r="F898" s="11"/>
      <c r="G898" s="11"/>
      <c r="L898" s="11"/>
      <c r="N898" s="12"/>
      <c r="O898" s="1" t="str">
        <f aca="false">IF(OR(D898="",G898=""),"",G898-D898)</f>
        <v/>
      </c>
    </row>
    <row r="899" customFormat="false" ht="15" hidden="false" customHeight="false" outlineLevel="0" collapsed="false">
      <c r="D899" s="11"/>
      <c r="E899" s="11"/>
      <c r="F899" s="11"/>
      <c r="G899" s="11"/>
      <c r="L899" s="11"/>
      <c r="N899" s="12"/>
      <c r="O899" s="1" t="str">
        <f aca="false">IF(OR(D899="",G899=""),"",G899-D899)</f>
        <v/>
      </c>
    </row>
    <row r="900" customFormat="false" ht="15" hidden="false" customHeight="false" outlineLevel="0" collapsed="false">
      <c r="D900" s="11"/>
      <c r="E900" s="11"/>
      <c r="F900" s="11"/>
      <c r="G900" s="11"/>
      <c r="L900" s="11"/>
      <c r="N900" s="12"/>
      <c r="O900" s="1" t="str">
        <f aca="false">IF(OR(D900="",G900=""),"",G900-D900)</f>
        <v/>
      </c>
    </row>
    <row r="901" customFormat="false" ht="15" hidden="false" customHeight="false" outlineLevel="0" collapsed="false">
      <c r="D901" s="11"/>
      <c r="E901" s="11"/>
      <c r="F901" s="11"/>
      <c r="G901" s="11"/>
      <c r="L901" s="11"/>
      <c r="N901" s="12"/>
      <c r="O901" s="1" t="str">
        <f aca="false">IF(OR(D901="",G901=""),"",G901-D901)</f>
        <v/>
      </c>
    </row>
    <row r="902" customFormat="false" ht="15" hidden="false" customHeight="false" outlineLevel="0" collapsed="false">
      <c r="D902" s="11"/>
      <c r="E902" s="11"/>
      <c r="F902" s="11"/>
      <c r="G902" s="11"/>
      <c r="L902" s="11"/>
      <c r="N902" s="12"/>
      <c r="O902" s="1" t="str">
        <f aca="false">IF(OR(D902="",G902=""),"",G902-D902)</f>
        <v/>
      </c>
    </row>
    <row r="903" customFormat="false" ht="15" hidden="false" customHeight="false" outlineLevel="0" collapsed="false">
      <c r="D903" s="11"/>
      <c r="E903" s="11"/>
      <c r="F903" s="11"/>
      <c r="G903" s="11"/>
      <c r="L903" s="11"/>
      <c r="N903" s="12"/>
      <c r="O903" s="1" t="str">
        <f aca="false">IF(OR(D903="",G903=""),"",G903-D903)</f>
        <v/>
      </c>
    </row>
    <row r="904" customFormat="false" ht="15" hidden="false" customHeight="false" outlineLevel="0" collapsed="false">
      <c r="D904" s="11"/>
      <c r="E904" s="11"/>
      <c r="F904" s="11"/>
      <c r="G904" s="11"/>
      <c r="L904" s="11"/>
      <c r="N904" s="12"/>
      <c r="O904" s="1" t="str">
        <f aca="false">IF(OR(D904="",G904=""),"",G904-D904)</f>
        <v/>
      </c>
    </row>
    <row r="905" customFormat="false" ht="15" hidden="false" customHeight="false" outlineLevel="0" collapsed="false">
      <c r="D905" s="11"/>
      <c r="E905" s="11"/>
      <c r="F905" s="11"/>
      <c r="G905" s="11"/>
      <c r="L905" s="11"/>
      <c r="N905" s="12"/>
      <c r="O905" s="1" t="str">
        <f aca="false">IF(OR(D905="",G905=""),"",G905-D905)</f>
        <v/>
      </c>
    </row>
    <row r="906" customFormat="false" ht="15" hidden="false" customHeight="false" outlineLevel="0" collapsed="false">
      <c r="D906" s="11"/>
      <c r="E906" s="11"/>
      <c r="F906" s="11"/>
      <c r="G906" s="11"/>
      <c r="L906" s="11"/>
      <c r="N906" s="12"/>
      <c r="O906" s="1" t="str">
        <f aca="false">IF(OR(D906="",G906=""),"",G906-D906)</f>
        <v/>
      </c>
    </row>
    <row r="907" customFormat="false" ht="15" hidden="false" customHeight="false" outlineLevel="0" collapsed="false">
      <c r="D907" s="11"/>
      <c r="E907" s="11"/>
      <c r="F907" s="11"/>
      <c r="G907" s="11"/>
      <c r="L907" s="11"/>
      <c r="N907" s="12"/>
      <c r="O907" s="1" t="str">
        <f aca="false">IF(OR(D907="",G907=""),"",G907-D907)</f>
        <v/>
      </c>
    </row>
    <row r="908" customFormat="false" ht="15" hidden="false" customHeight="false" outlineLevel="0" collapsed="false">
      <c r="D908" s="11"/>
      <c r="E908" s="11"/>
      <c r="F908" s="11"/>
      <c r="G908" s="11"/>
      <c r="L908" s="11"/>
      <c r="N908" s="12"/>
      <c r="O908" s="1" t="str">
        <f aca="false">IF(OR(D908="",G908=""),"",G908-D908)</f>
        <v/>
      </c>
    </row>
    <row r="909" customFormat="false" ht="15" hidden="false" customHeight="false" outlineLevel="0" collapsed="false">
      <c r="D909" s="11"/>
      <c r="E909" s="11"/>
      <c r="F909" s="11"/>
      <c r="G909" s="11"/>
      <c r="L909" s="11"/>
      <c r="N909" s="12"/>
      <c r="O909" s="1" t="str">
        <f aca="false">IF(OR(D909="",G909=""),"",G909-D909)</f>
        <v/>
      </c>
    </row>
    <row r="910" customFormat="false" ht="15" hidden="false" customHeight="false" outlineLevel="0" collapsed="false">
      <c r="D910" s="11"/>
      <c r="E910" s="11"/>
      <c r="F910" s="11"/>
      <c r="G910" s="11"/>
      <c r="L910" s="11"/>
      <c r="N910" s="12"/>
      <c r="O910" s="1" t="str">
        <f aca="false">IF(OR(D910="",G910=""),"",G910-D910)</f>
        <v/>
      </c>
    </row>
    <row r="911" customFormat="false" ht="15" hidden="false" customHeight="false" outlineLevel="0" collapsed="false">
      <c r="D911" s="11"/>
      <c r="E911" s="11"/>
      <c r="F911" s="11"/>
      <c r="G911" s="11"/>
      <c r="L911" s="11"/>
      <c r="N911" s="12"/>
      <c r="O911" s="1" t="str">
        <f aca="false">IF(OR(D911="",G911=""),"",G911-D911)</f>
        <v/>
      </c>
    </row>
    <row r="912" customFormat="false" ht="15" hidden="false" customHeight="false" outlineLevel="0" collapsed="false">
      <c r="D912" s="11"/>
      <c r="E912" s="11"/>
      <c r="F912" s="11"/>
      <c r="G912" s="11"/>
      <c r="L912" s="11"/>
      <c r="N912" s="12"/>
      <c r="O912" s="1" t="str">
        <f aca="false">IF(OR(D912="",G912=""),"",G912-D912)</f>
        <v/>
      </c>
    </row>
    <row r="913" customFormat="false" ht="15" hidden="false" customHeight="false" outlineLevel="0" collapsed="false">
      <c r="D913" s="11"/>
      <c r="E913" s="11"/>
      <c r="F913" s="11"/>
      <c r="G913" s="11"/>
      <c r="L913" s="11"/>
      <c r="N913" s="12"/>
      <c r="O913" s="1" t="str">
        <f aca="false">IF(OR(D913="",G913=""),"",G913-D913)</f>
        <v/>
      </c>
    </row>
    <row r="914" customFormat="false" ht="15" hidden="false" customHeight="false" outlineLevel="0" collapsed="false">
      <c r="D914" s="11"/>
      <c r="E914" s="11"/>
      <c r="F914" s="11"/>
      <c r="G914" s="11"/>
      <c r="L914" s="11"/>
      <c r="N914" s="12"/>
      <c r="O914" s="1" t="str">
        <f aca="false">IF(OR(D914="",G914=""),"",G914-D914)</f>
        <v/>
      </c>
    </row>
    <row r="915" customFormat="false" ht="15" hidden="false" customHeight="false" outlineLevel="0" collapsed="false">
      <c r="D915" s="11"/>
      <c r="E915" s="11"/>
      <c r="F915" s="11"/>
      <c r="G915" s="11"/>
      <c r="L915" s="11"/>
      <c r="N915" s="12"/>
      <c r="O915" s="1" t="str">
        <f aca="false">IF(OR(D915="",G915=""),"",G915-D915)</f>
        <v/>
      </c>
    </row>
    <row r="916" customFormat="false" ht="15" hidden="false" customHeight="false" outlineLevel="0" collapsed="false">
      <c r="D916" s="11"/>
      <c r="E916" s="11"/>
      <c r="F916" s="11"/>
      <c r="G916" s="11"/>
      <c r="L916" s="11"/>
      <c r="N916" s="12"/>
      <c r="O916" s="1" t="str">
        <f aca="false">IF(OR(D916="",G916=""),"",G916-D916)</f>
        <v/>
      </c>
    </row>
    <row r="917" customFormat="false" ht="15" hidden="false" customHeight="false" outlineLevel="0" collapsed="false">
      <c r="D917" s="11"/>
      <c r="E917" s="11"/>
      <c r="F917" s="11"/>
      <c r="G917" s="11"/>
      <c r="L917" s="11"/>
      <c r="N917" s="12"/>
      <c r="O917" s="1" t="str">
        <f aca="false">IF(OR(D917="",G917=""),"",G917-D917)</f>
        <v/>
      </c>
    </row>
    <row r="918" customFormat="false" ht="15" hidden="false" customHeight="false" outlineLevel="0" collapsed="false">
      <c r="D918" s="11"/>
      <c r="E918" s="11"/>
      <c r="F918" s="11"/>
      <c r="G918" s="11"/>
      <c r="L918" s="11"/>
      <c r="N918" s="12"/>
      <c r="O918" s="1" t="str">
        <f aca="false">IF(OR(D918="",G918=""),"",G918-D918)</f>
        <v/>
      </c>
    </row>
    <row r="919" customFormat="false" ht="15" hidden="false" customHeight="false" outlineLevel="0" collapsed="false">
      <c r="D919" s="11"/>
      <c r="E919" s="11"/>
      <c r="F919" s="11"/>
      <c r="G919" s="11"/>
      <c r="L919" s="11"/>
      <c r="N919" s="12"/>
      <c r="O919" s="1" t="str">
        <f aca="false">IF(OR(D919="",G919=""),"",G919-D919)</f>
        <v/>
      </c>
    </row>
    <row r="920" customFormat="false" ht="15" hidden="false" customHeight="false" outlineLevel="0" collapsed="false">
      <c r="D920" s="11"/>
      <c r="E920" s="11"/>
      <c r="F920" s="11"/>
      <c r="G920" s="11"/>
      <c r="L920" s="11"/>
      <c r="N920" s="12"/>
      <c r="O920" s="1" t="str">
        <f aca="false">IF(OR(D920="",G920=""),"",G920-D920)</f>
        <v/>
      </c>
    </row>
    <row r="921" customFormat="false" ht="15" hidden="false" customHeight="false" outlineLevel="0" collapsed="false">
      <c r="D921" s="11"/>
      <c r="E921" s="11"/>
      <c r="F921" s="11"/>
      <c r="G921" s="11"/>
      <c r="L921" s="11"/>
      <c r="N921" s="12"/>
      <c r="O921" s="1" t="str">
        <f aca="false">IF(OR(D921="",G921=""),"",G921-D921)</f>
        <v/>
      </c>
    </row>
    <row r="922" customFormat="false" ht="15" hidden="false" customHeight="false" outlineLevel="0" collapsed="false">
      <c r="D922" s="11"/>
      <c r="E922" s="11"/>
      <c r="F922" s="11"/>
      <c r="G922" s="11"/>
      <c r="L922" s="11"/>
      <c r="N922" s="12"/>
      <c r="O922" s="1" t="str">
        <f aca="false">IF(OR(D922="",G922=""),"",G922-D922)</f>
        <v/>
      </c>
    </row>
    <row r="923" customFormat="false" ht="15" hidden="false" customHeight="false" outlineLevel="0" collapsed="false">
      <c r="D923" s="11"/>
      <c r="E923" s="11"/>
      <c r="F923" s="11"/>
      <c r="G923" s="11"/>
      <c r="L923" s="11"/>
      <c r="N923" s="12"/>
      <c r="O923" s="1" t="str">
        <f aca="false">IF(OR(D923="",G923=""),"",G923-D923)</f>
        <v/>
      </c>
    </row>
    <row r="924" customFormat="false" ht="15" hidden="false" customHeight="false" outlineLevel="0" collapsed="false">
      <c r="D924" s="11"/>
      <c r="E924" s="11"/>
      <c r="F924" s="11"/>
      <c r="G924" s="11"/>
      <c r="L924" s="11"/>
      <c r="N924" s="12"/>
      <c r="O924" s="1" t="str">
        <f aca="false">IF(OR(D924="",G924=""),"",G924-D924)</f>
        <v/>
      </c>
    </row>
    <row r="925" customFormat="false" ht="15" hidden="false" customHeight="false" outlineLevel="0" collapsed="false">
      <c r="D925" s="11"/>
      <c r="E925" s="11"/>
      <c r="F925" s="11"/>
      <c r="G925" s="11"/>
      <c r="L925" s="11"/>
      <c r="N925" s="12"/>
      <c r="O925" s="1" t="str">
        <f aca="false">IF(OR(D925="",G925=""),"",G925-D925)</f>
        <v/>
      </c>
    </row>
    <row r="926" customFormat="false" ht="15" hidden="false" customHeight="false" outlineLevel="0" collapsed="false">
      <c r="D926" s="11"/>
      <c r="E926" s="11"/>
      <c r="F926" s="11"/>
      <c r="G926" s="11"/>
      <c r="L926" s="11"/>
      <c r="N926" s="12"/>
      <c r="O926" s="1" t="str">
        <f aca="false">IF(OR(D926="",G926=""),"",G926-D926)</f>
        <v/>
      </c>
    </row>
    <row r="927" customFormat="false" ht="15" hidden="false" customHeight="false" outlineLevel="0" collapsed="false">
      <c r="D927" s="11"/>
      <c r="E927" s="11"/>
      <c r="F927" s="11"/>
      <c r="G927" s="11"/>
      <c r="L927" s="11"/>
      <c r="N927" s="12"/>
      <c r="O927" s="1" t="str">
        <f aca="false">IF(OR(D927="",G927=""),"",G927-D927)</f>
        <v/>
      </c>
    </row>
    <row r="928" customFormat="false" ht="15" hidden="false" customHeight="false" outlineLevel="0" collapsed="false">
      <c r="D928" s="11"/>
      <c r="E928" s="11"/>
      <c r="F928" s="11"/>
      <c r="G928" s="11"/>
      <c r="L928" s="11"/>
      <c r="N928" s="12"/>
      <c r="O928" s="1" t="str">
        <f aca="false">IF(OR(D928="",G928=""),"",G928-D928)</f>
        <v/>
      </c>
    </row>
    <row r="929" customFormat="false" ht="15" hidden="false" customHeight="false" outlineLevel="0" collapsed="false">
      <c r="D929" s="11"/>
      <c r="E929" s="11"/>
      <c r="F929" s="11"/>
      <c r="G929" s="11"/>
      <c r="L929" s="11"/>
      <c r="N929" s="12"/>
      <c r="O929" s="1" t="str">
        <f aca="false">IF(OR(D929="",G929=""),"",G929-D929)</f>
        <v/>
      </c>
    </row>
    <row r="930" customFormat="false" ht="15" hidden="false" customHeight="false" outlineLevel="0" collapsed="false">
      <c r="D930" s="11"/>
      <c r="E930" s="11"/>
      <c r="F930" s="11"/>
      <c r="G930" s="11"/>
      <c r="L930" s="11"/>
      <c r="N930" s="12"/>
      <c r="O930" s="1" t="str">
        <f aca="false">IF(OR(D930="",G930=""),"",G930-D930)</f>
        <v/>
      </c>
    </row>
    <row r="931" customFormat="false" ht="15" hidden="false" customHeight="false" outlineLevel="0" collapsed="false">
      <c r="D931" s="11"/>
      <c r="E931" s="11"/>
      <c r="F931" s="11"/>
      <c r="G931" s="11"/>
      <c r="L931" s="11"/>
      <c r="N931" s="12"/>
      <c r="O931" s="1" t="str">
        <f aca="false">IF(OR(D931="",G931=""),"",G931-D931)</f>
        <v/>
      </c>
    </row>
    <row r="932" customFormat="false" ht="15" hidden="false" customHeight="false" outlineLevel="0" collapsed="false">
      <c r="D932" s="11"/>
      <c r="E932" s="11"/>
      <c r="F932" s="11"/>
      <c r="G932" s="11"/>
      <c r="L932" s="11"/>
      <c r="N932" s="12"/>
      <c r="O932" s="1" t="str">
        <f aca="false">IF(OR(D932="",G932=""),"",G932-D932)</f>
        <v/>
      </c>
    </row>
    <row r="933" customFormat="false" ht="15" hidden="false" customHeight="false" outlineLevel="0" collapsed="false">
      <c r="D933" s="11"/>
      <c r="E933" s="11"/>
      <c r="F933" s="11"/>
      <c r="G933" s="11"/>
      <c r="L933" s="11"/>
      <c r="N933" s="12"/>
      <c r="O933" s="1" t="str">
        <f aca="false">IF(OR(D933="",G933=""),"",G933-D933)</f>
        <v/>
      </c>
    </row>
    <row r="934" customFormat="false" ht="15" hidden="false" customHeight="false" outlineLevel="0" collapsed="false">
      <c r="D934" s="11"/>
      <c r="E934" s="11"/>
      <c r="F934" s="11"/>
      <c r="G934" s="11"/>
      <c r="L934" s="11"/>
      <c r="N934" s="12"/>
      <c r="O934" s="1" t="str">
        <f aca="false">IF(OR(D934="",G934=""),"",G934-D934)</f>
        <v/>
      </c>
    </row>
    <row r="935" customFormat="false" ht="15" hidden="false" customHeight="false" outlineLevel="0" collapsed="false">
      <c r="D935" s="11"/>
      <c r="E935" s="11"/>
      <c r="F935" s="11"/>
      <c r="G935" s="11"/>
      <c r="L935" s="11"/>
      <c r="N935" s="12"/>
      <c r="O935" s="1" t="str">
        <f aca="false">IF(OR(D935="",G935=""),"",G935-D935)</f>
        <v/>
      </c>
    </row>
    <row r="936" customFormat="false" ht="15" hidden="false" customHeight="false" outlineLevel="0" collapsed="false">
      <c r="D936" s="11"/>
      <c r="E936" s="11"/>
      <c r="F936" s="11"/>
      <c r="G936" s="11"/>
      <c r="L936" s="11"/>
      <c r="N936" s="12"/>
      <c r="O936" s="1" t="str">
        <f aca="false">IF(OR(D936="",G936=""),"",G936-D936)</f>
        <v/>
      </c>
    </row>
    <row r="937" customFormat="false" ht="15" hidden="false" customHeight="false" outlineLevel="0" collapsed="false">
      <c r="D937" s="11"/>
      <c r="E937" s="11"/>
      <c r="F937" s="11"/>
      <c r="G937" s="11"/>
      <c r="L937" s="11"/>
      <c r="N937" s="12"/>
      <c r="O937" s="1" t="str">
        <f aca="false">IF(OR(D937="",G937=""),"",G937-D937)</f>
        <v/>
      </c>
    </row>
    <row r="938" customFormat="false" ht="15" hidden="false" customHeight="false" outlineLevel="0" collapsed="false">
      <c r="D938" s="11"/>
      <c r="E938" s="11"/>
      <c r="F938" s="11"/>
      <c r="G938" s="11"/>
      <c r="L938" s="11"/>
      <c r="N938" s="12"/>
      <c r="O938" s="1" t="str">
        <f aca="false">IF(OR(D938="",G938=""),"",G938-D938)</f>
        <v/>
      </c>
    </row>
    <row r="939" customFormat="false" ht="15" hidden="false" customHeight="false" outlineLevel="0" collapsed="false">
      <c r="D939" s="11"/>
      <c r="E939" s="11"/>
      <c r="F939" s="11"/>
      <c r="G939" s="11"/>
      <c r="L939" s="11"/>
      <c r="N939" s="12"/>
      <c r="O939" s="1" t="str">
        <f aca="false">IF(OR(D939="",G939=""),"",G939-D939)</f>
        <v/>
      </c>
    </row>
    <row r="940" customFormat="false" ht="15" hidden="false" customHeight="false" outlineLevel="0" collapsed="false">
      <c r="D940" s="11"/>
      <c r="E940" s="11"/>
      <c r="F940" s="11"/>
      <c r="G940" s="11"/>
      <c r="L940" s="11"/>
      <c r="N940" s="12"/>
      <c r="O940" s="1" t="str">
        <f aca="false">IF(OR(D940="",G940=""),"",G940-D940)</f>
        <v/>
      </c>
    </row>
    <row r="941" customFormat="false" ht="15" hidden="false" customHeight="false" outlineLevel="0" collapsed="false">
      <c r="D941" s="11"/>
      <c r="E941" s="11"/>
      <c r="F941" s="11"/>
      <c r="G941" s="11"/>
      <c r="L941" s="11"/>
      <c r="N941" s="12"/>
      <c r="O941" s="1" t="str">
        <f aca="false">IF(OR(D941="",G941=""),"",G941-D941)</f>
        <v/>
      </c>
    </row>
    <row r="942" customFormat="false" ht="15" hidden="false" customHeight="false" outlineLevel="0" collapsed="false">
      <c r="D942" s="11"/>
      <c r="E942" s="11"/>
      <c r="F942" s="11"/>
      <c r="G942" s="11"/>
      <c r="L942" s="11"/>
      <c r="N942" s="12"/>
      <c r="O942" s="1" t="str">
        <f aca="false">IF(OR(D942="",G942=""),"",G942-D942)</f>
        <v/>
      </c>
    </row>
    <row r="943" customFormat="false" ht="15" hidden="false" customHeight="false" outlineLevel="0" collapsed="false">
      <c r="D943" s="11"/>
      <c r="E943" s="11"/>
      <c r="F943" s="11"/>
      <c r="G943" s="11"/>
      <c r="L943" s="11"/>
      <c r="N943" s="12"/>
      <c r="O943" s="1" t="str">
        <f aca="false">IF(OR(D943="",G943=""),"",G943-D943)</f>
        <v/>
      </c>
    </row>
    <row r="944" customFormat="false" ht="15" hidden="false" customHeight="false" outlineLevel="0" collapsed="false">
      <c r="D944" s="11"/>
      <c r="E944" s="11"/>
      <c r="F944" s="11"/>
      <c r="G944" s="11"/>
      <c r="L944" s="11"/>
      <c r="N944" s="12"/>
      <c r="O944" s="1" t="str">
        <f aca="false">IF(OR(D944="",G944=""),"",G944-D944)</f>
        <v/>
      </c>
    </row>
    <row r="945" customFormat="false" ht="15" hidden="false" customHeight="false" outlineLevel="0" collapsed="false">
      <c r="D945" s="11"/>
      <c r="E945" s="11"/>
      <c r="F945" s="11"/>
      <c r="G945" s="11"/>
      <c r="L945" s="11"/>
      <c r="N945" s="12"/>
      <c r="O945" s="1" t="str">
        <f aca="false">IF(OR(D945="",G945=""),"",G945-D945)</f>
        <v/>
      </c>
    </row>
    <row r="946" customFormat="false" ht="15" hidden="false" customHeight="false" outlineLevel="0" collapsed="false">
      <c r="D946" s="11"/>
      <c r="E946" s="11"/>
      <c r="F946" s="11"/>
      <c r="G946" s="11"/>
      <c r="L946" s="11"/>
      <c r="N946" s="12"/>
      <c r="O946" s="1" t="str">
        <f aca="false">IF(OR(D946="",G946=""),"",G946-D946)</f>
        <v/>
      </c>
    </row>
    <row r="947" customFormat="false" ht="15" hidden="false" customHeight="false" outlineLevel="0" collapsed="false">
      <c r="D947" s="11"/>
      <c r="E947" s="11"/>
      <c r="F947" s="11"/>
      <c r="G947" s="11"/>
      <c r="L947" s="11"/>
      <c r="N947" s="12"/>
      <c r="O947" s="1" t="str">
        <f aca="false">IF(OR(D947="",G947=""),"",G947-D947)</f>
        <v/>
      </c>
    </row>
    <row r="948" customFormat="false" ht="15" hidden="false" customHeight="false" outlineLevel="0" collapsed="false">
      <c r="D948" s="11"/>
      <c r="E948" s="11"/>
      <c r="F948" s="11"/>
      <c r="G948" s="11"/>
      <c r="L948" s="11"/>
      <c r="N948" s="12"/>
      <c r="O948" s="1" t="str">
        <f aca="false">IF(OR(D948="",G948=""),"",G948-D948)</f>
        <v/>
      </c>
    </row>
    <row r="949" customFormat="false" ht="15" hidden="false" customHeight="false" outlineLevel="0" collapsed="false">
      <c r="D949" s="11"/>
      <c r="E949" s="11"/>
      <c r="F949" s="11"/>
      <c r="G949" s="11"/>
      <c r="L949" s="11"/>
      <c r="N949" s="12"/>
      <c r="O949" s="1" t="str">
        <f aca="false">IF(OR(D949="",G949=""),"",G949-D949)</f>
        <v/>
      </c>
    </row>
    <row r="950" customFormat="false" ht="15" hidden="false" customHeight="false" outlineLevel="0" collapsed="false">
      <c r="D950" s="11"/>
      <c r="E950" s="11"/>
      <c r="F950" s="11"/>
      <c r="G950" s="11"/>
      <c r="L950" s="11"/>
      <c r="N950" s="12"/>
      <c r="O950" s="1" t="str">
        <f aca="false">IF(OR(D950="",G950=""),"",G950-D950)</f>
        <v/>
      </c>
    </row>
    <row r="951" customFormat="false" ht="15" hidden="false" customHeight="false" outlineLevel="0" collapsed="false">
      <c r="D951" s="11"/>
      <c r="E951" s="11"/>
      <c r="F951" s="11"/>
      <c r="G951" s="11"/>
      <c r="L951" s="11"/>
      <c r="N951" s="12"/>
      <c r="O951" s="1" t="str">
        <f aca="false">IF(OR(D951="",G951=""),"",G951-D951)</f>
        <v/>
      </c>
    </row>
    <row r="952" customFormat="false" ht="15" hidden="false" customHeight="false" outlineLevel="0" collapsed="false">
      <c r="D952" s="11"/>
      <c r="E952" s="11"/>
      <c r="F952" s="11"/>
      <c r="G952" s="11"/>
      <c r="L952" s="11"/>
      <c r="N952" s="12"/>
      <c r="O952" s="1" t="str">
        <f aca="false">IF(OR(D952="",G952=""),"",G952-D952)</f>
        <v/>
      </c>
    </row>
    <row r="953" customFormat="false" ht="15" hidden="false" customHeight="false" outlineLevel="0" collapsed="false">
      <c r="D953" s="11"/>
      <c r="E953" s="11"/>
      <c r="F953" s="11"/>
      <c r="G953" s="11"/>
      <c r="L953" s="11"/>
      <c r="N953" s="12"/>
      <c r="O953" s="1" t="str">
        <f aca="false">IF(OR(D953="",G953=""),"",G953-D953)</f>
        <v/>
      </c>
    </row>
    <row r="954" customFormat="false" ht="15" hidden="false" customHeight="false" outlineLevel="0" collapsed="false">
      <c r="D954" s="11"/>
      <c r="E954" s="11"/>
      <c r="F954" s="11"/>
      <c r="G954" s="11"/>
      <c r="L954" s="11"/>
      <c r="N954" s="12"/>
      <c r="O954" s="1" t="str">
        <f aca="false">IF(OR(D954="",G954=""),"",G954-D954)</f>
        <v/>
      </c>
    </row>
    <row r="955" customFormat="false" ht="15" hidden="false" customHeight="false" outlineLevel="0" collapsed="false">
      <c r="D955" s="11"/>
      <c r="E955" s="11"/>
      <c r="F955" s="11"/>
      <c r="G955" s="11"/>
      <c r="L955" s="11"/>
      <c r="N955" s="12"/>
      <c r="O955" s="1" t="str">
        <f aca="false">IF(OR(D955="",G955=""),"",G955-D955)</f>
        <v/>
      </c>
    </row>
    <row r="956" customFormat="false" ht="15" hidden="false" customHeight="false" outlineLevel="0" collapsed="false">
      <c r="D956" s="11"/>
      <c r="E956" s="11"/>
      <c r="F956" s="11"/>
      <c r="G956" s="11"/>
      <c r="L956" s="11"/>
      <c r="N956" s="12"/>
      <c r="O956" s="1" t="str">
        <f aca="false">IF(OR(D956="",G956=""),"",G956-D956)</f>
        <v/>
      </c>
    </row>
    <row r="957" customFormat="false" ht="15" hidden="false" customHeight="false" outlineLevel="0" collapsed="false">
      <c r="D957" s="11"/>
      <c r="E957" s="11"/>
      <c r="F957" s="11"/>
      <c r="G957" s="11"/>
      <c r="L957" s="11"/>
      <c r="N957" s="12"/>
      <c r="O957" s="1" t="str">
        <f aca="false">IF(OR(D957="",G957=""),"",G957-D957)</f>
        <v/>
      </c>
    </row>
    <row r="958" customFormat="false" ht="15" hidden="false" customHeight="false" outlineLevel="0" collapsed="false">
      <c r="D958" s="11"/>
      <c r="E958" s="11"/>
      <c r="F958" s="11"/>
      <c r="G958" s="11"/>
      <c r="L958" s="11"/>
      <c r="N958" s="12"/>
      <c r="O958" s="1" t="str">
        <f aca="false">IF(OR(D958="",G958=""),"",G958-D958)</f>
        <v/>
      </c>
    </row>
    <row r="959" customFormat="false" ht="15" hidden="false" customHeight="false" outlineLevel="0" collapsed="false">
      <c r="D959" s="11"/>
      <c r="E959" s="11"/>
      <c r="F959" s="11"/>
      <c r="G959" s="11"/>
      <c r="L959" s="11"/>
      <c r="N959" s="12"/>
      <c r="O959" s="1" t="str">
        <f aca="false">IF(OR(D959="",G959=""),"",G959-D959)</f>
        <v/>
      </c>
    </row>
    <row r="960" customFormat="false" ht="15" hidden="false" customHeight="false" outlineLevel="0" collapsed="false">
      <c r="D960" s="11"/>
      <c r="E960" s="11"/>
      <c r="F960" s="11"/>
      <c r="G960" s="11"/>
      <c r="L960" s="11"/>
      <c r="N960" s="12"/>
      <c r="O960" s="1" t="str">
        <f aca="false">IF(OR(D960="",G960=""),"",G960-D960)</f>
        <v/>
      </c>
    </row>
    <row r="961" customFormat="false" ht="15" hidden="false" customHeight="false" outlineLevel="0" collapsed="false">
      <c r="D961" s="11"/>
      <c r="E961" s="11"/>
      <c r="F961" s="11"/>
      <c r="G961" s="11"/>
      <c r="L961" s="11"/>
      <c r="N961" s="12"/>
      <c r="O961" s="1" t="str">
        <f aca="false">IF(OR(D961="",G961=""),"",G961-D961)</f>
        <v/>
      </c>
    </row>
    <row r="962" customFormat="false" ht="15" hidden="false" customHeight="false" outlineLevel="0" collapsed="false">
      <c r="D962" s="11"/>
      <c r="E962" s="11"/>
      <c r="F962" s="11"/>
      <c r="G962" s="11"/>
      <c r="L962" s="11"/>
      <c r="N962" s="12"/>
      <c r="O962" s="1" t="str">
        <f aca="false">IF(OR(D962="",G962=""),"",G962-D962)</f>
        <v/>
      </c>
    </row>
    <row r="963" customFormat="false" ht="15" hidden="false" customHeight="false" outlineLevel="0" collapsed="false">
      <c r="D963" s="11"/>
      <c r="E963" s="11"/>
      <c r="F963" s="11"/>
      <c r="G963" s="11"/>
      <c r="L963" s="11"/>
      <c r="N963" s="12"/>
      <c r="O963" s="1" t="str">
        <f aca="false">IF(OR(D963="",G963=""),"",G963-D963)</f>
        <v/>
      </c>
    </row>
    <row r="964" customFormat="false" ht="15" hidden="false" customHeight="false" outlineLevel="0" collapsed="false">
      <c r="D964" s="11"/>
      <c r="E964" s="11"/>
      <c r="F964" s="11"/>
      <c r="G964" s="11"/>
      <c r="L964" s="11"/>
      <c r="N964" s="12"/>
      <c r="O964" s="1" t="str">
        <f aca="false">IF(OR(D964="",G964=""),"",G964-D964)</f>
        <v/>
      </c>
    </row>
    <row r="965" customFormat="false" ht="15" hidden="false" customHeight="false" outlineLevel="0" collapsed="false">
      <c r="D965" s="11"/>
      <c r="E965" s="11"/>
      <c r="F965" s="11"/>
      <c r="G965" s="11"/>
      <c r="L965" s="11"/>
      <c r="N965" s="12"/>
      <c r="O965" s="1" t="str">
        <f aca="false">IF(OR(D965="",G965=""),"",G965-D965)</f>
        <v/>
      </c>
    </row>
    <row r="966" customFormat="false" ht="15" hidden="false" customHeight="false" outlineLevel="0" collapsed="false">
      <c r="D966" s="11"/>
      <c r="E966" s="11"/>
      <c r="F966" s="11"/>
      <c r="G966" s="11"/>
      <c r="L966" s="11"/>
      <c r="N966" s="12"/>
      <c r="O966" s="1" t="str">
        <f aca="false">IF(OR(D966="",G966=""),"",G966-D966)</f>
        <v/>
      </c>
    </row>
    <row r="967" customFormat="false" ht="15" hidden="false" customHeight="false" outlineLevel="0" collapsed="false">
      <c r="D967" s="11"/>
      <c r="E967" s="11"/>
      <c r="F967" s="11"/>
      <c r="G967" s="11"/>
      <c r="L967" s="11"/>
      <c r="N967" s="12"/>
      <c r="O967" s="1" t="str">
        <f aca="false">IF(OR(D967="",G967=""),"",G967-D967)</f>
        <v/>
      </c>
    </row>
    <row r="968" customFormat="false" ht="15" hidden="false" customHeight="false" outlineLevel="0" collapsed="false">
      <c r="D968" s="11"/>
      <c r="E968" s="11"/>
      <c r="F968" s="11"/>
      <c r="G968" s="11"/>
      <c r="L968" s="11"/>
      <c r="N968" s="12"/>
      <c r="O968" s="1" t="str">
        <f aca="false">IF(OR(D968="",G968=""),"",G968-D968)</f>
        <v/>
      </c>
    </row>
    <row r="969" customFormat="false" ht="15" hidden="false" customHeight="false" outlineLevel="0" collapsed="false">
      <c r="D969" s="11"/>
      <c r="E969" s="11"/>
      <c r="F969" s="11"/>
      <c r="G969" s="11"/>
      <c r="L969" s="11"/>
      <c r="N969" s="12"/>
      <c r="O969" s="1" t="str">
        <f aca="false">IF(OR(D969="",G969=""),"",G969-D969)</f>
        <v/>
      </c>
    </row>
    <row r="970" customFormat="false" ht="15" hidden="false" customHeight="false" outlineLevel="0" collapsed="false">
      <c r="D970" s="11"/>
      <c r="E970" s="11"/>
      <c r="F970" s="11"/>
      <c r="G970" s="11"/>
      <c r="L970" s="11"/>
      <c r="N970" s="12"/>
      <c r="O970" s="1" t="str">
        <f aca="false">IF(OR(D970="",G970=""),"",G970-D970)</f>
        <v/>
      </c>
    </row>
    <row r="971" customFormat="false" ht="15" hidden="false" customHeight="false" outlineLevel="0" collapsed="false">
      <c r="D971" s="11"/>
      <c r="E971" s="11"/>
      <c r="F971" s="11"/>
      <c r="G971" s="11"/>
      <c r="L971" s="11"/>
      <c r="N971" s="12"/>
      <c r="O971" s="1" t="str">
        <f aca="false">IF(OR(D971="",G971=""),"",G971-D971)</f>
        <v/>
      </c>
    </row>
    <row r="972" customFormat="false" ht="15" hidden="false" customHeight="false" outlineLevel="0" collapsed="false">
      <c r="D972" s="11"/>
      <c r="E972" s="11"/>
      <c r="F972" s="11"/>
      <c r="G972" s="11"/>
      <c r="L972" s="11"/>
      <c r="N972" s="12"/>
      <c r="O972" s="1" t="str">
        <f aca="false">IF(OR(D972="",G972=""),"",G972-D972)</f>
        <v/>
      </c>
    </row>
    <row r="973" customFormat="false" ht="15" hidden="false" customHeight="false" outlineLevel="0" collapsed="false">
      <c r="D973" s="11"/>
      <c r="E973" s="11"/>
      <c r="F973" s="11"/>
      <c r="G973" s="11"/>
      <c r="L973" s="11"/>
      <c r="N973" s="12"/>
      <c r="O973" s="1" t="str">
        <f aca="false">IF(OR(D973="",G973=""),"",G973-D973)</f>
        <v/>
      </c>
    </row>
    <row r="974" customFormat="false" ht="15" hidden="false" customHeight="false" outlineLevel="0" collapsed="false">
      <c r="D974" s="11"/>
      <c r="E974" s="11"/>
      <c r="F974" s="11"/>
      <c r="G974" s="11"/>
      <c r="L974" s="11"/>
      <c r="N974" s="12"/>
      <c r="O974" s="1" t="str">
        <f aca="false">IF(OR(D974="",G974=""),"",G974-D974)</f>
        <v/>
      </c>
    </row>
    <row r="975" customFormat="false" ht="15" hidden="false" customHeight="false" outlineLevel="0" collapsed="false">
      <c r="D975" s="11"/>
      <c r="E975" s="11"/>
      <c r="F975" s="11"/>
      <c r="G975" s="11"/>
      <c r="L975" s="11"/>
      <c r="N975" s="12"/>
      <c r="O975" s="1" t="str">
        <f aca="false">IF(OR(D975="",G975=""),"",G975-D975)</f>
        <v/>
      </c>
    </row>
    <row r="976" customFormat="false" ht="15" hidden="false" customHeight="false" outlineLevel="0" collapsed="false">
      <c r="D976" s="11"/>
      <c r="E976" s="11"/>
      <c r="F976" s="11"/>
      <c r="G976" s="11"/>
      <c r="L976" s="11"/>
      <c r="N976" s="12"/>
      <c r="O976" s="1" t="str">
        <f aca="false">IF(OR(D976="",G976=""),"",G976-D976)</f>
        <v/>
      </c>
    </row>
    <row r="977" customFormat="false" ht="15" hidden="false" customHeight="false" outlineLevel="0" collapsed="false">
      <c r="D977" s="11"/>
      <c r="E977" s="11"/>
      <c r="F977" s="11"/>
      <c r="G977" s="11"/>
      <c r="L977" s="11"/>
      <c r="N977" s="12"/>
      <c r="O977" s="1" t="str">
        <f aca="false">IF(OR(D977="",G977=""),"",G977-D977)</f>
        <v/>
      </c>
    </row>
    <row r="978" customFormat="false" ht="15" hidden="false" customHeight="false" outlineLevel="0" collapsed="false">
      <c r="D978" s="11"/>
      <c r="E978" s="11"/>
      <c r="F978" s="11"/>
      <c r="G978" s="11"/>
      <c r="L978" s="11"/>
      <c r="N978" s="12"/>
      <c r="O978" s="1" t="str">
        <f aca="false">IF(OR(D978="",G978=""),"",G978-D978)</f>
        <v/>
      </c>
    </row>
    <row r="979" customFormat="false" ht="15" hidden="false" customHeight="false" outlineLevel="0" collapsed="false">
      <c r="D979" s="11"/>
      <c r="E979" s="11"/>
      <c r="F979" s="11"/>
      <c r="G979" s="11"/>
      <c r="L979" s="11"/>
      <c r="N979" s="12"/>
      <c r="O979" s="1" t="str">
        <f aca="false">IF(OR(D979="",G979=""),"",G979-D979)</f>
        <v/>
      </c>
    </row>
    <row r="980" customFormat="false" ht="15" hidden="false" customHeight="false" outlineLevel="0" collapsed="false">
      <c r="D980" s="11"/>
      <c r="E980" s="11"/>
      <c r="F980" s="11"/>
      <c r="G980" s="11"/>
      <c r="L980" s="11"/>
      <c r="N980" s="12"/>
      <c r="O980" s="1" t="str">
        <f aca="false">IF(OR(D980="",G980=""),"",G980-D980)</f>
        <v/>
      </c>
    </row>
    <row r="981" customFormat="false" ht="15" hidden="false" customHeight="false" outlineLevel="0" collapsed="false">
      <c r="D981" s="11"/>
      <c r="E981" s="11"/>
      <c r="F981" s="11"/>
      <c r="G981" s="11"/>
      <c r="L981" s="11"/>
      <c r="N981" s="12"/>
      <c r="O981" s="1" t="str">
        <f aca="false">IF(OR(D981="",G981=""),"",G981-D981)</f>
        <v/>
      </c>
    </row>
    <row r="982" customFormat="false" ht="15" hidden="false" customHeight="false" outlineLevel="0" collapsed="false">
      <c r="D982" s="11"/>
      <c r="E982" s="11"/>
      <c r="F982" s="11"/>
      <c r="G982" s="11"/>
      <c r="L982" s="11"/>
      <c r="N982" s="12"/>
      <c r="O982" s="1" t="str">
        <f aca="false">IF(OR(D982="",G982=""),"",G982-D982)</f>
        <v/>
      </c>
    </row>
    <row r="983" customFormat="false" ht="15" hidden="false" customHeight="false" outlineLevel="0" collapsed="false">
      <c r="D983" s="11"/>
      <c r="E983" s="11"/>
      <c r="F983" s="11"/>
      <c r="G983" s="11"/>
      <c r="L983" s="11"/>
      <c r="N983" s="12"/>
      <c r="O983" s="1" t="str">
        <f aca="false">IF(OR(D983="",G983=""),"",G983-D983)</f>
        <v/>
      </c>
    </row>
    <row r="984" customFormat="false" ht="15" hidden="false" customHeight="false" outlineLevel="0" collapsed="false">
      <c r="D984" s="11"/>
      <c r="E984" s="11"/>
      <c r="F984" s="11"/>
      <c r="G984" s="11"/>
      <c r="L984" s="11"/>
      <c r="N984" s="12"/>
      <c r="O984" s="1" t="str">
        <f aca="false">IF(OR(D984="",G984=""),"",G984-D984)</f>
        <v/>
      </c>
    </row>
    <row r="985" customFormat="false" ht="15" hidden="false" customHeight="false" outlineLevel="0" collapsed="false">
      <c r="D985" s="11"/>
      <c r="E985" s="11"/>
      <c r="F985" s="11"/>
      <c r="G985" s="11"/>
      <c r="L985" s="11"/>
      <c r="N985" s="12"/>
      <c r="O985" s="1" t="str">
        <f aca="false">IF(OR(D985="",G985=""),"",G985-D985)</f>
        <v/>
      </c>
    </row>
    <row r="986" customFormat="false" ht="15" hidden="false" customHeight="false" outlineLevel="0" collapsed="false">
      <c r="D986" s="11"/>
      <c r="E986" s="11"/>
      <c r="F986" s="11"/>
      <c r="G986" s="11"/>
      <c r="L986" s="11"/>
      <c r="N986" s="12"/>
      <c r="O986" s="1" t="str">
        <f aca="false">IF(OR(D986="",G986=""),"",G986-D986)</f>
        <v/>
      </c>
    </row>
    <row r="987" customFormat="false" ht="15" hidden="false" customHeight="false" outlineLevel="0" collapsed="false">
      <c r="D987" s="11"/>
      <c r="E987" s="11"/>
      <c r="F987" s="11"/>
      <c r="G987" s="11"/>
      <c r="L987" s="11"/>
      <c r="N987" s="12"/>
      <c r="O987" s="1" t="str">
        <f aca="false">IF(OR(D987="",G987=""),"",G987-D987)</f>
        <v/>
      </c>
    </row>
    <row r="988" customFormat="false" ht="15" hidden="false" customHeight="false" outlineLevel="0" collapsed="false">
      <c r="D988" s="11"/>
      <c r="E988" s="11"/>
      <c r="F988" s="11"/>
      <c r="G988" s="11"/>
      <c r="L988" s="11"/>
      <c r="N988" s="12"/>
      <c r="O988" s="1" t="str">
        <f aca="false">IF(OR(D988="",G988=""),"",G988-D988)</f>
        <v/>
      </c>
    </row>
    <row r="989" customFormat="false" ht="15" hidden="false" customHeight="false" outlineLevel="0" collapsed="false">
      <c r="D989" s="11"/>
      <c r="E989" s="11"/>
      <c r="F989" s="11"/>
      <c r="G989" s="11"/>
      <c r="L989" s="11"/>
      <c r="N989" s="12"/>
      <c r="O989" s="1" t="str">
        <f aca="false">IF(OR(D989="",G989=""),"",G989-D989)</f>
        <v/>
      </c>
    </row>
    <row r="990" customFormat="false" ht="15" hidden="false" customHeight="false" outlineLevel="0" collapsed="false">
      <c r="D990" s="11"/>
      <c r="E990" s="11"/>
      <c r="F990" s="11"/>
      <c r="G990" s="11"/>
      <c r="L990" s="11"/>
      <c r="N990" s="12"/>
      <c r="O990" s="1" t="str">
        <f aca="false">IF(OR(D990="",G990=""),"",G990-D990)</f>
        <v/>
      </c>
    </row>
    <row r="991" customFormat="false" ht="15" hidden="false" customHeight="false" outlineLevel="0" collapsed="false">
      <c r="D991" s="11"/>
      <c r="E991" s="11"/>
      <c r="F991" s="11"/>
      <c r="G991" s="11"/>
      <c r="L991" s="11"/>
      <c r="N991" s="12"/>
      <c r="O991" s="1" t="str">
        <f aca="false">IF(OR(D991="",G991=""),"",G991-D991)</f>
        <v/>
      </c>
    </row>
    <row r="992" customFormat="false" ht="15" hidden="false" customHeight="false" outlineLevel="0" collapsed="false">
      <c r="D992" s="11"/>
      <c r="E992" s="11"/>
      <c r="F992" s="11"/>
      <c r="G992" s="11"/>
      <c r="L992" s="11"/>
      <c r="N992" s="12"/>
      <c r="O992" s="1" t="str">
        <f aca="false">IF(OR(D992="",G992=""),"",G992-D992)</f>
        <v/>
      </c>
    </row>
    <row r="993" customFormat="false" ht="15" hidden="false" customHeight="false" outlineLevel="0" collapsed="false">
      <c r="D993" s="11"/>
      <c r="E993" s="11"/>
      <c r="F993" s="11"/>
      <c r="G993" s="11"/>
      <c r="L993" s="11"/>
      <c r="N993" s="12"/>
      <c r="O993" s="1" t="str">
        <f aca="false">IF(OR(D993="",G993=""),"",G993-D993)</f>
        <v/>
      </c>
    </row>
    <row r="994" customFormat="false" ht="15" hidden="false" customHeight="false" outlineLevel="0" collapsed="false">
      <c r="D994" s="11"/>
      <c r="E994" s="11"/>
      <c r="F994" s="11"/>
      <c r="G994" s="11"/>
      <c r="L994" s="11"/>
      <c r="N994" s="12"/>
      <c r="O994" s="1" t="str">
        <f aca="false">IF(OR(D994="",G994=""),"",G994-D994)</f>
        <v/>
      </c>
    </row>
    <row r="995" customFormat="false" ht="15" hidden="false" customHeight="false" outlineLevel="0" collapsed="false">
      <c r="D995" s="11"/>
      <c r="E995" s="11"/>
      <c r="F995" s="11"/>
      <c r="G995" s="11"/>
      <c r="L995" s="11"/>
      <c r="N995" s="12"/>
      <c r="O995" s="1" t="str">
        <f aca="false">IF(OR(D995="",G995=""),"",G995-D995)</f>
        <v/>
      </c>
    </row>
    <row r="996" customFormat="false" ht="15" hidden="false" customHeight="false" outlineLevel="0" collapsed="false">
      <c r="D996" s="11"/>
      <c r="E996" s="11"/>
      <c r="F996" s="11"/>
      <c r="G996" s="11"/>
      <c r="L996" s="11"/>
      <c r="N996" s="12"/>
      <c r="O996" s="1" t="str">
        <f aca="false">IF(OR(D996="",G996=""),"",G996-D996)</f>
        <v/>
      </c>
    </row>
    <row r="997" customFormat="false" ht="15" hidden="false" customHeight="false" outlineLevel="0" collapsed="false">
      <c r="D997" s="11"/>
      <c r="E997" s="11"/>
      <c r="F997" s="11"/>
      <c r="G997" s="11"/>
      <c r="L997" s="11"/>
      <c r="N997" s="12"/>
      <c r="O997" s="1" t="str">
        <f aca="false">IF(OR(D997="",G997=""),"",G997-D997)</f>
        <v/>
      </c>
    </row>
    <row r="998" customFormat="false" ht="15" hidden="false" customHeight="false" outlineLevel="0" collapsed="false">
      <c r="D998" s="11"/>
      <c r="E998" s="11"/>
      <c r="F998" s="11"/>
      <c r="G998" s="11"/>
      <c r="L998" s="11"/>
      <c r="N998" s="12"/>
      <c r="O998" s="1" t="str">
        <f aca="false">IF(OR(D998="",G998=""),"",G998-D998)</f>
        <v/>
      </c>
    </row>
    <row r="999" customFormat="false" ht="15" hidden="false" customHeight="false" outlineLevel="0" collapsed="false">
      <c r="D999" s="11"/>
      <c r="E999" s="11"/>
      <c r="F999" s="11"/>
      <c r="G999" s="11"/>
      <c r="L999" s="11"/>
      <c r="N999" s="12"/>
      <c r="O999" s="1" t="str">
        <f aca="false">IF(OR(D999="",G999=""),"",G999-D999)</f>
        <v/>
      </c>
    </row>
    <row r="1000" customFormat="false" ht="15" hidden="false" customHeight="false" outlineLevel="0" collapsed="false">
      <c r="D1000" s="11"/>
      <c r="E1000" s="11"/>
      <c r="F1000" s="11"/>
      <c r="G1000" s="11"/>
      <c r="L1000" s="11"/>
      <c r="N1000" s="12"/>
      <c r="O1000" s="1" t="str">
        <f aca="false">IF(OR(D1000="",G1000=""),"",G1000-D1000)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6"/>
    <col collapsed="false" customWidth="true" hidden="false" outlineLevel="0" max="3" min="3" style="1" width="14"/>
    <col collapsed="false" customWidth="true" hidden="false" outlineLevel="0" max="4" min="4" style="1" width="38"/>
    <col collapsed="false" customWidth="true" hidden="false" outlineLevel="0" max="5" min="5" style="1" width="14"/>
    <col collapsed="false" customWidth="true" hidden="false" outlineLevel="0" max="6" min="6" style="1" width="25"/>
    <col collapsed="false" customWidth="true" hidden="false" outlineLevel="0" max="7" min="7" style="1" width="22"/>
    <col collapsed="false" customWidth="true" hidden="false" outlineLevel="0" max="8" min="8" style="1" width="55"/>
    <col collapsed="false" customWidth="true" hidden="false" outlineLevel="0" max="9" min="9" style="1" width="15"/>
    <col collapsed="false" customWidth="true" hidden="false" outlineLevel="0" max="10" min="10" style="1" width="16"/>
    <col collapsed="false" customWidth="true" hidden="false" outlineLevel="0" max="11" min="11" style="1" width="18"/>
    <col collapsed="false" customWidth="true" hidden="false" outlineLevel="0" max="12" min="12" style="1" width="20"/>
    <col collapsed="false" customWidth="true" hidden="false" outlineLevel="0" max="16" min="13" style="1" width="15"/>
    <col collapsed="false" customWidth="true" hidden="false" outlineLevel="0" max="17" min="17" style="1" width="17"/>
    <col collapsed="false" customWidth="true" hidden="false" outlineLevel="0" max="18" min="18" style="1" width="20"/>
    <col collapsed="false" customWidth="true" hidden="false" outlineLevel="0" max="19" min="19" style="1" width="45"/>
    <col collapsed="false" customWidth="true" hidden="false" outlineLevel="0" max="20" min="20" style="1" width="52"/>
  </cols>
  <sheetData>
    <row r="1" customFormat="false" ht="28.35" hidden="false" customHeight="false" outlineLevel="0" collapsed="false">
      <c r="A1" s="3" t="s">
        <v>1036</v>
      </c>
      <c r="B1" s="3" t="s">
        <v>954</v>
      </c>
      <c r="C1" s="3" t="s">
        <v>56</v>
      </c>
      <c r="D1" s="3" t="s">
        <v>1038</v>
      </c>
      <c r="E1" s="3" t="s">
        <v>2054</v>
      </c>
      <c r="F1" s="3" t="s">
        <v>1045</v>
      </c>
      <c r="G1" s="3" t="s">
        <v>1048</v>
      </c>
      <c r="H1" s="3" t="s">
        <v>2055</v>
      </c>
      <c r="I1" s="3" t="s">
        <v>2056</v>
      </c>
      <c r="J1" s="3" t="s">
        <v>1050</v>
      </c>
      <c r="K1" s="3" t="s">
        <v>1052</v>
      </c>
      <c r="L1" s="3" t="s">
        <v>2057</v>
      </c>
      <c r="M1" s="3" t="s">
        <v>2058</v>
      </c>
      <c r="N1" s="3" t="s">
        <v>2059</v>
      </c>
      <c r="O1" s="3" t="s">
        <v>2060</v>
      </c>
      <c r="P1" s="3" t="s">
        <v>2061</v>
      </c>
      <c r="Q1" s="3" t="s">
        <v>2062</v>
      </c>
      <c r="R1" s="3" t="s">
        <v>1064</v>
      </c>
      <c r="S1" s="3" t="s">
        <v>72</v>
      </c>
      <c r="T1" s="3" t="s">
        <v>1112</v>
      </c>
    </row>
    <row r="2" customFormat="false" ht="15" hidden="false" customHeight="false" outlineLevel="0" collapsed="false">
      <c r="A2" s="1" t="s">
        <v>2063</v>
      </c>
      <c r="B2" s="1" t="s">
        <v>2064</v>
      </c>
      <c r="C2" s="1" t="s">
        <v>207</v>
      </c>
      <c r="D2" s="1" t="s">
        <v>2065</v>
      </c>
      <c r="E2" s="1" t="n">
        <v>4</v>
      </c>
      <c r="F2" s="1" t="s">
        <v>2066</v>
      </c>
      <c r="G2" s="1" t="s">
        <v>393</v>
      </c>
      <c r="H2" s="1" t="s">
        <v>2067</v>
      </c>
      <c r="I2" s="11"/>
      <c r="J2" s="12"/>
      <c r="K2" s="12"/>
      <c r="R2" s="1" t="s">
        <v>2068</v>
      </c>
      <c r="S2" s="1" t="s">
        <v>2050</v>
      </c>
      <c r="T2" s="1" t="s">
        <v>2069</v>
      </c>
    </row>
    <row r="3" customFormat="false" ht="15" hidden="false" customHeight="false" outlineLevel="0" collapsed="false">
      <c r="I3" s="11"/>
      <c r="J3" s="12"/>
      <c r="K3" s="12"/>
    </row>
    <row r="4" customFormat="false" ht="15" hidden="false" customHeight="false" outlineLevel="0" collapsed="false">
      <c r="I4" s="11"/>
      <c r="J4" s="12"/>
      <c r="K4" s="12"/>
    </row>
    <row r="5" customFormat="false" ht="15" hidden="false" customHeight="false" outlineLevel="0" collapsed="false">
      <c r="I5" s="11"/>
      <c r="J5" s="12"/>
      <c r="K5" s="12"/>
    </row>
    <row r="6" customFormat="false" ht="15" hidden="false" customHeight="false" outlineLevel="0" collapsed="false">
      <c r="I6" s="11"/>
      <c r="J6" s="12"/>
      <c r="K6" s="12"/>
    </row>
    <row r="7" customFormat="false" ht="15" hidden="false" customHeight="false" outlineLevel="0" collapsed="false">
      <c r="I7" s="11"/>
      <c r="J7" s="12"/>
      <c r="K7" s="12"/>
    </row>
    <row r="8" customFormat="false" ht="15" hidden="false" customHeight="false" outlineLevel="0" collapsed="false">
      <c r="I8" s="11"/>
      <c r="J8" s="12"/>
      <c r="K8" s="12"/>
    </row>
    <row r="9" customFormat="false" ht="15" hidden="false" customHeight="false" outlineLevel="0" collapsed="false">
      <c r="I9" s="11"/>
      <c r="J9" s="12"/>
      <c r="K9" s="12"/>
    </row>
    <row r="10" customFormat="false" ht="15" hidden="false" customHeight="false" outlineLevel="0" collapsed="false">
      <c r="I10" s="11"/>
      <c r="J10" s="12"/>
      <c r="K10" s="12"/>
    </row>
    <row r="11" customFormat="false" ht="15" hidden="false" customHeight="false" outlineLevel="0" collapsed="false">
      <c r="I11" s="11"/>
      <c r="J11" s="12"/>
      <c r="K11" s="12"/>
    </row>
    <row r="12" customFormat="false" ht="15" hidden="false" customHeight="false" outlineLevel="0" collapsed="false">
      <c r="I12" s="11"/>
      <c r="J12" s="12"/>
      <c r="K12" s="12"/>
    </row>
    <row r="13" customFormat="false" ht="15" hidden="false" customHeight="false" outlineLevel="0" collapsed="false">
      <c r="I13" s="11"/>
      <c r="J13" s="12"/>
      <c r="K13" s="12"/>
    </row>
    <row r="14" customFormat="false" ht="15" hidden="false" customHeight="false" outlineLevel="0" collapsed="false">
      <c r="I14" s="11"/>
      <c r="J14" s="12"/>
      <c r="K14" s="12"/>
    </row>
    <row r="15" customFormat="false" ht="15" hidden="false" customHeight="false" outlineLevel="0" collapsed="false">
      <c r="I15" s="11"/>
      <c r="J15" s="12"/>
      <c r="K15" s="12"/>
    </row>
    <row r="16" customFormat="false" ht="15" hidden="false" customHeight="false" outlineLevel="0" collapsed="false">
      <c r="I16" s="11"/>
      <c r="J16" s="12"/>
      <c r="K16" s="12"/>
    </row>
    <row r="17" customFormat="false" ht="15" hidden="false" customHeight="false" outlineLevel="0" collapsed="false">
      <c r="I17" s="11"/>
      <c r="J17" s="12"/>
      <c r="K17" s="12"/>
    </row>
    <row r="18" customFormat="false" ht="15" hidden="false" customHeight="false" outlineLevel="0" collapsed="false">
      <c r="I18" s="11"/>
      <c r="J18" s="12"/>
      <c r="K18" s="12"/>
    </row>
    <row r="19" customFormat="false" ht="15" hidden="false" customHeight="false" outlineLevel="0" collapsed="false">
      <c r="I19" s="11"/>
      <c r="J19" s="12"/>
      <c r="K19" s="12"/>
    </row>
    <row r="20" customFormat="false" ht="15" hidden="false" customHeight="false" outlineLevel="0" collapsed="false">
      <c r="I20" s="11"/>
      <c r="J20" s="12"/>
      <c r="K20" s="12"/>
    </row>
    <row r="21" customFormat="false" ht="15" hidden="false" customHeight="false" outlineLevel="0" collapsed="false">
      <c r="I21" s="11"/>
      <c r="J21" s="12"/>
      <c r="K21" s="12"/>
    </row>
    <row r="22" customFormat="false" ht="15" hidden="false" customHeight="false" outlineLevel="0" collapsed="false">
      <c r="I22" s="11"/>
      <c r="J22" s="12"/>
      <c r="K22" s="12"/>
    </row>
    <row r="23" customFormat="false" ht="15" hidden="false" customHeight="false" outlineLevel="0" collapsed="false">
      <c r="I23" s="11"/>
      <c r="J23" s="12"/>
      <c r="K23" s="12"/>
    </row>
    <row r="24" customFormat="false" ht="15" hidden="false" customHeight="false" outlineLevel="0" collapsed="false">
      <c r="I24" s="11"/>
      <c r="J24" s="12"/>
      <c r="K24" s="12"/>
    </row>
    <row r="25" customFormat="false" ht="15" hidden="false" customHeight="false" outlineLevel="0" collapsed="false">
      <c r="I25" s="11"/>
      <c r="J25" s="12"/>
      <c r="K25" s="12"/>
    </row>
    <row r="26" customFormat="false" ht="15" hidden="false" customHeight="false" outlineLevel="0" collapsed="false">
      <c r="I26" s="11"/>
      <c r="J26" s="12"/>
      <c r="K26" s="12"/>
    </row>
    <row r="27" customFormat="false" ht="15" hidden="false" customHeight="false" outlineLevel="0" collapsed="false">
      <c r="I27" s="11"/>
      <c r="J27" s="12"/>
      <c r="K27" s="12"/>
    </row>
    <row r="28" customFormat="false" ht="15" hidden="false" customHeight="false" outlineLevel="0" collapsed="false">
      <c r="I28" s="11"/>
      <c r="J28" s="12"/>
      <c r="K28" s="12"/>
    </row>
    <row r="29" customFormat="false" ht="15" hidden="false" customHeight="false" outlineLevel="0" collapsed="false">
      <c r="I29" s="11"/>
      <c r="J29" s="12"/>
      <c r="K29" s="12"/>
    </row>
    <row r="30" customFormat="false" ht="15" hidden="false" customHeight="false" outlineLevel="0" collapsed="false">
      <c r="I30" s="11"/>
      <c r="J30" s="12"/>
      <c r="K30" s="12"/>
    </row>
    <row r="31" customFormat="false" ht="15" hidden="false" customHeight="false" outlineLevel="0" collapsed="false">
      <c r="I31" s="11"/>
      <c r="J31" s="12"/>
      <c r="K31" s="12"/>
    </row>
    <row r="32" customFormat="false" ht="15" hidden="false" customHeight="false" outlineLevel="0" collapsed="false">
      <c r="I32" s="11"/>
      <c r="J32" s="12"/>
      <c r="K32" s="12"/>
    </row>
    <row r="33" customFormat="false" ht="15" hidden="false" customHeight="false" outlineLevel="0" collapsed="false">
      <c r="I33" s="11"/>
      <c r="J33" s="12"/>
      <c r="K33" s="12"/>
    </row>
    <row r="34" customFormat="false" ht="15" hidden="false" customHeight="false" outlineLevel="0" collapsed="false">
      <c r="I34" s="11"/>
      <c r="J34" s="12"/>
      <c r="K34" s="12"/>
    </row>
    <row r="35" customFormat="false" ht="15" hidden="false" customHeight="false" outlineLevel="0" collapsed="false">
      <c r="I35" s="11"/>
      <c r="J35" s="12"/>
      <c r="K35" s="12"/>
    </row>
    <row r="36" customFormat="false" ht="15" hidden="false" customHeight="false" outlineLevel="0" collapsed="false">
      <c r="I36" s="11"/>
      <c r="J36" s="12"/>
      <c r="K36" s="12"/>
    </row>
    <row r="37" customFormat="false" ht="15" hidden="false" customHeight="false" outlineLevel="0" collapsed="false">
      <c r="I37" s="11"/>
      <c r="J37" s="12"/>
      <c r="K37" s="12"/>
    </row>
    <row r="38" customFormat="false" ht="15" hidden="false" customHeight="false" outlineLevel="0" collapsed="false">
      <c r="I38" s="11"/>
      <c r="J38" s="12"/>
      <c r="K38" s="12"/>
    </row>
    <row r="39" customFormat="false" ht="15" hidden="false" customHeight="false" outlineLevel="0" collapsed="false">
      <c r="I39" s="11"/>
      <c r="J39" s="12"/>
      <c r="K39" s="12"/>
    </row>
    <row r="40" customFormat="false" ht="15" hidden="false" customHeight="false" outlineLevel="0" collapsed="false">
      <c r="I40" s="11"/>
      <c r="J40" s="12"/>
      <c r="K40" s="12"/>
    </row>
    <row r="41" customFormat="false" ht="15" hidden="false" customHeight="false" outlineLevel="0" collapsed="false">
      <c r="I41" s="11"/>
      <c r="J41" s="12"/>
      <c r="K41" s="12"/>
    </row>
    <row r="42" customFormat="false" ht="15" hidden="false" customHeight="false" outlineLevel="0" collapsed="false">
      <c r="I42" s="11"/>
      <c r="J42" s="12"/>
      <c r="K42" s="12"/>
    </row>
    <row r="43" customFormat="false" ht="15" hidden="false" customHeight="false" outlineLevel="0" collapsed="false">
      <c r="I43" s="11"/>
      <c r="J43" s="12"/>
      <c r="K43" s="12"/>
    </row>
    <row r="44" customFormat="false" ht="15" hidden="false" customHeight="false" outlineLevel="0" collapsed="false">
      <c r="I44" s="11"/>
      <c r="J44" s="12"/>
      <c r="K44" s="12"/>
    </row>
    <row r="45" customFormat="false" ht="15" hidden="false" customHeight="false" outlineLevel="0" collapsed="false">
      <c r="I45" s="11"/>
      <c r="J45" s="12"/>
      <c r="K45" s="12"/>
    </row>
    <row r="46" customFormat="false" ht="15" hidden="false" customHeight="false" outlineLevel="0" collapsed="false">
      <c r="I46" s="11"/>
      <c r="J46" s="12"/>
      <c r="K46" s="12"/>
    </row>
    <row r="47" customFormat="false" ht="15" hidden="false" customHeight="false" outlineLevel="0" collapsed="false">
      <c r="I47" s="11"/>
      <c r="J47" s="12"/>
      <c r="K47" s="12"/>
    </row>
    <row r="48" customFormat="false" ht="15" hidden="false" customHeight="false" outlineLevel="0" collapsed="false">
      <c r="I48" s="11"/>
      <c r="J48" s="12"/>
      <c r="K48" s="12"/>
    </row>
    <row r="49" customFormat="false" ht="15" hidden="false" customHeight="false" outlineLevel="0" collapsed="false">
      <c r="I49" s="11"/>
      <c r="J49" s="12"/>
      <c r="K49" s="12"/>
    </row>
    <row r="50" customFormat="false" ht="15" hidden="false" customHeight="false" outlineLevel="0" collapsed="false">
      <c r="I50" s="11"/>
      <c r="J50" s="12"/>
      <c r="K50" s="12"/>
    </row>
    <row r="51" customFormat="false" ht="15" hidden="false" customHeight="false" outlineLevel="0" collapsed="false">
      <c r="I51" s="11"/>
      <c r="J51" s="12"/>
      <c r="K51" s="12"/>
    </row>
    <row r="52" customFormat="false" ht="15" hidden="false" customHeight="false" outlineLevel="0" collapsed="false">
      <c r="I52" s="11"/>
      <c r="J52" s="12"/>
      <c r="K52" s="12"/>
    </row>
    <row r="53" customFormat="false" ht="15" hidden="false" customHeight="false" outlineLevel="0" collapsed="false">
      <c r="I53" s="11"/>
      <c r="J53" s="12"/>
      <c r="K53" s="12"/>
    </row>
    <row r="54" customFormat="false" ht="15" hidden="false" customHeight="false" outlineLevel="0" collapsed="false">
      <c r="I54" s="11"/>
      <c r="J54" s="12"/>
      <c r="K54" s="12"/>
    </row>
    <row r="55" customFormat="false" ht="15" hidden="false" customHeight="false" outlineLevel="0" collapsed="false">
      <c r="I55" s="11"/>
      <c r="J55" s="12"/>
      <c r="K55" s="12"/>
    </row>
    <row r="56" customFormat="false" ht="15" hidden="false" customHeight="false" outlineLevel="0" collapsed="false">
      <c r="I56" s="11"/>
      <c r="J56" s="12"/>
      <c r="K56" s="12"/>
    </row>
    <row r="57" customFormat="false" ht="15" hidden="false" customHeight="false" outlineLevel="0" collapsed="false">
      <c r="I57" s="11"/>
      <c r="J57" s="12"/>
      <c r="K57" s="12"/>
    </row>
    <row r="58" customFormat="false" ht="15" hidden="false" customHeight="false" outlineLevel="0" collapsed="false">
      <c r="I58" s="11"/>
      <c r="J58" s="12"/>
      <c r="K58" s="12"/>
    </row>
    <row r="59" customFormat="false" ht="15" hidden="false" customHeight="false" outlineLevel="0" collapsed="false">
      <c r="I59" s="11"/>
      <c r="J59" s="12"/>
      <c r="K59" s="12"/>
    </row>
    <row r="60" customFormat="false" ht="15" hidden="false" customHeight="false" outlineLevel="0" collapsed="false">
      <c r="I60" s="11"/>
      <c r="J60" s="12"/>
      <c r="K60" s="12"/>
    </row>
    <row r="61" customFormat="false" ht="15" hidden="false" customHeight="false" outlineLevel="0" collapsed="false">
      <c r="I61" s="11"/>
      <c r="J61" s="12"/>
      <c r="K61" s="12"/>
    </row>
    <row r="62" customFormat="false" ht="15" hidden="false" customHeight="false" outlineLevel="0" collapsed="false">
      <c r="I62" s="11"/>
      <c r="J62" s="12"/>
      <c r="K62" s="12"/>
    </row>
    <row r="63" customFormat="false" ht="15" hidden="false" customHeight="false" outlineLevel="0" collapsed="false">
      <c r="I63" s="11"/>
      <c r="J63" s="12"/>
      <c r="K63" s="12"/>
    </row>
    <row r="64" customFormat="false" ht="15" hidden="false" customHeight="false" outlineLevel="0" collapsed="false">
      <c r="I64" s="11"/>
      <c r="J64" s="12"/>
      <c r="K64" s="12"/>
    </row>
    <row r="65" customFormat="false" ht="15" hidden="false" customHeight="false" outlineLevel="0" collapsed="false">
      <c r="I65" s="11"/>
      <c r="J65" s="12"/>
      <c r="K65" s="12"/>
    </row>
    <row r="66" customFormat="false" ht="15" hidden="false" customHeight="false" outlineLevel="0" collapsed="false">
      <c r="I66" s="11"/>
      <c r="J66" s="12"/>
      <c r="K66" s="12"/>
    </row>
    <row r="67" customFormat="false" ht="15" hidden="false" customHeight="false" outlineLevel="0" collapsed="false">
      <c r="I67" s="11"/>
      <c r="J67" s="12"/>
      <c r="K67" s="12"/>
    </row>
    <row r="68" customFormat="false" ht="15" hidden="false" customHeight="false" outlineLevel="0" collapsed="false">
      <c r="I68" s="11"/>
      <c r="J68" s="12"/>
      <c r="K68" s="12"/>
    </row>
    <row r="69" customFormat="false" ht="15" hidden="false" customHeight="false" outlineLevel="0" collapsed="false">
      <c r="I69" s="11"/>
      <c r="J69" s="12"/>
      <c r="K69" s="12"/>
    </row>
    <row r="70" customFormat="false" ht="15" hidden="false" customHeight="false" outlineLevel="0" collapsed="false">
      <c r="I70" s="11"/>
      <c r="J70" s="12"/>
      <c r="K70" s="12"/>
    </row>
    <row r="71" customFormat="false" ht="15" hidden="false" customHeight="false" outlineLevel="0" collapsed="false">
      <c r="I71" s="11"/>
      <c r="J71" s="12"/>
      <c r="K71" s="12"/>
    </row>
    <row r="72" customFormat="false" ht="15" hidden="false" customHeight="false" outlineLevel="0" collapsed="false">
      <c r="I72" s="11"/>
      <c r="J72" s="12"/>
      <c r="K72" s="12"/>
    </row>
    <row r="73" customFormat="false" ht="15" hidden="false" customHeight="false" outlineLevel="0" collapsed="false">
      <c r="I73" s="11"/>
      <c r="J73" s="12"/>
      <c r="K73" s="12"/>
    </row>
    <row r="74" customFormat="false" ht="15" hidden="false" customHeight="false" outlineLevel="0" collapsed="false">
      <c r="I74" s="11"/>
      <c r="J74" s="12"/>
      <c r="K74" s="12"/>
    </row>
    <row r="75" customFormat="false" ht="15" hidden="false" customHeight="false" outlineLevel="0" collapsed="false">
      <c r="I75" s="11"/>
      <c r="J75" s="12"/>
      <c r="K75" s="12"/>
    </row>
    <row r="76" customFormat="false" ht="15" hidden="false" customHeight="false" outlineLevel="0" collapsed="false">
      <c r="I76" s="11"/>
      <c r="J76" s="12"/>
      <c r="K76" s="12"/>
    </row>
    <row r="77" customFormat="false" ht="15" hidden="false" customHeight="false" outlineLevel="0" collapsed="false">
      <c r="I77" s="11"/>
      <c r="J77" s="12"/>
      <c r="K77" s="12"/>
    </row>
    <row r="78" customFormat="false" ht="15" hidden="false" customHeight="false" outlineLevel="0" collapsed="false">
      <c r="I78" s="11"/>
      <c r="J78" s="12"/>
      <c r="K78" s="12"/>
    </row>
    <row r="79" customFormat="false" ht="15" hidden="false" customHeight="false" outlineLevel="0" collapsed="false">
      <c r="I79" s="11"/>
      <c r="J79" s="12"/>
      <c r="K79" s="12"/>
    </row>
    <row r="80" customFormat="false" ht="15" hidden="false" customHeight="false" outlineLevel="0" collapsed="false">
      <c r="I80" s="11"/>
      <c r="J80" s="12"/>
      <c r="K80" s="12"/>
    </row>
    <row r="81" customFormat="false" ht="15" hidden="false" customHeight="false" outlineLevel="0" collapsed="false">
      <c r="I81" s="11"/>
      <c r="J81" s="12"/>
      <c r="K81" s="12"/>
    </row>
    <row r="82" customFormat="false" ht="15" hidden="false" customHeight="false" outlineLevel="0" collapsed="false">
      <c r="I82" s="11"/>
      <c r="J82" s="12"/>
      <c r="K82" s="12"/>
    </row>
    <row r="83" customFormat="false" ht="15" hidden="false" customHeight="false" outlineLevel="0" collapsed="false">
      <c r="I83" s="11"/>
      <c r="J83" s="12"/>
      <c r="K83" s="12"/>
    </row>
    <row r="84" customFormat="false" ht="15" hidden="false" customHeight="false" outlineLevel="0" collapsed="false">
      <c r="I84" s="11"/>
      <c r="J84" s="12"/>
      <c r="K84" s="12"/>
    </row>
    <row r="85" customFormat="false" ht="15" hidden="false" customHeight="false" outlineLevel="0" collapsed="false">
      <c r="I85" s="11"/>
      <c r="J85" s="12"/>
      <c r="K85" s="12"/>
    </row>
    <row r="86" customFormat="false" ht="15" hidden="false" customHeight="false" outlineLevel="0" collapsed="false">
      <c r="I86" s="11"/>
      <c r="J86" s="12"/>
      <c r="K86" s="12"/>
    </row>
    <row r="87" customFormat="false" ht="15" hidden="false" customHeight="false" outlineLevel="0" collapsed="false">
      <c r="I87" s="11"/>
      <c r="J87" s="12"/>
      <c r="K87" s="12"/>
    </row>
    <row r="88" customFormat="false" ht="15" hidden="false" customHeight="false" outlineLevel="0" collapsed="false">
      <c r="I88" s="11"/>
      <c r="J88" s="12"/>
      <c r="K88" s="12"/>
    </row>
    <row r="89" customFormat="false" ht="15" hidden="false" customHeight="false" outlineLevel="0" collapsed="false">
      <c r="I89" s="11"/>
      <c r="J89" s="12"/>
      <c r="K89" s="12"/>
    </row>
    <row r="90" customFormat="false" ht="15" hidden="false" customHeight="false" outlineLevel="0" collapsed="false">
      <c r="I90" s="11"/>
      <c r="J90" s="12"/>
      <c r="K90" s="12"/>
    </row>
    <row r="91" customFormat="false" ht="15" hidden="false" customHeight="false" outlineLevel="0" collapsed="false">
      <c r="I91" s="11"/>
      <c r="J91" s="12"/>
      <c r="K91" s="12"/>
    </row>
    <row r="92" customFormat="false" ht="15" hidden="false" customHeight="false" outlineLevel="0" collapsed="false">
      <c r="I92" s="11"/>
      <c r="J92" s="12"/>
      <c r="K92" s="12"/>
    </row>
    <row r="93" customFormat="false" ht="15" hidden="false" customHeight="false" outlineLevel="0" collapsed="false">
      <c r="I93" s="11"/>
      <c r="J93" s="12"/>
      <c r="K93" s="12"/>
    </row>
    <row r="94" customFormat="false" ht="15" hidden="false" customHeight="false" outlineLevel="0" collapsed="false">
      <c r="I94" s="11"/>
      <c r="J94" s="12"/>
      <c r="K94" s="12"/>
    </row>
    <row r="95" customFormat="false" ht="15" hidden="false" customHeight="false" outlineLevel="0" collapsed="false">
      <c r="I95" s="11"/>
      <c r="J95" s="12"/>
      <c r="K95" s="12"/>
    </row>
    <row r="96" customFormat="false" ht="15" hidden="false" customHeight="false" outlineLevel="0" collapsed="false">
      <c r="I96" s="11"/>
      <c r="J96" s="12"/>
      <c r="K96" s="12"/>
    </row>
    <row r="97" customFormat="false" ht="15" hidden="false" customHeight="false" outlineLevel="0" collapsed="false">
      <c r="I97" s="11"/>
      <c r="J97" s="12"/>
      <c r="K97" s="12"/>
    </row>
    <row r="98" customFormat="false" ht="15" hidden="false" customHeight="false" outlineLevel="0" collapsed="false">
      <c r="I98" s="11"/>
      <c r="J98" s="12"/>
      <c r="K98" s="12"/>
    </row>
    <row r="99" customFormat="false" ht="15" hidden="false" customHeight="false" outlineLevel="0" collapsed="false">
      <c r="I99" s="11"/>
      <c r="J99" s="12"/>
      <c r="K99" s="12"/>
    </row>
    <row r="100" customFormat="false" ht="15" hidden="false" customHeight="false" outlineLevel="0" collapsed="false">
      <c r="I100" s="11"/>
      <c r="J100" s="12"/>
      <c r="K100" s="12"/>
    </row>
    <row r="101" customFormat="false" ht="15" hidden="false" customHeight="false" outlineLevel="0" collapsed="false">
      <c r="I101" s="11"/>
      <c r="J101" s="12"/>
      <c r="K101" s="12"/>
    </row>
    <row r="102" customFormat="false" ht="15" hidden="false" customHeight="false" outlineLevel="0" collapsed="false">
      <c r="I102" s="11"/>
      <c r="J102" s="12"/>
      <c r="K102" s="12"/>
    </row>
    <row r="103" customFormat="false" ht="15" hidden="false" customHeight="false" outlineLevel="0" collapsed="false">
      <c r="I103" s="11"/>
      <c r="J103" s="12"/>
      <c r="K103" s="12"/>
    </row>
    <row r="104" customFormat="false" ht="15" hidden="false" customHeight="false" outlineLevel="0" collapsed="false">
      <c r="I104" s="11"/>
      <c r="J104" s="12"/>
      <c r="K104" s="12"/>
    </row>
    <row r="105" customFormat="false" ht="15" hidden="false" customHeight="false" outlineLevel="0" collapsed="false">
      <c r="I105" s="11"/>
      <c r="J105" s="12"/>
      <c r="K105" s="12"/>
    </row>
    <row r="106" customFormat="false" ht="15" hidden="false" customHeight="false" outlineLevel="0" collapsed="false">
      <c r="I106" s="11"/>
      <c r="J106" s="12"/>
      <c r="K106" s="12"/>
    </row>
    <row r="107" customFormat="false" ht="15" hidden="false" customHeight="false" outlineLevel="0" collapsed="false">
      <c r="I107" s="11"/>
      <c r="J107" s="12"/>
      <c r="K107" s="12"/>
    </row>
    <row r="108" customFormat="false" ht="15" hidden="false" customHeight="false" outlineLevel="0" collapsed="false">
      <c r="I108" s="11"/>
      <c r="J108" s="12"/>
      <c r="K108" s="12"/>
    </row>
    <row r="109" customFormat="false" ht="15" hidden="false" customHeight="false" outlineLevel="0" collapsed="false">
      <c r="I109" s="11"/>
      <c r="J109" s="12"/>
      <c r="K109" s="12"/>
    </row>
    <row r="110" customFormat="false" ht="15" hidden="false" customHeight="false" outlineLevel="0" collapsed="false">
      <c r="I110" s="11"/>
      <c r="J110" s="12"/>
      <c r="K110" s="12"/>
    </row>
    <row r="111" customFormat="false" ht="15" hidden="false" customHeight="false" outlineLevel="0" collapsed="false">
      <c r="I111" s="11"/>
      <c r="J111" s="12"/>
      <c r="K111" s="12"/>
    </row>
    <row r="112" customFormat="false" ht="15" hidden="false" customHeight="false" outlineLevel="0" collapsed="false">
      <c r="I112" s="11"/>
      <c r="J112" s="12"/>
      <c r="K112" s="12"/>
    </row>
    <row r="113" customFormat="false" ht="15" hidden="false" customHeight="false" outlineLevel="0" collapsed="false">
      <c r="I113" s="11"/>
      <c r="J113" s="12"/>
      <c r="K113" s="12"/>
    </row>
    <row r="114" customFormat="false" ht="15" hidden="false" customHeight="false" outlineLevel="0" collapsed="false">
      <c r="I114" s="11"/>
      <c r="J114" s="12"/>
      <c r="K114" s="12"/>
    </row>
    <row r="115" customFormat="false" ht="15" hidden="false" customHeight="false" outlineLevel="0" collapsed="false">
      <c r="I115" s="11"/>
      <c r="J115" s="12"/>
      <c r="K115" s="12"/>
    </row>
    <row r="116" customFormat="false" ht="15" hidden="false" customHeight="false" outlineLevel="0" collapsed="false">
      <c r="I116" s="11"/>
      <c r="J116" s="12"/>
      <c r="K116" s="12"/>
    </row>
    <row r="117" customFormat="false" ht="15" hidden="false" customHeight="false" outlineLevel="0" collapsed="false">
      <c r="I117" s="11"/>
      <c r="J117" s="12"/>
      <c r="K117" s="12"/>
    </row>
    <row r="118" customFormat="false" ht="15" hidden="false" customHeight="false" outlineLevel="0" collapsed="false">
      <c r="I118" s="11"/>
      <c r="J118" s="12"/>
      <c r="K118" s="12"/>
    </row>
    <row r="119" customFormat="false" ht="15" hidden="false" customHeight="false" outlineLevel="0" collapsed="false">
      <c r="I119" s="11"/>
      <c r="J119" s="12"/>
      <c r="K119" s="12"/>
    </row>
    <row r="120" customFormat="false" ht="15" hidden="false" customHeight="false" outlineLevel="0" collapsed="false">
      <c r="I120" s="11"/>
      <c r="J120" s="12"/>
      <c r="K120" s="12"/>
    </row>
    <row r="121" customFormat="false" ht="15" hidden="false" customHeight="false" outlineLevel="0" collapsed="false">
      <c r="I121" s="11"/>
      <c r="J121" s="12"/>
      <c r="K121" s="12"/>
    </row>
    <row r="122" customFormat="false" ht="15" hidden="false" customHeight="false" outlineLevel="0" collapsed="false">
      <c r="I122" s="11"/>
      <c r="J122" s="12"/>
      <c r="K122" s="12"/>
    </row>
    <row r="123" customFormat="false" ht="15" hidden="false" customHeight="false" outlineLevel="0" collapsed="false">
      <c r="I123" s="11"/>
      <c r="J123" s="12"/>
      <c r="K123" s="12"/>
    </row>
    <row r="124" customFormat="false" ht="15" hidden="false" customHeight="false" outlineLevel="0" collapsed="false">
      <c r="I124" s="11"/>
      <c r="J124" s="12"/>
      <c r="K124" s="12"/>
    </row>
    <row r="125" customFormat="false" ht="15" hidden="false" customHeight="false" outlineLevel="0" collapsed="false">
      <c r="I125" s="11"/>
      <c r="J125" s="12"/>
      <c r="K125" s="12"/>
    </row>
    <row r="126" customFormat="false" ht="15" hidden="false" customHeight="false" outlineLevel="0" collapsed="false">
      <c r="I126" s="11"/>
      <c r="J126" s="12"/>
      <c r="K126" s="12"/>
    </row>
    <row r="127" customFormat="false" ht="15" hidden="false" customHeight="false" outlineLevel="0" collapsed="false">
      <c r="I127" s="11"/>
      <c r="J127" s="12"/>
      <c r="K127" s="12"/>
    </row>
    <row r="128" customFormat="false" ht="15" hidden="false" customHeight="false" outlineLevel="0" collapsed="false">
      <c r="I128" s="11"/>
      <c r="J128" s="12"/>
      <c r="K128" s="12"/>
    </row>
    <row r="129" customFormat="false" ht="15" hidden="false" customHeight="false" outlineLevel="0" collapsed="false">
      <c r="I129" s="11"/>
      <c r="J129" s="12"/>
      <c r="K129" s="12"/>
    </row>
    <row r="130" customFormat="false" ht="15" hidden="false" customHeight="false" outlineLevel="0" collapsed="false">
      <c r="I130" s="11"/>
      <c r="J130" s="12"/>
      <c r="K130" s="12"/>
    </row>
    <row r="131" customFormat="false" ht="15" hidden="false" customHeight="false" outlineLevel="0" collapsed="false">
      <c r="I131" s="11"/>
      <c r="J131" s="12"/>
      <c r="K131" s="12"/>
    </row>
    <row r="132" customFormat="false" ht="15" hidden="false" customHeight="false" outlineLevel="0" collapsed="false">
      <c r="I132" s="11"/>
      <c r="J132" s="12"/>
      <c r="K132" s="12"/>
    </row>
    <row r="133" customFormat="false" ht="15" hidden="false" customHeight="false" outlineLevel="0" collapsed="false">
      <c r="I133" s="11"/>
      <c r="J133" s="12"/>
      <c r="K133" s="12"/>
    </row>
    <row r="134" customFormat="false" ht="15" hidden="false" customHeight="false" outlineLevel="0" collapsed="false">
      <c r="I134" s="11"/>
      <c r="J134" s="12"/>
      <c r="K134" s="12"/>
    </row>
    <row r="135" customFormat="false" ht="15" hidden="false" customHeight="false" outlineLevel="0" collapsed="false">
      <c r="I135" s="11"/>
      <c r="J135" s="12"/>
      <c r="K135" s="12"/>
    </row>
    <row r="136" customFormat="false" ht="15" hidden="false" customHeight="false" outlineLevel="0" collapsed="false">
      <c r="I136" s="11"/>
      <c r="J136" s="12"/>
      <c r="K136" s="12"/>
    </row>
    <row r="137" customFormat="false" ht="15" hidden="false" customHeight="false" outlineLevel="0" collapsed="false">
      <c r="I137" s="11"/>
      <c r="J137" s="12"/>
      <c r="K137" s="12"/>
    </row>
    <row r="138" customFormat="false" ht="15" hidden="false" customHeight="false" outlineLevel="0" collapsed="false">
      <c r="I138" s="11"/>
      <c r="J138" s="12"/>
      <c r="K138" s="12"/>
    </row>
    <row r="139" customFormat="false" ht="15" hidden="false" customHeight="false" outlineLevel="0" collapsed="false">
      <c r="I139" s="11"/>
      <c r="J139" s="12"/>
      <c r="K139" s="12"/>
    </row>
    <row r="140" customFormat="false" ht="15" hidden="false" customHeight="false" outlineLevel="0" collapsed="false">
      <c r="I140" s="11"/>
      <c r="J140" s="12"/>
      <c r="K140" s="12"/>
    </row>
    <row r="141" customFormat="false" ht="15" hidden="false" customHeight="false" outlineLevel="0" collapsed="false">
      <c r="I141" s="11"/>
      <c r="J141" s="12"/>
      <c r="K141" s="12"/>
    </row>
    <row r="142" customFormat="false" ht="15" hidden="false" customHeight="false" outlineLevel="0" collapsed="false">
      <c r="I142" s="11"/>
      <c r="J142" s="12"/>
      <c r="K142" s="12"/>
    </row>
    <row r="143" customFormat="false" ht="15" hidden="false" customHeight="false" outlineLevel="0" collapsed="false">
      <c r="I143" s="11"/>
      <c r="J143" s="12"/>
      <c r="K143" s="12"/>
    </row>
    <row r="144" customFormat="false" ht="15" hidden="false" customHeight="false" outlineLevel="0" collapsed="false">
      <c r="I144" s="11"/>
      <c r="J144" s="12"/>
      <c r="K144" s="12"/>
    </row>
    <row r="145" customFormat="false" ht="15" hidden="false" customHeight="false" outlineLevel="0" collapsed="false">
      <c r="I145" s="11"/>
      <c r="J145" s="12"/>
      <c r="K145" s="12"/>
    </row>
    <row r="146" customFormat="false" ht="15" hidden="false" customHeight="false" outlineLevel="0" collapsed="false">
      <c r="I146" s="11"/>
      <c r="J146" s="12"/>
      <c r="K146" s="12"/>
    </row>
    <row r="147" customFormat="false" ht="15" hidden="false" customHeight="false" outlineLevel="0" collapsed="false">
      <c r="I147" s="11"/>
      <c r="J147" s="12"/>
      <c r="K147" s="12"/>
    </row>
    <row r="148" customFormat="false" ht="15" hidden="false" customHeight="false" outlineLevel="0" collapsed="false">
      <c r="I148" s="11"/>
      <c r="J148" s="12"/>
      <c r="K148" s="12"/>
    </row>
    <row r="149" customFormat="false" ht="15" hidden="false" customHeight="false" outlineLevel="0" collapsed="false">
      <c r="I149" s="11"/>
      <c r="J149" s="12"/>
      <c r="K149" s="12"/>
    </row>
    <row r="150" customFormat="false" ht="15" hidden="false" customHeight="false" outlineLevel="0" collapsed="false">
      <c r="I150" s="11"/>
      <c r="J150" s="12"/>
      <c r="K150" s="12"/>
    </row>
    <row r="151" customFormat="false" ht="15" hidden="false" customHeight="false" outlineLevel="0" collapsed="false">
      <c r="I151" s="11"/>
      <c r="J151" s="12"/>
      <c r="K151" s="12"/>
    </row>
    <row r="152" customFormat="false" ht="15" hidden="false" customHeight="false" outlineLevel="0" collapsed="false">
      <c r="I152" s="11"/>
      <c r="J152" s="12"/>
      <c r="K152" s="12"/>
    </row>
    <row r="153" customFormat="false" ht="15" hidden="false" customHeight="false" outlineLevel="0" collapsed="false">
      <c r="I153" s="11"/>
      <c r="J153" s="12"/>
      <c r="K153" s="12"/>
    </row>
    <row r="154" customFormat="false" ht="15" hidden="false" customHeight="false" outlineLevel="0" collapsed="false">
      <c r="I154" s="11"/>
      <c r="J154" s="12"/>
      <c r="K154" s="12"/>
    </row>
    <row r="155" customFormat="false" ht="15" hidden="false" customHeight="false" outlineLevel="0" collapsed="false">
      <c r="I155" s="11"/>
      <c r="J155" s="12"/>
      <c r="K155" s="12"/>
    </row>
    <row r="156" customFormat="false" ht="15" hidden="false" customHeight="false" outlineLevel="0" collapsed="false">
      <c r="I156" s="11"/>
      <c r="J156" s="12"/>
      <c r="K156" s="12"/>
    </row>
    <row r="157" customFormat="false" ht="15" hidden="false" customHeight="false" outlineLevel="0" collapsed="false">
      <c r="I157" s="11"/>
      <c r="J157" s="12"/>
      <c r="K157" s="12"/>
    </row>
    <row r="158" customFormat="false" ht="15" hidden="false" customHeight="false" outlineLevel="0" collapsed="false">
      <c r="I158" s="11"/>
      <c r="J158" s="12"/>
      <c r="K158" s="12"/>
    </row>
    <row r="159" customFormat="false" ht="15" hidden="false" customHeight="false" outlineLevel="0" collapsed="false">
      <c r="I159" s="11"/>
      <c r="J159" s="12"/>
      <c r="K159" s="12"/>
    </row>
    <row r="160" customFormat="false" ht="15" hidden="false" customHeight="false" outlineLevel="0" collapsed="false">
      <c r="I160" s="11"/>
      <c r="J160" s="12"/>
      <c r="K160" s="12"/>
    </row>
    <row r="161" customFormat="false" ht="15" hidden="false" customHeight="false" outlineLevel="0" collapsed="false">
      <c r="I161" s="11"/>
      <c r="J161" s="12"/>
      <c r="K161" s="12"/>
    </row>
    <row r="162" customFormat="false" ht="15" hidden="false" customHeight="false" outlineLevel="0" collapsed="false">
      <c r="I162" s="11"/>
      <c r="J162" s="12"/>
      <c r="K162" s="12"/>
    </row>
    <row r="163" customFormat="false" ht="15" hidden="false" customHeight="false" outlineLevel="0" collapsed="false">
      <c r="I163" s="11"/>
      <c r="J163" s="12"/>
      <c r="K163" s="12"/>
    </row>
    <row r="164" customFormat="false" ht="15" hidden="false" customHeight="false" outlineLevel="0" collapsed="false">
      <c r="I164" s="11"/>
      <c r="J164" s="12"/>
      <c r="K164" s="12"/>
    </row>
    <row r="165" customFormat="false" ht="15" hidden="false" customHeight="false" outlineLevel="0" collapsed="false">
      <c r="I165" s="11"/>
      <c r="J165" s="12"/>
      <c r="K165" s="12"/>
    </row>
    <row r="166" customFormat="false" ht="15" hidden="false" customHeight="false" outlineLevel="0" collapsed="false">
      <c r="I166" s="11"/>
      <c r="J166" s="12"/>
      <c r="K166" s="12"/>
    </row>
    <row r="167" customFormat="false" ht="15" hidden="false" customHeight="false" outlineLevel="0" collapsed="false">
      <c r="I167" s="11"/>
      <c r="J167" s="12"/>
      <c r="K167" s="12"/>
    </row>
    <row r="168" customFormat="false" ht="15" hidden="false" customHeight="false" outlineLevel="0" collapsed="false">
      <c r="I168" s="11"/>
      <c r="J168" s="12"/>
      <c r="K168" s="12"/>
    </row>
    <row r="169" customFormat="false" ht="15" hidden="false" customHeight="false" outlineLevel="0" collapsed="false">
      <c r="I169" s="11"/>
      <c r="J169" s="12"/>
      <c r="K169" s="12"/>
    </row>
    <row r="170" customFormat="false" ht="15" hidden="false" customHeight="false" outlineLevel="0" collapsed="false">
      <c r="I170" s="11"/>
      <c r="J170" s="12"/>
      <c r="K170" s="12"/>
    </row>
    <row r="171" customFormat="false" ht="15" hidden="false" customHeight="false" outlineLevel="0" collapsed="false">
      <c r="I171" s="11"/>
      <c r="J171" s="12"/>
      <c r="K171" s="12"/>
    </row>
    <row r="172" customFormat="false" ht="15" hidden="false" customHeight="false" outlineLevel="0" collapsed="false">
      <c r="I172" s="11"/>
      <c r="J172" s="12"/>
      <c r="K172" s="12"/>
    </row>
    <row r="173" customFormat="false" ht="15" hidden="false" customHeight="false" outlineLevel="0" collapsed="false">
      <c r="I173" s="11"/>
      <c r="J173" s="12"/>
      <c r="K173" s="12"/>
    </row>
    <row r="174" customFormat="false" ht="15" hidden="false" customHeight="false" outlineLevel="0" collapsed="false">
      <c r="I174" s="11"/>
      <c r="J174" s="12"/>
      <c r="K174" s="12"/>
    </row>
    <row r="175" customFormat="false" ht="15" hidden="false" customHeight="false" outlineLevel="0" collapsed="false">
      <c r="I175" s="11"/>
      <c r="J175" s="12"/>
      <c r="K175" s="12"/>
    </row>
    <row r="176" customFormat="false" ht="15" hidden="false" customHeight="false" outlineLevel="0" collapsed="false">
      <c r="I176" s="11"/>
      <c r="J176" s="12"/>
      <c r="K176" s="12"/>
    </row>
    <row r="177" customFormat="false" ht="15" hidden="false" customHeight="false" outlineLevel="0" collapsed="false">
      <c r="I177" s="11"/>
      <c r="J177" s="12"/>
      <c r="K177" s="12"/>
    </row>
    <row r="178" customFormat="false" ht="15" hidden="false" customHeight="false" outlineLevel="0" collapsed="false">
      <c r="I178" s="11"/>
      <c r="J178" s="12"/>
      <c r="K178" s="12"/>
    </row>
    <row r="179" customFormat="false" ht="15" hidden="false" customHeight="false" outlineLevel="0" collapsed="false">
      <c r="I179" s="11"/>
      <c r="J179" s="12"/>
      <c r="K179" s="12"/>
    </row>
    <row r="180" customFormat="false" ht="15" hidden="false" customHeight="false" outlineLevel="0" collapsed="false">
      <c r="I180" s="11"/>
      <c r="J180" s="12"/>
      <c r="K180" s="12"/>
    </row>
    <row r="181" customFormat="false" ht="15" hidden="false" customHeight="false" outlineLevel="0" collapsed="false">
      <c r="I181" s="11"/>
      <c r="J181" s="12"/>
      <c r="K181" s="12"/>
    </row>
    <row r="182" customFormat="false" ht="15" hidden="false" customHeight="false" outlineLevel="0" collapsed="false">
      <c r="I182" s="11"/>
      <c r="J182" s="12"/>
      <c r="K182" s="12"/>
    </row>
    <row r="183" customFormat="false" ht="15" hidden="false" customHeight="false" outlineLevel="0" collapsed="false">
      <c r="I183" s="11"/>
      <c r="J183" s="12"/>
      <c r="K183" s="12"/>
    </row>
    <row r="184" customFormat="false" ht="15" hidden="false" customHeight="false" outlineLevel="0" collapsed="false">
      <c r="I184" s="11"/>
      <c r="J184" s="12"/>
      <c r="K184" s="12"/>
    </row>
    <row r="185" customFormat="false" ht="15" hidden="false" customHeight="false" outlineLevel="0" collapsed="false">
      <c r="I185" s="11"/>
      <c r="J185" s="12"/>
      <c r="K185" s="12"/>
    </row>
    <row r="186" customFormat="false" ht="15" hidden="false" customHeight="false" outlineLevel="0" collapsed="false">
      <c r="I186" s="11"/>
      <c r="J186" s="12"/>
      <c r="K186" s="12"/>
    </row>
    <row r="187" customFormat="false" ht="15" hidden="false" customHeight="false" outlineLevel="0" collapsed="false">
      <c r="I187" s="11"/>
      <c r="J187" s="12"/>
      <c r="K187" s="12"/>
    </row>
    <row r="188" customFormat="false" ht="15" hidden="false" customHeight="false" outlineLevel="0" collapsed="false">
      <c r="I188" s="11"/>
      <c r="J188" s="12"/>
      <c r="K188" s="12"/>
    </row>
    <row r="189" customFormat="false" ht="15" hidden="false" customHeight="false" outlineLevel="0" collapsed="false">
      <c r="I189" s="11"/>
      <c r="J189" s="12"/>
      <c r="K189" s="12"/>
    </row>
    <row r="190" customFormat="false" ht="15" hidden="false" customHeight="false" outlineLevel="0" collapsed="false">
      <c r="I190" s="11"/>
      <c r="J190" s="12"/>
      <c r="K190" s="12"/>
    </row>
    <row r="191" customFormat="false" ht="15" hidden="false" customHeight="false" outlineLevel="0" collapsed="false">
      <c r="I191" s="11"/>
      <c r="J191" s="12"/>
      <c r="K191" s="12"/>
    </row>
    <row r="192" customFormat="false" ht="15" hidden="false" customHeight="false" outlineLevel="0" collapsed="false">
      <c r="I192" s="11"/>
      <c r="J192" s="12"/>
      <c r="K192" s="12"/>
    </row>
    <row r="193" customFormat="false" ht="15" hidden="false" customHeight="false" outlineLevel="0" collapsed="false">
      <c r="I193" s="11"/>
      <c r="J193" s="12"/>
      <c r="K193" s="12"/>
    </row>
    <row r="194" customFormat="false" ht="15" hidden="false" customHeight="false" outlineLevel="0" collapsed="false">
      <c r="I194" s="11"/>
      <c r="J194" s="12"/>
      <c r="K194" s="12"/>
    </row>
    <row r="195" customFormat="false" ht="15" hidden="false" customHeight="false" outlineLevel="0" collapsed="false">
      <c r="I195" s="11"/>
      <c r="J195" s="12"/>
      <c r="K195" s="12"/>
    </row>
    <row r="196" customFormat="false" ht="15" hidden="false" customHeight="false" outlineLevel="0" collapsed="false">
      <c r="I196" s="11"/>
      <c r="J196" s="12"/>
      <c r="K196" s="12"/>
    </row>
    <row r="197" customFormat="false" ht="15" hidden="false" customHeight="false" outlineLevel="0" collapsed="false">
      <c r="I197" s="11"/>
      <c r="J197" s="12"/>
      <c r="K197" s="12"/>
    </row>
    <row r="198" customFormat="false" ht="15" hidden="false" customHeight="false" outlineLevel="0" collapsed="false">
      <c r="I198" s="11"/>
      <c r="J198" s="12"/>
      <c r="K198" s="12"/>
    </row>
    <row r="199" customFormat="false" ht="15" hidden="false" customHeight="false" outlineLevel="0" collapsed="false">
      <c r="I199" s="11"/>
      <c r="J199" s="12"/>
      <c r="K199" s="12"/>
    </row>
    <row r="200" customFormat="false" ht="15" hidden="false" customHeight="false" outlineLevel="0" collapsed="false">
      <c r="I200" s="11"/>
      <c r="J200" s="12"/>
      <c r="K200" s="12"/>
    </row>
    <row r="201" customFormat="false" ht="15" hidden="false" customHeight="false" outlineLevel="0" collapsed="false">
      <c r="I201" s="11"/>
      <c r="J201" s="12"/>
      <c r="K201" s="12"/>
    </row>
    <row r="202" customFormat="false" ht="15" hidden="false" customHeight="false" outlineLevel="0" collapsed="false">
      <c r="I202" s="11"/>
      <c r="J202" s="12"/>
      <c r="K202" s="12"/>
    </row>
    <row r="203" customFormat="false" ht="15" hidden="false" customHeight="false" outlineLevel="0" collapsed="false">
      <c r="I203" s="11"/>
      <c r="J203" s="12"/>
      <c r="K203" s="12"/>
    </row>
    <row r="204" customFormat="false" ht="15" hidden="false" customHeight="false" outlineLevel="0" collapsed="false">
      <c r="I204" s="11"/>
      <c r="J204" s="12"/>
      <c r="K204" s="12"/>
    </row>
    <row r="205" customFormat="false" ht="15" hidden="false" customHeight="false" outlineLevel="0" collapsed="false">
      <c r="I205" s="11"/>
      <c r="J205" s="12"/>
      <c r="K205" s="12"/>
    </row>
    <row r="206" customFormat="false" ht="15" hidden="false" customHeight="false" outlineLevel="0" collapsed="false">
      <c r="I206" s="11"/>
      <c r="J206" s="12"/>
      <c r="K206" s="12"/>
    </row>
    <row r="207" customFormat="false" ht="15" hidden="false" customHeight="false" outlineLevel="0" collapsed="false">
      <c r="I207" s="11"/>
      <c r="J207" s="12"/>
      <c r="K207" s="12"/>
    </row>
    <row r="208" customFormat="false" ht="15" hidden="false" customHeight="false" outlineLevel="0" collapsed="false">
      <c r="I208" s="11"/>
      <c r="J208" s="12"/>
      <c r="K208" s="12"/>
    </row>
    <row r="209" customFormat="false" ht="15" hidden="false" customHeight="false" outlineLevel="0" collapsed="false">
      <c r="I209" s="11"/>
      <c r="J209" s="12"/>
      <c r="K209" s="12"/>
    </row>
    <row r="210" customFormat="false" ht="15" hidden="false" customHeight="false" outlineLevel="0" collapsed="false">
      <c r="I210" s="11"/>
      <c r="J210" s="12"/>
      <c r="K210" s="12"/>
    </row>
    <row r="211" customFormat="false" ht="15" hidden="false" customHeight="false" outlineLevel="0" collapsed="false">
      <c r="I211" s="11"/>
      <c r="J211" s="12"/>
      <c r="K211" s="12"/>
    </row>
    <row r="212" customFormat="false" ht="15" hidden="false" customHeight="false" outlineLevel="0" collapsed="false">
      <c r="I212" s="11"/>
      <c r="J212" s="12"/>
      <c r="K212" s="12"/>
    </row>
    <row r="213" customFormat="false" ht="15" hidden="false" customHeight="false" outlineLevel="0" collapsed="false">
      <c r="I213" s="11"/>
      <c r="J213" s="12"/>
      <c r="K213" s="12"/>
    </row>
    <row r="214" customFormat="false" ht="15" hidden="false" customHeight="false" outlineLevel="0" collapsed="false">
      <c r="I214" s="11"/>
      <c r="J214" s="12"/>
      <c r="K214" s="12"/>
    </row>
    <row r="215" customFormat="false" ht="15" hidden="false" customHeight="false" outlineLevel="0" collapsed="false">
      <c r="I215" s="11"/>
      <c r="J215" s="12"/>
      <c r="K215" s="12"/>
    </row>
    <row r="216" customFormat="false" ht="15" hidden="false" customHeight="false" outlineLevel="0" collapsed="false">
      <c r="I216" s="11"/>
      <c r="J216" s="12"/>
      <c r="K216" s="12"/>
    </row>
    <row r="217" customFormat="false" ht="15" hidden="false" customHeight="false" outlineLevel="0" collapsed="false">
      <c r="I217" s="11"/>
      <c r="J217" s="12"/>
      <c r="K217" s="12"/>
    </row>
    <row r="218" customFormat="false" ht="15" hidden="false" customHeight="false" outlineLevel="0" collapsed="false">
      <c r="I218" s="11"/>
      <c r="J218" s="12"/>
      <c r="K218" s="12"/>
    </row>
    <row r="219" customFormat="false" ht="15" hidden="false" customHeight="false" outlineLevel="0" collapsed="false">
      <c r="I219" s="11"/>
      <c r="J219" s="12"/>
      <c r="K219" s="12"/>
    </row>
    <row r="220" customFormat="false" ht="15" hidden="false" customHeight="false" outlineLevel="0" collapsed="false">
      <c r="I220" s="11"/>
      <c r="J220" s="12"/>
      <c r="K220" s="12"/>
    </row>
    <row r="221" customFormat="false" ht="15" hidden="false" customHeight="false" outlineLevel="0" collapsed="false">
      <c r="I221" s="11"/>
      <c r="J221" s="12"/>
      <c r="K221" s="12"/>
    </row>
    <row r="222" customFormat="false" ht="15" hidden="false" customHeight="false" outlineLevel="0" collapsed="false">
      <c r="I222" s="11"/>
      <c r="J222" s="12"/>
      <c r="K222" s="12"/>
    </row>
    <row r="223" customFormat="false" ht="15" hidden="false" customHeight="false" outlineLevel="0" collapsed="false">
      <c r="I223" s="11"/>
      <c r="J223" s="12"/>
      <c r="K223" s="12"/>
    </row>
    <row r="224" customFormat="false" ht="15" hidden="false" customHeight="false" outlineLevel="0" collapsed="false">
      <c r="I224" s="11"/>
      <c r="J224" s="12"/>
      <c r="K224" s="12"/>
    </row>
    <row r="225" customFormat="false" ht="15" hidden="false" customHeight="false" outlineLevel="0" collapsed="false">
      <c r="I225" s="11"/>
      <c r="J225" s="12"/>
      <c r="K225" s="12"/>
    </row>
    <row r="226" customFormat="false" ht="15" hidden="false" customHeight="false" outlineLevel="0" collapsed="false">
      <c r="I226" s="11"/>
      <c r="J226" s="12"/>
      <c r="K226" s="12"/>
    </row>
    <row r="227" customFormat="false" ht="15" hidden="false" customHeight="false" outlineLevel="0" collapsed="false">
      <c r="I227" s="11"/>
      <c r="J227" s="12"/>
      <c r="K227" s="12"/>
    </row>
    <row r="228" customFormat="false" ht="15" hidden="false" customHeight="false" outlineLevel="0" collapsed="false">
      <c r="I228" s="11"/>
      <c r="J228" s="12"/>
      <c r="K228" s="12"/>
    </row>
    <row r="229" customFormat="false" ht="15" hidden="false" customHeight="false" outlineLevel="0" collapsed="false">
      <c r="I229" s="11"/>
      <c r="J229" s="12"/>
      <c r="K229" s="12"/>
    </row>
    <row r="230" customFormat="false" ht="15" hidden="false" customHeight="false" outlineLevel="0" collapsed="false">
      <c r="I230" s="11"/>
      <c r="J230" s="12"/>
      <c r="K230" s="12"/>
    </row>
    <row r="231" customFormat="false" ht="15" hidden="false" customHeight="false" outlineLevel="0" collapsed="false">
      <c r="I231" s="11"/>
      <c r="J231" s="12"/>
      <c r="K231" s="12"/>
    </row>
    <row r="232" customFormat="false" ht="15" hidden="false" customHeight="false" outlineLevel="0" collapsed="false">
      <c r="I232" s="11"/>
      <c r="J232" s="12"/>
      <c r="K232" s="12"/>
    </row>
    <row r="233" customFormat="false" ht="15" hidden="false" customHeight="false" outlineLevel="0" collapsed="false">
      <c r="I233" s="11"/>
      <c r="J233" s="12"/>
      <c r="K233" s="12"/>
    </row>
    <row r="234" customFormat="false" ht="15" hidden="false" customHeight="false" outlineLevel="0" collapsed="false">
      <c r="I234" s="11"/>
      <c r="J234" s="12"/>
      <c r="K234" s="12"/>
    </row>
    <row r="235" customFormat="false" ht="15" hidden="false" customHeight="false" outlineLevel="0" collapsed="false">
      <c r="I235" s="11"/>
      <c r="J235" s="12"/>
      <c r="K235" s="12"/>
    </row>
    <row r="236" customFormat="false" ht="15" hidden="false" customHeight="false" outlineLevel="0" collapsed="false">
      <c r="I236" s="11"/>
      <c r="J236" s="12"/>
      <c r="K236" s="12"/>
    </row>
    <row r="237" customFormat="false" ht="15" hidden="false" customHeight="false" outlineLevel="0" collapsed="false">
      <c r="I237" s="11"/>
      <c r="J237" s="12"/>
      <c r="K237" s="12"/>
    </row>
    <row r="238" customFormat="false" ht="15" hidden="false" customHeight="false" outlineLevel="0" collapsed="false">
      <c r="I238" s="11"/>
      <c r="J238" s="12"/>
      <c r="K238" s="12"/>
    </row>
    <row r="239" customFormat="false" ht="15" hidden="false" customHeight="false" outlineLevel="0" collapsed="false">
      <c r="I239" s="11"/>
      <c r="J239" s="12"/>
      <c r="K239" s="12"/>
    </row>
    <row r="240" customFormat="false" ht="15" hidden="false" customHeight="false" outlineLevel="0" collapsed="false">
      <c r="I240" s="11"/>
      <c r="J240" s="12"/>
      <c r="K240" s="12"/>
    </row>
    <row r="241" customFormat="false" ht="15" hidden="false" customHeight="false" outlineLevel="0" collapsed="false">
      <c r="I241" s="11"/>
      <c r="J241" s="12"/>
      <c r="K241" s="12"/>
    </row>
    <row r="242" customFormat="false" ht="15" hidden="false" customHeight="false" outlineLevel="0" collapsed="false">
      <c r="I242" s="11"/>
      <c r="J242" s="12"/>
      <c r="K242" s="12"/>
    </row>
    <row r="243" customFormat="false" ht="15" hidden="false" customHeight="false" outlineLevel="0" collapsed="false">
      <c r="I243" s="11"/>
      <c r="J243" s="12"/>
      <c r="K243" s="12"/>
    </row>
    <row r="244" customFormat="false" ht="15" hidden="false" customHeight="false" outlineLevel="0" collapsed="false">
      <c r="I244" s="11"/>
      <c r="J244" s="12"/>
      <c r="K244" s="12"/>
    </row>
    <row r="245" customFormat="false" ht="15" hidden="false" customHeight="false" outlineLevel="0" collapsed="false">
      <c r="I245" s="11"/>
      <c r="J245" s="12"/>
      <c r="K245" s="12"/>
    </row>
    <row r="246" customFormat="false" ht="15" hidden="false" customHeight="false" outlineLevel="0" collapsed="false">
      <c r="I246" s="11"/>
      <c r="J246" s="12"/>
      <c r="K246" s="12"/>
    </row>
    <row r="247" customFormat="false" ht="15" hidden="false" customHeight="false" outlineLevel="0" collapsed="false">
      <c r="I247" s="11"/>
      <c r="J247" s="12"/>
      <c r="K247" s="12"/>
    </row>
    <row r="248" customFormat="false" ht="15" hidden="false" customHeight="false" outlineLevel="0" collapsed="false">
      <c r="I248" s="11"/>
      <c r="J248" s="12"/>
      <c r="K248" s="12"/>
    </row>
    <row r="249" customFormat="false" ht="15" hidden="false" customHeight="false" outlineLevel="0" collapsed="false">
      <c r="I249" s="11"/>
      <c r="J249" s="12"/>
      <c r="K249" s="12"/>
    </row>
    <row r="250" customFormat="false" ht="15" hidden="false" customHeight="false" outlineLevel="0" collapsed="false">
      <c r="I250" s="11"/>
      <c r="J250" s="12"/>
      <c r="K250" s="12"/>
    </row>
    <row r="251" customFormat="false" ht="15" hidden="false" customHeight="false" outlineLevel="0" collapsed="false">
      <c r="I251" s="11"/>
      <c r="J251" s="12"/>
      <c r="K251" s="12"/>
    </row>
    <row r="252" customFormat="false" ht="15" hidden="false" customHeight="false" outlineLevel="0" collapsed="false">
      <c r="I252" s="11"/>
      <c r="J252" s="12"/>
      <c r="K252" s="12"/>
    </row>
    <row r="253" customFormat="false" ht="15" hidden="false" customHeight="false" outlineLevel="0" collapsed="false">
      <c r="I253" s="11"/>
      <c r="J253" s="12"/>
      <c r="K253" s="12"/>
    </row>
    <row r="254" customFormat="false" ht="15" hidden="false" customHeight="false" outlineLevel="0" collapsed="false">
      <c r="I254" s="11"/>
      <c r="J254" s="12"/>
      <c r="K254" s="12"/>
    </row>
    <row r="255" customFormat="false" ht="15" hidden="false" customHeight="false" outlineLevel="0" collapsed="false">
      <c r="I255" s="11"/>
      <c r="J255" s="12"/>
      <c r="K255" s="12"/>
    </row>
    <row r="256" customFormat="false" ht="15" hidden="false" customHeight="false" outlineLevel="0" collapsed="false">
      <c r="I256" s="11"/>
      <c r="J256" s="12"/>
      <c r="K256" s="12"/>
    </row>
    <row r="257" customFormat="false" ht="15" hidden="false" customHeight="false" outlineLevel="0" collapsed="false">
      <c r="I257" s="11"/>
      <c r="J257" s="12"/>
      <c r="K257" s="12"/>
    </row>
    <row r="258" customFormat="false" ht="15" hidden="false" customHeight="false" outlineLevel="0" collapsed="false">
      <c r="I258" s="11"/>
      <c r="J258" s="12"/>
      <c r="K258" s="12"/>
    </row>
    <row r="259" customFormat="false" ht="15" hidden="false" customHeight="false" outlineLevel="0" collapsed="false">
      <c r="I259" s="11"/>
      <c r="J259" s="12"/>
      <c r="K259" s="12"/>
    </row>
    <row r="260" customFormat="false" ht="15" hidden="false" customHeight="false" outlineLevel="0" collapsed="false">
      <c r="I260" s="11"/>
      <c r="J260" s="12"/>
      <c r="K260" s="12"/>
    </row>
    <row r="261" customFormat="false" ht="15" hidden="false" customHeight="false" outlineLevel="0" collapsed="false">
      <c r="I261" s="11"/>
      <c r="J261" s="12"/>
      <c r="K261" s="12"/>
    </row>
    <row r="262" customFormat="false" ht="15" hidden="false" customHeight="false" outlineLevel="0" collapsed="false">
      <c r="I262" s="11"/>
      <c r="J262" s="12"/>
      <c r="K262" s="12"/>
    </row>
    <row r="263" customFormat="false" ht="15" hidden="false" customHeight="false" outlineLevel="0" collapsed="false">
      <c r="I263" s="11"/>
      <c r="J263" s="12"/>
      <c r="K263" s="12"/>
    </row>
    <row r="264" customFormat="false" ht="15" hidden="false" customHeight="false" outlineLevel="0" collapsed="false">
      <c r="I264" s="11"/>
      <c r="J264" s="12"/>
      <c r="K264" s="12"/>
    </row>
    <row r="265" customFormat="false" ht="15" hidden="false" customHeight="false" outlineLevel="0" collapsed="false">
      <c r="I265" s="11"/>
      <c r="J265" s="12"/>
      <c r="K265" s="12"/>
    </row>
    <row r="266" customFormat="false" ht="15" hidden="false" customHeight="false" outlineLevel="0" collapsed="false">
      <c r="I266" s="11"/>
      <c r="J266" s="12"/>
      <c r="K266" s="12"/>
    </row>
    <row r="267" customFormat="false" ht="15" hidden="false" customHeight="false" outlineLevel="0" collapsed="false">
      <c r="I267" s="11"/>
      <c r="J267" s="12"/>
      <c r="K267" s="12"/>
    </row>
    <row r="268" customFormat="false" ht="15" hidden="false" customHeight="false" outlineLevel="0" collapsed="false">
      <c r="I268" s="11"/>
      <c r="J268" s="12"/>
      <c r="K268" s="12"/>
    </row>
    <row r="269" customFormat="false" ht="15" hidden="false" customHeight="false" outlineLevel="0" collapsed="false">
      <c r="I269" s="11"/>
      <c r="J269" s="12"/>
      <c r="K269" s="12"/>
    </row>
    <row r="270" customFormat="false" ht="15" hidden="false" customHeight="false" outlineLevel="0" collapsed="false">
      <c r="I270" s="11"/>
      <c r="J270" s="12"/>
      <c r="K270" s="12"/>
    </row>
    <row r="271" customFormat="false" ht="15" hidden="false" customHeight="false" outlineLevel="0" collapsed="false">
      <c r="I271" s="11"/>
      <c r="J271" s="12"/>
      <c r="K271" s="12"/>
    </row>
    <row r="272" customFormat="false" ht="15" hidden="false" customHeight="false" outlineLevel="0" collapsed="false">
      <c r="I272" s="11"/>
      <c r="J272" s="12"/>
      <c r="K272" s="12"/>
    </row>
    <row r="273" customFormat="false" ht="15" hidden="false" customHeight="false" outlineLevel="0" collapsed="false">
      <c r="I273" s="11"/>
      <c r="J273" s="12"/>
      <c r="K273" s="12"/>
    </row>
    <row r="274" customFormat="false" ht="15" hidden="false" customHeight="false" outlineLevel="0" collapsed="false">
      <c r="I274" s="11"/>
      <c r="J274" s="12"/>
      <c r="K274" s="12"/>
    </row>
    <row r="275" customFormat="false" ht="15" hidden="false" customHeight="false" outlineLevel="0" collapsed="false">
      <c r="I275" s="11"/>
      <c r="J275" s="12"/>
      <c r="K275" s="12"/>
    </row>
    <row r="276" customFormat="false" ht="15" hidden="false" customHeight="false" outlineLevel="0" collapsed="false">
      <c r="I276" s="11"/>
      <c r="J276" s="12"/>
      <c r="K276" s="12"/>
    </row>
    <row r="277" customFormat="false" ht="15" hidden="false" customHeight="false" outlineLevel="0" collapsed="false">
      <c r="I277" s="11"/>
      <c r="J277" s="12"/>
      <c r="K277" s="12"/>
    </row>
    <row r="278" customFormat="false" ht="15" hidden="false" customHeight="false" outlineLevel="0" collapsed="false">
      <c r="I278" s="11"/>
      <c r="J278" s="12"/>
      <c r="K278" s="12"/>
    </row>
    <row r="279" customFormat="false" ht="15" hidden="false" customHeight="false" outlineLevel="0" collapsed="false">
      <c r="I279" s="11"/>
      <c r="J279" s="12"/>
      <c r="K279" s="12"/>
    </row>
    <row r="280" customFormat="false" ht="15" hidden="false" customHeight="false" outlineLevel="0" collapsed="false">
      <c r="I280" s="11"/>
      <c r="J280" s="12"/>
      <c r="K280" s="12"/>
    </row>
    <row r="281" customFormat="false" ht="15" hidden="false" customHeight="false" outlineLevel="0" collapsed="false">
      <c r="I281" s="11"/>
      <c r="J281" s="12"/>
      <c r="K281" s="12"/>
    </row>
    <row r="282" customFormat="false" ht="15" hidden="false" customHeight="false" outlineLevel="0" collapsed="false">
      <c r="I282" s="11"/>
      <c r="J282" s="12"/>
      <c r="K282" s="12"/>
    </row>
    <row r="283" customFormat="false" ht="15" hidden="false" customHeight="false" outlineLevel="0" collapsed="false">
      <c r="I283" s="11"/>
      <c r="J283" s="12"/>
      <c r="K283" s="12"/>
    </row>
    <row r="284" customFormat="false" ht="15" hidden="false" customHeight="false" outlineLevel="0" collapsed="false">
      <c r="I284" s="11"/>
      <c r="J284" s="12"/>
      <c r="K284" s="12"/>
    </row>
    <row r="285" customFormat="false" ht="15" hidden="false" customHeight="false" outlineLevel="0" collapsed="false">
      <c r="I285" s="11"/>
      <c r="J285" s="12"/>
      <c r="K285" s="12"/>
    </row>
    <row r="286" customFormat="false" ht="15" hidden="false" customHeight="false" outlineLevel="0" collapsed="false">
      <c r="I286" s="11"/>
      <c r="J286" s="12"/>
      <c r="K286" s="12"/>
    </row>
    <row r="287" customFormat="false" ht="15" hidden="false" customHeight="false" outlineLevel="0" collapsed="false">
      <c r="I287" s="11"/>
      <c r="J287" s="12"/>
      <c r="K287" s="12"/>
    </row>
    <row r="288" customFormat="false" ht="15" hidden="false" customHeight="false" outlineLevel="0" collapsed="false">
      <c r="I288" s="11"/>
      <c r="J288" s="12"/>
      <c r="K288" s="12"/>
    </row>
    <row r="289" customFormat="false" ht="15" hidden="false" customHeight="false" outlineLevel="0" collapsed="false">
      <c r="I289" s="11"/>
      <c r="J289" s="12"/>
      <c r="K289" s="12"/>
    </row>
    <row r="290" customFormat="false" ht="15" hidden="false" customHeight="false" outlineLevel="0" collapsed="false">
      <c r="I290" s="11"/>
      <c r="J290" s="12"/>
      <c r="K290" s="12"/>
    </row>
    <row r="291" customFormat="false" ht="15" hidden="false" customHeight="false" outlineLevel="0" collapsed="false">
      <c r="I291" s="11"/>
      <c r="J291" s="12"/>
      <c r="K291" s="12"/>
    </row>
    <row r="292" customFormat="false" ht="15" hidden="false" customHeight="false" outlineLevel="0" collapsed="false">
      <c r="I292" s="11"/>
      <c r="J292" s="12"/>
      <c r="K292" s="12"/>
    </row>
    <row r="293" customFormat="false" ht="15" hidden="false" customHeight="false" outlineLevel="0" collapsed="false">
      <c r="I293" s="11"/>
      <c r="J293" s="12"/>
      <c r="K293" s="12"/>
    </row>
    <row r="294" customFormat="false" ht="15" hidden="false" customHeight="false" outlineLevel="0" collapsed="false">
      <c r="I294" s="11"/>
      <c r="J294" s="12"/>
      <c r="K294" s="12"/>
    </row>
    <row r="295" customFormat="false" ht="15" hidden="false" customHeight="false" outlineLevel="0" collapsed="false">
      <c r="I295" s="11"/>
      <c r="J295" s="12"/>
      <c r="K295" s="12"/>
    </row>
    <row r="296" customFormat="false" ht="15" hidden="false" customHeight="false" outlineLevel="0" collapsed="false">
      <c r="I296" s="11"/>
      <c r="J296" s="12"/>
      <c r="K296" s="12"/>
    </row>
    <row r="297" customFormat="false" ht="15" hidden="false" customHeight="false" outlineLevel="0" collapsed="false">
      <c r="I297" s="11"/>
      <c r="J297" s="12"/>
      <c r="K297" s="12"/>
    </row>
    <row r="298" customFormat="false" ht="15" hidden="false" customHeight="false" outlineLevel="0" collapsed="false">
      <c r="I298" s="11"/>
      <c r="J298" s="12"/>
      <c r="K298" s="12"/>
    </row>
    <row r="299" customFormat="false" ht="15" hidden="false" customHeight="false" outlineLevel="0" collapsed="false">
      <c r="I299" s="11"/>
      <c r="J299" s="12"/>
      <c r="K299" s="12"/>
    </row>
    <row r="300" customFormat="false" ht="15" hidden="false" customHeight="false" outlineLevel="0" collapsed="false">
      <c r="I300" s="11"/>
      <c r="J300" s="12"/>
      <c r="K300" s="12"/>
    </row>
    <row r="301" customFormat="false" ht="15" hidden="false" customHeight="false" outlineLevel="0" collapsed="false">
      <c r="I301" s="11"/>
      <c r="J301" s="12"/>
      <c r="K301" s="12"/>
    </row>
    <row r="302" customFormat="false" ht="15" hidden="false" customHeight="false" outlineLevel="0" collapsed="false">
      <c r="I302" s="11"/>
      <c r="J302" s="12"/>
      <c r="K302" s="12"/>
    </row>
    <row r="303" customFormat="false" ht="15" hidden="false" customHeight="false" outlineLevel="0" collapsed="false">
      <c r="I303" s="11"/>
      <c r="J303" s="12"/>
      <c r="K303" s="12"/>
    </row>
    <row r="304" customFormat="false" ht="15" hidden="false" customHeight="false" outlineLevel="0" collapsed="false">
      <c r="I304" s="11"/>
      <c r="J304" s="12"/>
      <c r="K304" s="12"/>
    </row>
    <row r="305" customFormat="false" ht="15" hidden="false" customHeight="false" outlineLevel="0" collapsed="false">
      <c r="I305" s="11"/>
      <c r="J305" s="12"/>
      <c r="K305" s="12"/>
    </row>
    <row r="306" customFormat="false" ht="15" hidden="false" customHeight="false" outlineLevel="0" collapsed="false">
      <c r="I306" s="11"/>
      <c r="J306" s="12"/>
      <c r="K306" s="12"/>
    </row>
    <row r="307" customFormat="false" ht="15" hidden="false" customHeight="false" outlineLevel="0" collapsed="false">
      <c r="I307" s="11"/>
      <c r="J307" s="12"/>
      <c r="K307" s="12"/>
    </row>
    <row r="308" customFormat="false" ht="15" hidden="false" customHeight="false" outlineLevel="0" collapsed="false">
      <c r="I308" s="11"/>
      <c r="J308" s="12"/>
      <c r="K308" s="12"/>
    </row>
    <row r="309" customFormat="false" ht="15" hidden="false" customHeight="false" outlineLevel="0" collapsed="false">
      <c r="I309" s="11"/>
      <c r="J309" s="12"/>
      <c r="K309" s="12"/>
    </row>
    <row r="310" customFormat="false" ht="15" hidden="false" customHeight="false" outlineLevel="0" collapsed="false">
      <c r="I310" s="11"/>
      <c r="J310" s="12"/>
      <c r="K310" s="12"/>
    </row>
    <row r="311" customFormat="false" ht="15" hidden="false" customHeight="false" outlineLevel="0" collapsed="false">
      <c r="I311" s="11"/>
      <c r="J311" s="12"/>
      <c r="K311" s="12"/>
    </row>
    <row r="312" customFormat="false" ht="15" hidden="false" customHeight="false" outlineLevel="0" collapsed="false">
      <c r="I312" s="11"/>
      <c r="J312" s="12"/>
      <c r="K312" s="12"/>
    </row>
    <row r="313" customFormat="false" ht="15" hidden="false" customHeight="false" outlineLevel="0" collapsed="false">
      <c r="I313" s="11"/>
      <c r="J313" s="12"/>
      <c r="K313" s="12"/>
    </row>
    <row r="314" customFormat="false" ht="15" hidden="false" customHeight="false" outlineLevel="0" collapsed="false">
      <c r="I314" s="11"/>
      <c r="J314" s="12"/>
      <c r="K314" s="12"/>
    </row>
    <row r="315" customFormat="false" ht="15" hidden="false" customHeight="false" outlineLevel="0" collapsed="false">
      <c r="I315" s="11"/>
      <c r="J315" s="12"/>
      <c r="K315" s="12"/>
    </row>
    <row r="316" customFormat="false" ht="15" hidden="false" customHeight="false" outlineLevel="0" collapsed="false">
      <c r="I316" s="11"/>
      <c r="J316" s="12"/>
      <c r="K316" s="12"/>
    </row>
    <row r="317" customFormat="false" ht="15" hidden="false" customHeight="false" outlineLevel="0" collapsed="false">
      <c r="I317" s="11"/>
      <c r="J317" s="12"/>
      <c r="K317" s="12"/>
    </row>
    <row r="318" customFormat="false" ht="15" hidden="false" customHeight="false" outlineLevel="0" collapsed="false">
      <c r="I318" s="11"/>
      <c r="J318" s="12"/>
      <c r="K318" s="12"/>
    </row>
    <row r="319" customFormat="false" ht="15" hidden="false" customHeight="false" outlineLevel="0" collapsed="false">
      <c r="I319" s="11"/>
      <c r="J319" s="12"/>
      <c r="K319" s="12"/>
    </row>
    <row r="320" customFormat="false" ht="15" hidden="false" customHeight="false" outlineLevel="0" collapsed="false">
      <c r="I320" s="11"/>
      <c r="J320" s="12"/>
      <c r="K320" s="12"/>
    </row>
    <row r="321" customFormat="false" ht="15" hidden="false" customHeight="false" outlineLevel="0" collapsed="false">
      <c r="I321" s="11"/>
      <c r="J321" s="12"/>
      <c r="K321" s="12"/>
    </row>
    <row r="322" customFormat="false" ht="15" hidden="false" customHeight="false" outlineLevel="0" collapsed="false">
      <c r="I322" s="11"/>
      <c r="J322" s="12"/>
      <c r="K322" s="12"/>
    </row>
    <row r="323" customFormat="false" ht="15" hidden="false" customHeight="false" outlineLevel="0" collapsed="false">
      <c r="I323" s="11"/>
      <c r="J323" s="12"/>
      <c r="K323" s="12"/>
    </row>
    <row r="324" customFormat="false" ht="15" hidden="false" customHeight="false" outlineLevel="0" collapsed="false">
      <c r="I324" s="11"/>
      <c r="J324" s="12"/>
      <c r="K324" s="12"/>
    </row>
    <row r="325" customFormat="false" ht="15" hidden="false" customHeight="false" outlineLevel="0" collapsed="false">
      <c r="I325" s="11"/>
      <c r="J325" s="12"/>
      <c r="K325" s="12"/>
    </row>
    <row r="326" customFormat="false" ht="15" hidden="false" customHeight="false" outlineLevel="0" collapsed="false">
      <c r="I326" s="11"/>
      <c r="J326" s="12"/>
      <c r="K326" s="12"/>
    </row>
    <row r="327" customFormat="false" ht="15" hidden="false" customHeight="false" outlineLevel="0" collapsed="false">
      <c r="I327" s="11"/>
      <c r="J327" s="12"/>
      <c r="K327" s="12"/>
    </row>
    <row r="328" customFormat="false" ht="15" hidden="false" customHeight="false" outlineLevel="0" collapsed="false">
      <c r="I328" s="11"/>
      <c r="J328" s="12"/>
      <c r="K328" s="12"/>
    </row>
    <row r="329" customFormat="false" ht="15" hidden="false" customHeight="false" outlineLevel="0" collapsed="false">
      <c r="I329" s="11"/>
      <c r="J329" s="12"/>
      <c r="K329" s="12"/>
    </row>
    <row r="330" customFormat="false" ht="15" hidden="false" customHeight="false" outlineLevel="0" collapsed="false">
      <c r="I330" s="11"/>
      <c r="J330" s="12"/>
      <c r="K330" s="12"/>
    </row>
    <row r="331" customFormat="false" ht="15" hidden="false" customHeight="false" outlineLevel="0" collapsed="false">
      <c r="I331" s="11"/>
      <c r="J331" s="12"/>
      <c r="K331" s="12"/>
    </row>
    <row r="332" customFormat="false" ht="15" hidden="false" customHeight="false" outlineLevel="0" collapsed="false">
      <c r="I332" s="11"/>
      <c r="J332" s="12"/>
      <c r="K332" s="12"/>
    </row>
    <row r="333" customFormat="false" ht="15" hidden="false" customHeight="false" outlineLevel="0" collapsed="false">
      <c r="I333" s="11"/>
      <c r="J333" s="12"/>
      <c r="K333" s="12"/>
    </row>
    <row r="334" customFormat="false" ht="15" hidden="false" customHeight="false" outlineLevel="0" collapsed="false">
      <c r="I334" s="11"/>
      <c r="J334" s="12"/>
      <c r="K334" s="12"/>
    </row>
    <row r="335" customFormat="false" ht="15" hidden="false" customHeight="false" outlineLevel="0" collapsed="false">
      <c r="I335" s="11"/>
      <c r="J335" s="12"/>
      <c r="K335" s="12"/>
    </row>
    <row r="336" customFormat="false" ht="15" hidden="false" customHeight="false" outlineLevel="0" collapsed="false">
      <c r="I336" s="11"/>
      <c r="J336" s="12"/>
      <c r="K336" s="12"/>
    </row>
    <row r="337" customFormat="false" ht="15" hidden="false" customHeight="false" outlineLevel="0" collapsed="false">
      <c r="I337" s="11"/>
      <c r="J337" s="12"/>
      <c r="K337" s="12"/>
    </row>
    <row r="338" customFormat="false" ht="15" hidden="false" customHeight="false" outlineLevel="0" collapsed="false">
      <c r="I338" s="11"/>
      <c r="J338" s="12"/>
      <c r="K338" s="12"/>
    </row>
    <row r="339" customFormat="false" ht="15" hidden="false" customHeight="false" outlineLevel="0" collapsed="false">
      <c r="I339" s="11"/>
      <c r="J339" s="12"/>
      <c r="K339" s="12"/>
    </row>
    <row r="340" customFormat="false" ht="15" hidden="false" customHeight="false" outlineLevel="0" collapsed="false">
      <c r="I340" s="11"/>
      <c r="J340" s="12"/>
      <c r="K340" s="12"/>
    </row>
    <row r="341" customFormat="false" ht="15" hidden="false" customHeight="false" outlineLevel="0" collapsed="false">
      <c r="I341" s="11"/>
      <c r="J341" s="12"/>
      <c r="K341" s="12"/>
    </row>
    <row r="342" customFormat="false" ht="15" hidden="false" customHeight="false" outlineLevel="0" collapsed="false">
      <c r="I342" s="11"/>
      <c r="J342" s="12"/>
      <c r="K342" s="12"/>
    </row>
    <row r="343" customFormat="false" ht="15" hidden="false" customHeight="false" outlineLevel="0" collapsed="false">
      <c r="I343" s="11"/>
      <c r="J343" s="12"/>
      <c r="K343" s="12"/>
    </row>
    <row r="344" customFormat="false" ht="15" hidden="false" customHeight="false" outlineLevel="0" collapsed="false">
      <c r="I344" s="11"/>
      <c r="J344" s="12"/>
      <c r="K344" s="12"/>
    </row>
    <row r="345" customFormat="false" ht="15" hidden="false" customHeight="false" outlineLevel="0" collapsed="false">
      <c r="I345" s="11"/>
      <c r="J345" s="12"/>
      <c r="K345" s="12"/>
    </row>
    <row r="346" customFormat="false" ht="15" hidden="false" customHeight="false" outlineLevel="0" collapsed="false">
      <c r="I346" s="11"/>
      <c r="J346" s="12"/>
      <c r="K346" s="12"/>
    </row>
    <row r="347" customFormat="false" ht="15" hidden="false" customHeight="false" outlineLevel="0" collapsed="false">
      <c r="I347" s="11"/>
      <c r="J347" s="12"/>
      <c r="K347" s="12"/>
    </row>
    <row r="348" customFormat="false" ht="15" hidden="false" customHeight="false" outlineLevel="0" collapsed="false">
      <c r="I348" s="11"/>
      <c r="J348" s="12"/>
      <c r="K348" s="12"/>
    </row>
    <row r="349" customFormat="false" ht="15" hidden="false" customHeight="false" outlineLevel="0" collapsed="false">
      <c r="I349" s="11"/>
      <c r="J349" s="12"/>
      <c r="K349" s="12"/>
    </row>
    <row r="350" customFormat="false" ht="15" hidden="false" customHeight="false" outlineLevel="0" collapsed="false">
      <c r="I350" s="11"/>
      <c r="J350" s="12"/>
      <c r="K350" s="12"/>
    </row>
    <row r="351" customFormat="false" ht="15" hidden="false" customHeight="false" outlineLevel="0" collapsed="false">
      <c r="I351" s="11"/>
      <c r="J351" s="12"/>
      <c r="K351" s="12"/>
    </row>
    <row r="352" customFormat="false" ht="15" hidden="false" customHeight="false" outlineLevel="0" collapsed="false">
      <c r="I352" s="11"/>
      <c r="J352" s="12"/>
      <c r="K352" s="12"/>
    </row>
    <row r="353" customFormat="false" ht="15" hidden="false" customHeight="false" outlineLevel="0" collapsed="false">
      <c r="I353" s="11"/>
      <c r="J353" s="12"/>
      <c r="K353" s="12"/>
    </row>
    <row r="354" customFormat="false" ht="15" hidden="false" customHeight="false" outlineLevel="0" collapsed="false">
      <c r="I354" s="11"/>
      <c r="J354" s="12"/>
      <c r="K354" s="12"/>
    </row>
    <row r="355" customFormat="false" ht="15" hidden="false" customHeight="false" outlineLevel="0" collapsed="false">
      <c r="I355" s="11"/>
      <c r="J355" s="12"/>
      <c r="K355" s="12"/>
    </row>
    <row r="356" customFormat="false" ht="15" hidden="false" customHeight="false" outlineLevel="0" collapsed="false">
      <c r="I356" s="11"/>
      <c r="J356" s="12"/>
      <c r="K356" s="12"/>
    </row>
    <row r="357" customFormat="false" ht="15" hidden="false" customHeight="false" outlineLevel="0" collapsed="false">
      <c r="I357" s="11"/>
      <c r="J357" s="12"/>
      <c r="K357" s="12"/>
    </row>
    <row r="358" customFormat="false" ht="15" hidden="false" customHeight="false" outlineLevel="0" collapsed="false">
      <c r="I358" s="11"/>
      <c r="J358" s="12"/>
      <c r="K358" s="12"/>
    </row>
    <row r="359" customFormat="false" ht="15" hidden="false" customHeight="false" outlineLevel="0" collapsed="false">
      <c r="I359" s="11"/>
      <c r="J359" s="12"/>
      <c r="K359" s="12"/>
    </row>
    <row r="360" customFormat="false" ht="15" hidden="false" customHeight="false" outlineLevel="0" collapsed="false">
      <c r="I360" s="11"/>
      <c r="J360" s="12"/>
      <c r="K360" s="12"/>
    </row>
    <row r="361" customFormat="false" ht="15" hidden="false" customHeight="false" outlineLevel="0" collapsed="false">
      <c r="I361" s="11"/>
      <c r="J361" s="12"/>
      <c r="K361" s="12"/>
    </row>
    <row r="362" customFormat="false" ht="15" hidden="false" customHeight="false" outlineLevel="0" collapsed="false">
      <c r="I362" s="11"/>
      <c r="J362" s="12"/>
      <c r="K362" s="12"/>
    </row>
    <row r="363" customFormat="false" ht="15" hidden="false" customHeight="false" outlineLevel="0" collapsed="false">
      <c r="I363" s="11"/>
      <c r="J363" s="12"/>
      <c r="K363" s="12"/>
    </row>
    <row r="364" customFormat="false" ht="15" hidden="false" customHeight="false" outlineLevel="0" collapsed="false">
      <c r="I364" s="11"/>
      <c r="J364" s="12"/>
      <c r="K364" s="12"/>
    </row>
    <row r="365" customFormat="false" ht="15" hidden="false" customHeight="false" outlineLevel="0" collapsed="false">
      <c r="I365" s="11"/>
      <c r="J365" s="12"/>
      <c r="K365" s="12"/>
    </row>
    <row r="366" customFormat="false" ht="15" hidden="false" customHeight="false" outlineLevel="0" collapsed="false">
      <c r="I366" s="11"/>
      <c r="J366" s="12"/>
      <c r="K366" s="12"/>
    </row>
    <row r="367" customFormat="false" ht="15" hidden="false" customHeight="false" outlineLevel="0" collapsed="false">
      <c r="I367" s="11"/>
      <c r="J367" s="12"/>
      <c r="K367" s="12"/>
    </row>
    <row r="368" customFormat="false" ht="15" hidden="false" customHeight="false" outlineLevel="0" collapsed="false">
      <c r="I368" s="11"/>
      <c r="J368" s="12"/>
      <c r="K368" s="12"/>
    </row>
    <row r="369" customFormat="false" ht="15" hidden="false" customHeight="false" outlineLevel="0" collapsed="false">
      <c r="I369" s="11"/>
      <c r="J369" s="12"/>
      <c r="K369" s="12"/>
    </row>
    <row r="370" customFormat="false" ht="15" hidden="false" customHeight="false" outlineLevel="0" collapsed="false">
      <c r="I370" s="11"/>
      <c r="J370" s="12"/>
      <c r="K370" s="12"/>
    </row>
    <row r="371" customFormat="false" ht="15" hidden="false" customHeight="false" outlineLevel="0" collapsed="false">
      <c r="I371" s="11"/>
      <c r="J371" s="12"/>
      <c r="K371" s="12"/>
    </row>
    <row r="372" customFormat="false" ht="15" hidden="false" customHeight="false" outlineLevel="0" collapsed="false">
      <c r="I372" s="11"/>
      <c r="J372" s="12"/>
      <c r="K372" s="12"/>
    </row>
    <row r="373" customFormat="false" ht="15" hidden="false" customHeight="false" outlineLevel="0" collapsed="false">
      <c r="I373" s="11"/>
      <c r="J373" s="12"/>
      <c r="K373" s="12"/>
    </row>
    <row r="374" customFormat="false" ht="15" hidden="false" customHeight="false" outlineLevel="0" collapsed="false">
      <c r="I374" s="11"/>
      <c r="J374" s="12"/>
      <c r="K374" s="12"/>
    </row>
    <row r="375" customFormat="false" ht="15" hidden="false" customHeight="false" outlineLevel="0" collapsed="false">
      <c r="I375" s="11"/>
      <c r="J375" s="12"/>
      <c r="K375" s="12"/>
    </row>
    <row r="376" customFormat="false" ht="15" hidden="false" customHeight="false" outlineLevel="0" collapsed="false">
      <c r="I376" s="11"/>
      <c r="J376" s="12"/>
      <c r="K376" s="12"/>
    </row>
    <row r="377" customFormat="false" ht="15" hidden="false" customHeight="false" outlineLevel="0" collapsed="false">
      <c r="I377" s="11"/>
      <c r="J377" s="12"/>
      <c r="K377" s="12"/>
    </row>
    <row r="378" customFormat="false" ht="15" hidden="false" customHeight="false" outlineLevel="0" collapsed="false">
      <c r="I378" s="11"/>
      <c r="J378" s="12"/>
      <c r="K378" s="12"/>
    </row>
    <row r="379" customFormat="false" ht="15" hidden="false" customHeight="false" outlineLevel="0" collapsed="false">
      <c r="I379" s="11"/>
      <c r="J379" s="12"/>
      <c r="K379" s="12"/>
    </row>
    <row r="380" customFormat="false" ht="15" hidden="false" customHeight="false" outlineLevel="0" collapsed="false">
      <c r="I380" s="11"/>
      <c r="J380" s="12"/>
      <c r="K380" s="12"/>
    </row>
    <row r="381" customFormat="false" ht="15" hidden="false" customHeight="false" outlineLevel="0" collapsed="false">
      <c r="I381" s="11"/>
      <c r="J381" s="12"/>
      <c r="K381" s="12"/>
    </row>
    <row r="382" customFormat="false" ht="15" hidden="false" customHeight="false" outlineLevel="0" collapsed="false">
      <c r="I382" s="11"/>
      <c r="J382" s="12"/>
      <c r="K382" s="12"/>
    </row>
    <row r="383" customFormat="false" ht="15" hidden="false" customHeight="false" outlineLevel="0" collapsed="false">
      <c r="I383" s="11"/>
      <c r="J383" s="12"/>
      <c r="K383" s="12"/>
    </row>
    <row r="384" customFormat="false" ht="15" hidden="false" customHeight="false" outlineLevel="0" collapsed="false">
      <c r="I384" s="11"/>
      <c r="J384" s="12"/>
      <c r="K384" s="12"/>
    </row>
    <row r="385" customFormat="false" ht="15" hidden="false" customHeight="false" outlineLevel="0" collapsed="false">
      <c r="I385" s="11"/>
      <c r="J385" s="12"/>
      <c r="K385" s="12"/>
    </row>
    <row r="386" customFormat="false" ht="15" hidden="false" customHeight="false" outlineLevel="0" collapsed="false">
      <c r="I386" s="11"/>
      <c r="J386" s="12"/>
      <c r="K386" s="12"/>
    </row>
    <row r="387" customFormat="false" ht="15" hidden="false" customHeight="false" outlineLevel="0" collapsed="false">
      <c r="I387" s="11"/>
      <c r="J387" s="12"/>
      <c r="K387" s="12"/>
    </row>
    <row r="388" customFormat="false" ht="15" hidden="false" customHeight="false" outlineLevel="0" collapsed="false">
      <c r="I388" s="11"/>
      <c r="J388" s="12"/>
      <c r="K388" s="12"/>
    </row>
    <row r="389" customFormat="false" ht="15" hidden="false" customHeight="false" outlineLevel="0" collapsed="false">
      <c r="I389" s="11"/>
      <c r="J389" s="12"/>
      <c r="K389" s="12"/>
    </row>
    <row r="390" customFormat="false" ht="15" hidden="false" customHeight="false" outlineLevel="0" collapsed="false">
      <c r="I390" s="11"/>
      <c r="J390" s="12"/>
      <c r="K390" s="12"/>
    </row>
    <row r="391" customFormat="false" ht="15" hidden="false" customHeight="false" outlineLevel="0" collapsed="false">
      <c r="I391" s="11"/>
      <c r="J391" s="12"/>
      <c r="K391" s="12"/>
    </row>
    <row r="392" customFormat="false" ht="15" hidden="false" customHeight="false" outlineLevel="0" collapsed="false">
      <c r="I392" s="11"/>
      <c r="J392" s="12"/>
      <c r="K392" s="12"/>
    </row>
    <row r="393" customFormat="false" ht="15" hidden="false" customHeight="false" outlineLevel="0" collapsed="false">
      <c r="I393" s="11"/>
      <c r="J393" s="12"/>
      <c r="K393" s="12"/>
    </row>
    <row r="394" customFormat="false" ht="15" hidden="false" customHeight="false" outlineLevel="0" collapsed="false">
      <c r="I394" s="11"/>
      <c r="J394" s="12"/>
      <c r="K394" s="12"/>
    </row>
    <row r="395" customFormat="false" ht="15" hidden="false" customHeight="false" outlineLevel="0" collapsed="false">
      <c r="I395" s="11"/>
      <c r="J395" s="12"/>
      <c r="K395" s="12"/>
    </row>
    <row r="396" customFormat="false" ht="15" hidden="false" customHeight="false" outlineLevel="0" collapsed="false">
      <c r="I396" s="11"/>
      <c r="J396" s="12"/>
      <c r="K396" s="12"/>
    </row>
    <row r="397" customFormat="false" ht="15" hidden="false" customHeight="false" outlineLevel="0" collapsed="false">
      <c r="I397" s="11"/>
      <c r="J397" s="12"/>
      <c r="K397" s="12"/>
    </row>
    <row r="398" customFormat="false" ht="15" hidden="false" customHeight="false" outlineLevel="0" collapsed="false">
      <c r="I398" s="11"/>
      <c r="J398" s="12"/>
      <c r="K398" s="12"/>
    </row>
    <row r="399" customFormat="false" ht="15" hidden="false" customHeight="false" outlineLevel="0" collapsed="false">
      <c r="I399" s="11"/>
      <c r="J399" s="12"/>
      <c r="K399" s="12"/>
    </row>
    <row r="400" customFormat="false" ht="15" hidden="false" customHeight="false" outlineLevel="0" collapsed="false">
      <c r="I400" s="11"/>
      <c r="J400" s="12"/>
      <c r="K400" s="12"/>
    </row>
    <row r="401" customFormat="false" ht="15" hidden="false" customHeight="false" outlineLevel="0" collapsed="false">
      <c r="I401" s="11"/>
      <c r="J401" s="12"/>
      <c r="K401" s="12"/>
    </row>
    <row r="402" customFormat="false" ht="15" hidden="false" customHeight="false" outlineLevel="0" collapsed="false">
      <c r="I402" s="11"/>
      <c r="J402" s="12"/>
      <c r="K402" s="12"/>
    </row>
    <row r="403" customFormat="false" ht="15" hidden="false" customHeight="false" outlineLevel="0" collapsed="false">
      <c r="I403" s="11"/>
      <c r="J403" s="12"/>
      <c r="K403" s="12"/>
    </row>
    <row r="404" customFormat="false" ht="15" hidden="false" customHeight="false" outlineLevel="0" collapsed="false">
      <c r="I404" s="11"/>
      <c r="J404" s="12"/>
      <c r="K404" s="12"/>
    </row>
    <row r="405" customFormat="false" ht="15" hidden="false" customHeight="false" outlineLevel="0" collapsed="false">
      <c r="I405" s="11"/>
      <c r="J405" s="12"/>
      <c r="K405" s="12"/>
    </row>
    <row r="406" customFormat="false" ht="15" hidden="false" customHeight="false" outlineLevel="0" collapsed="false">
      <c r="I406" s="11"/>
      <c r="J406" s="12"/>
      <c r="K406" s="12"/>
    </row>
    <row r="407" customFormat="false" ht="15" hidden="false" customHeight="false" outlineLevel="0" collapsed="false">
      <c r="I407" s="11"/>
      <c r="J407" s="12"/>
      <c r="K407" s="12"/>
    </row>
    <row r="408" customFormat="false" ht="15" hidden="false" customHeight="false" outlineLevel="0" collapsed="false">
      <c r="I408" s="11"/>
      <c r="J408" s="12"/>
      <c r="K408" s="12"/>
    </row>
    <row r="409" customFormat="false" ht="15" hidden="false" customHeight="false" outlineLevel="0" collapsed="false">
      <c r="I409" s="11"/>
      <c r="J409" s="12"/>
      <c r="K409" s="12"/>
    </row>
    <row r="410" customFormat="false" ht="15" hidden="false" customHeight="false" outlineLevel="0" collapsed="false">
      <c r="I410" s="11"/>
      <c r="J410" s="12"/>
      <c r="K410" s="12"/>
    </row>
    <row r="411" customFormat="false" ht="15" hidden="false" customHeight="false" outlineLevel="0" collapsed="false">
      <c r="I411" s="11"/>
      <c r="J411" s="12"/>
      <c r="K411" s="12"/>
    </row>
    <row r="412" customFormat="false" ht="15" hidden="false" customHeight="false" outlineLevel="0" collapsed="false">
      <c r="I412" s="11"/>
      <c r="J412" s="12"/>
      <c r="K412" s="12"/>
    </row>
    <row r="413" customFormat="false" ht="15" hidden="false" customHeight="false" outlineLevel="0" collapsed="false">
      <c r="I413" s="11"/>
      <c r="J413" s="12"/>
      <c r="K413" s="12"/>
    </row>
    <row r="414" customFormat="false" ht="15" hidden="false" customHeight="false" outlineLevel="0" collapsed="false">
      <c r="I414" s="11"/>
      <c r="J414" s="12"/>
      <c r="K414" s="12"/>
    </row>
    <row r="415" customFormat="false" ht="15" hidden="false" customHeight="false" outlineLevel="0" collapsed="false">
      <c r="I415" s="11"/>
      <c r="J415" s="12"/>
      <c r="K415" s="12"/>
    </row>
    <row r="416" customFormat="false" ht="15" hidden="false" customHeight="false" outlineLevel="0" collapsed="false">
      <c r="I416" s="11"/>
      <c r="J416" s="12"/>
      <c r="K416" s="12"/>
    </row>
    <row r="417" customFormat="false" ht="15" hidden="false" customHeight="false" outlineLevel="0" collapsed="false">
      <c r="I417" s="11"/>
      <c r="J417" s="12"/>
      <c r="K417" s="12"/>
    </row>
    <row r="418" customFormat="false" ht="15" hidden="false" customHeight="false" outlineLevel="0" collapsed="false">
      <c r="I418" s="11"/>
      <c r="J418" s="12"/>
      <c r="K418" s="12"/>
    </row>
    <row r="419" customFormat="false" ht="15" hidden="false" customHeight="false" outlineLevel="0" collapsed="false">
      <c r="I419" s="11"/>
      <c r="J419" s="12"/>
      <c r="K419" s="12"/>
    </row>
    <row r="420" customFormat="false" ht="15" hidden="false" customHeight="false" outlineLevel="0" collapsed="false">
      <c r="I420" s="11"/>
      <c r="J420" s="12"/>
      <c r="K420" s="12"/>
    </row>
    <row r="421" customFormat="false" ht="15" hidden="false" customHeight="false" outlineLevel="0" collapsed="false">
      <c r="I421" s="11"/>
      <c r="J421" s="12"/>
      <c r="K421" s="12"/>
    </row>
    <row r="422" customFormat="false" ht="15" hidden="false" customHeight="false" outlineLevel="0" collapsed="false">
      <c r="I422" s="11"/>
      <c r="J422" s="12"/>
      <c r="K422" s="12"/>
    </row>
    <row r="423" customFormat="false" ht="15" hidden="false" customHeight="false" outlineLevel="0" collapsed="false">
      <c r="I423" s="11"/>
      <c r="J423" s="12"/>
      <c r="K423" s="12"/>
    </row>
    <row r="424" customFormat="false" ht="15" hidden="false" customHeight="false" outlineLevel="0" collapsed="false">
      <c r="I424" s="11"/>
      <c r="J424" s="12"/>
      <c r="K424" s="12"/>
    </row>
    <row r="425" customFormat="false" ht="15" hidden="false" customHeight="false" outlineLevel="0" collapsed="false">
      <c r="I425" s="11"/>
      <c r="J425" s="12"/>
      <c r="K425" s="12"/>
    </row>
    <row r="426" customFormat="false" ht="15" hidden="false" customHeight="false" outlineLevel="0" collapsed="false">
      <c r="I426" s="11"/>
      <c r="J426" s="12"/>
      <c r="K426" s="12"/>
    </row>
    <row r="427" customFormat="false" ht="15" hidden="false" customHeight="false" outlineLevel="0" collapsed="false">
      <c r="I427" s="11"/>
      <c r="J427" s="12"/>
      <c r="K427" s="12"/>
    </row>
    <row r="428" customFormat="false" ht="15" hidden="false" customHeight="false" outlineLevel="0" collapsed="false">
      <c r="I428" s="11"/>
      <c r="J428" s="12"/>
      <c r="K428" s="12"/>
    </row>
    <row r="429" customFormat="false" ht="15" hidden="false" customHeight="false" outlineLevel="0" collapsed="false">
      <c r="I429" s="11"/>
      <c r="J429" s="12"/>
      <c r="K429" s="12"/>
    </row>
    <row r="430" customFormat="false" ht="15" hidden="false" customHeight="false" outlineLevel="0" collapsed="false">
      <c r="I430" s="11"/>
      <c r="J430" s="12"/>
      <c r="K430" s="12"/>
    </row>
    <row r="431" customFormat="false" ht="15" hidden="false" customHeight="false" outlineLevel="0" collapsed="false">
      <c r="I431" s="11"/>
      <c r="J431" s="12"/>
      <c r="K431" s="12"/>
    </row>
    <row r="432" customFormat="false" ht="15" hidden="false" customHeight="false" outlineLevel="0" collapsed="false">
      <c r="I432" s="11"/>
      <c r="J432" s="12"/>
      <c r="K432" s="12"/>
    </row>
    <row r="433" customFormat="false" ht="15" hidden="false" customHeight="false" outlineLevel="0" collapsed="false">
      <c r="I433" s="11"/>
      <c r="J433" s="12"/>
      <c r="K433" s="12"/>
    </row>
    <row r="434" customFormat="false" ht="15" hidden="false" customHeight="false" outlineLevel="0" collapsed="false">
      <c r="I434" s="11"/>
      <c r="J434" s="12"/>
      <c r="K434" s="12"/>
    </row>
    <row r="435" customFormat="false" ht="15" hidden="false" customHeight="false" outlineLevel="0" collapsed="false">
      <c r="I435" s="11"/>
      <c r="J435" s="12"/>
      <c r="K435" s="12"/>
    </row>
    <row r="436" customFormat="false" ht="15" hidden="false" customHeight="false" outlineLevel="0" collapsed="false">
      <c r="I436" s="11"/>
      <c r="J436" s="12"/>
      <c r="K436" s="12"/>
    </row>
    <row r="437" customFormat="false" ht="15" hidden="false" customHeight="false" outlineLevel="0" collapsed="false">
      <c r="I437" s="11"/>
      <c r="J437" s="12"/>
      <c r="K437" s="12"/>
    </row>
    <row r="438" customFormat="false" ht="15" hidden="false" customHeight="false" outlineLevel="0" collapsed="false">
      <c r="I438" s="11"/>
      <c r="J438" s="12"/>
      <c r="K438" s="12"/>
    </row>
    <row r="439" customFormat="false" ht="15" hidden="false" customHeight="false" outlineLevel="0" collapsed="false">
      <c r="I439" s="11"/>
      <c r="J439" s="12"/>
      <c r="K439" s="12"/>
    </row>
    <row r="440" customFormat="false" ht="15" hidden="false" customHeight="false" outlineLevel="0" collapsed="false">
      <c r="I440" s="11"/>
      <c r="J440" s="12"/>
      <c r="K440" s="12"/>
    </row>
    <row r="441" customFormat="false" ht="15" hidden="false" customHeight="false" outlineLevel="0" collapsed="false">
      <c r="I441" s="11"/>
      <c r="J441" s="12"/>
      <c r="K441" s="12"/>
    </row>
    <row r="442" customFormat="false" ht="15" hidden="false" customHeight="false" outlineLevel="0" collapsed="false">
      <c r="I442" s="11"/>
      <c r="J442" s="12"/>
      <c r="K442" s="12"/>
    </row>
    <row r="443" customFormat="false" ht="15" hidden="false" customHeight="false" outlineLevel="0" collapsed="false">
      <c r="I443" s="11"/>
      <c r="J443" s="12"/>
      <c r="K443" s="12"/>
    </row>
    <row r="444" customFormat="false" ht="15" hidden="false" customHeight="false" outlineLevel="0" collapsed="false">
      <c r="I444" s="11"/>
      <c r="J444" s="12"/>
      <c r="K444" s="12"/>
    </row>
    <row r="445" customFormat="false" ht="15" hidden="false" customHeight="false" outlineLevel="0" collapsed="false">
      <c r="I445" s="11"/>
      <c r="J445" s="12"/>
      <c r="K445" s="12"/>
    </row>
    <row r="446" customFormat="false" ht="15" hidden="false" customHeight="false" outlineLevel="0" collapsed="false">
      <c r="I446" s="11"/>
      <c r="J446" s="12"/>
      <c r="K446" s="12"/>
    </row>
    <row r="447" customFormat="false" ht="15" hidden="false" customHeight="false" outlineLevel="0" collapsed="false">
      <c r="I447" s="11"/>
      <c r="J447" s="12"/>
      <c r="K447" s="12"/>
    </row>
    <row r="448" customFormat="false" ht="15" hidden="false" customHeight="false" outlineLevel="0" collapsed="false">
      <c r="I448" s="11"/>
      <c r="J448" s="12"/>
      <c r="K448" s="12"/>
    </row>
    <row r="449" customFormat="false" ht="15" hidden="false" customHeight="false" outlineLevel="0" collapsed="false">
      <c r="I449" s="11"/>
      <c r="J449" s="12"/>
      <c r="K449" s="12"/>
    </row>
    <row r="450" customFormat="false" ht="15" hidden="false" customHeight="false" outlineLevel="0" collapsed="false">
      <c r="I450" s="11"/>
      <c r="J450" s="12"/>
      <c r="K450" s="12"/>
    </row>
    <row r="451" customFormat="false" ht="15" hidden="false" customHeight="false" outlineLevel="0" collapsed="false">
      <c r="I451" s="11"/>
      <c r="J451" s="12"/>
      <c r="K451" s="12"/>
    </row>
    <row r="452" customFormat="false" ht="15" hidden="false" customHeight="false" outlineLevel="0" collapsed="false">
      <c r="I452" s="11"/>
      <c r="J452" s="12"/>
      <c r="K452" s="12"/>
    </row>
    <row r="453" customFormat="false" ht="15" hidden="false" customHeight="false" outlineLevel="0" collapsed="false">
      <c r="I453" s="11"/>
      <c r="J453" s="12"/>
      <c r="K453" s="12"/>
    </row>
    <row r="454" customFormat="false" ht="15" hidden="false" customHeight="false" outlineLevel="0" collapsed="false">
      <c r="I454" s="11"/>
      <c r="J454" s="12"/>
      <c r="K454" s="12"/>
    </row>
    <row r="455" customFormat="false" ht="15" hidden="false" customHeight="false" outlineLevel="0" collapsed="false">
      <c r="I455" s="11"/>
      <c r="J455" s="12"/>
      <c r="K455" s="12"/>
    </row>
    <row r="456" customFormat="false" ht="15" hidden="false" customHeight="false" outlineLevel="0" collapsed="false">
      <c r="I456" s="11"/>
      <c r="J456" s="12"/>
      <c r="K456" s="12"/>
    </row>
    <row r="457" customFormat="false" ht="15" hidden="false" customHeight="false" outlineLevel="0" collapsed="false">
      <c r="I457" s="11"/>
      <c r="J457" s="12"/>
      <c r="K457" s="12"/>
    </row>
    <row r="458" customFormat="false" ht="15" hidden="false" customHeight="false" outlineLevel="0" collapsed="false">
      <c r="I458" s="11"/>
      <c r="J458" s="12"/>
      <c r="K458" s="12"/>
    </row>
    <row r="459" customFormat="false" ht="15" hidden="false" customHeight="false" outlineLevel="0" collapsed="false">
      <c r="I459" s="11"/>
      <c r="J459" s="12"/>
      <c r="K459" s="12"/>
    </row>
    <row r="460" customFormat="false" ht="15" hidden="false" customHeight="false" outlineLevel="0" collapsed="false">
      <c r="I460" s="11"/>
      <c r="J460" s="12"/>
      <c r="K460" s="12"/>
    </row>
    <row r="461" customFormat="false" ht="15" hidden="false" customHeight="false" outlineLevel="0" collapsed="false">
      <c r="I461" s="11"/>
      <c r="J461" s="12"/>
      <c r="K461" s="12"/>
    </row>
    <row r="462" customFormat="false" ht="15" hidden="false" customHeight="false" outlineLevel="0" collapsed="false">
      <c r="I462" s="11"/>
      <c r="J462" s="12"/>
      <c r="K462" s="12"/>
    </row>
    <row r="463" customFormat="false" ht="15" hidden="false" customHeight="false" outlineLevel="0" collapsed="false">
      <c r="I463" s="11"/>
      <c r="J463" s="12"/>
      <c r="K463" s="12"/>
    </row>
    <row r="464" customFormat="false" ht="15" hidden="false" customHeight="false" outlineLevel="0" collapsed="false">
      <c r="I464" s="11"/>
      <c r="J464" s="12"/>
      <c r="K464" s="12"/>
    </row>
    <row r="465" customFormat="false" ht="15" hidden="false" customHeight="false" outlineLevel="0" collapsed="false">
      <c r="I465" s="11"/>
      <c r="J465" s="12"/>
      <c r="K465" s="12"/>
    </row>
    <row r="466" customFormat="false" ht="15" hidden="false" customHeight="false" outlineLevel="0" collapsed="false">
      <c r="I466" s="11"/>
      <c r="J466" s="12"/>
      <c r="K466" s="12"/>
    </row>
    <row r="467" customFormat="false" ht="15" hidden="false" customHeight="false" outlineLevel="0" collapsed="false">
      <c r="I467" s="11"/>
      <c r="J467" s="12"/>
      <c r="K467" s="12"/>
    </row>
    <row r="468" customFormat="false" ht="15" hidden="false" customHeight="false" outlineLevel="0" collapsed="false">
      <c r="I468" s="11"/>
      <c r="J468" s="12"/>
      <c r="K468" s="12"/>
    </row>
    <row r="469" customFormat="false" ht="15" hidden="false" customHeight="false" outlineLevel="0" collapsed="false">
      <c r="I469" s="11"/>
      <c r="J469" s="12"/>
      <c r="K469" s="12"/>
    </row>
    <row r="470" customFormat="false" ht="15" hidden="false" customHeight="false" outlineLevel="0" collapsed="false">
      <c r="I470" s="11"/>
      <c r="J470" s="12"/>
      <c r="K470" s="12"/>
    </row>
    <row r="471" customFormat="false" ht="15" hidden="false" customHeight="false" outlineLevel="0" collapsed="false">
      <c r="I471" s="11"/>
      <c r="J471" s="12"/>
      <c r="K471" s="12"/>
    </row>
    <row r="472" customFormat="false" ht="15" hidden="false" customHeight="false" outlineLevel="0" collapsed="false">
      <c r="I472" s="11"/>
      <c r="J472" s="12"/>
      <c r="K472" s="12"/>
    </row>
    <row r="473" customFormat="false" ht="15" hidden="false" customHeight="false" outlineLevel="0" collapsed="false">
      <c r="I473" s="11"/>
      <c r="J473" s="12"/>
      <c r="K473" s="12"/>
    </row>
    <row r="474" customFormat="false" ht="15" hidden="false" customHeight="false" outlineLevel="0" collapsed="false">
      <c r="I474" s="11"/>
      <c r="J474" s="12"/>
      <c r="K474" s="12"/>
    </row>
    <row r="475" customFormat="false" ht="15" hidden="false" customHeight="false" outlineLevel="0" collapsed="false">
      <c r="I475" s="11"/>
      <c r="J475" s="12"/>
      <c r="K475" s="12"/>
    </row>
    <row r="476" customFormat="false" ht="15" hidden="false" customHeight="false" outlineLevel="0" collapsed="false">
      <c r="I476" s="11"/>
      <c r="J476" s="12"/>
      <c r="K476" s="12"/>
    </row>
    <row r="477" customFormat="false" ht="15" hidden="false" customHeight="false" outlineLevel="0" collapsed="false">
      <c r="I477" s="11"/>
      <c r="J477" s="12"/>
      <c r="K477" s="12"/>
    </row>
    <row r="478" customFormat="false" ht="15" hidden="false" customHeight="false" outlineLevel="0" collapsed="false">
      <c r="I478" s="11"/>
      <c r="J478" s="12"/>
      <c r="K478" s="12"/>
    </row>
    <row r="479" customFormat="false" ht="15" hidden="false" customHeight="false" outlineLevel="0" collapsed="false">
      <c r="I479" s="11"/>
      <c r="J479" s="12"/>
      <c r="K479" s="12"/>
    </row>
    <row r="480" customFormat="false" ht="15" hidden="false" customHeight="false" outlineLevel="0" collapsed="false">
      <c r="I480" s="11"/>
      <c r="J480" s="12"/>
      <c r="K480" s="12"/>
    </row>
    <row r="481" customFormat="false" ht="15" hidden="false" customHeight="false" outlineLevel="0" collapsed="false">
      <c r="I481" s="11"/>
      <c r="J481" s="12"/>
      <c r="K481" s="12"/>
    </row>
    <row r="482" customFormat="false" ht="15" hidden="false" customHeight="false" outlineLevel="0" collapsed="false">
      <c r="I482" s="11"/>
      <c r="J482" s="12"/>
      <c r="K482" s="12"/>
    </row>
    <row r="483" customFormat="false" ht="15" hidden="false" customHeight="false" outlineLevel="0" collapsed="false">
      <c r="I483" s="11"/>
      <c r="J483" s="12"/>
      <c r="K483" s="12"/>
    </row>
    <row r="484" customFormat="false" ht="15" hidden="false" customHeight="false" outlineLevel="0" collapsed="false">
      <c r="I484" s="11"/>
      <c r="J484" s="12"/>
      <c r="K484" s="12"/>
    </row>
    <row r="485" customFormat="false" ht="15" hidden="false" customHeight="false" outlineLevel="0" collapsed="false">
      <c r="I485" s="11"/>
      <c r="J485" s="12"/>
      <c r="K485" s="12"/>
    </row>
    <row r="486" customFormat="false" ht="15" hidden="false" customHeight="false" outlineLevel="0" collapsed="false">
      <c r="I486" s="11"/>
      <c r="J486" s="12"/>
      <c r="K486" s="12"/>
    </row>
    <row r="487" customFormat="false" ht="15" hidden="false" customHeight="false" outlineLevel="0" collapsed="false">
      <c r="I487" s="11"/>
      <c r="J487" s="12"/>
      <c r="K487" s="12"/>
    </row>
    <row r="488" customFormat="false" ht="15" hidden="false" customHeight="false" outlineLevel="0" collapsed="false">
      <c r="I488" s="11"/>
      <c r="J488" s="12"/>
      <c r="K488" s="12"/>
    </row>
    <row r="489" customFormat="false" ht="15" hidden="false" customHeight="false" outlineLevel="0" collapsed="false">
      <c r="I489" s="11"/>
      <c r="J489" s="12"/>
      <c r="K489" s="12"/>
    </row>
    <row r="490" customFormat="false" ht="15" hidden="false" customHeight="false" outlineLevel="0" collapsed="false">
      <c r="I490" s="11"/>
      <c r="J490" s="12"/>
      <c r="K490" s="12"/>
    </row>
    <row r="491" customFormat="false" ht="15" hidden="false" customHeight="false" outlineLevel="0" collapsed="false">
      <c r="I491" s="11"/>
      <c r="J491" s="12"/>
      <c r="K491" s="12"/>
    </row>
    <row r="492" customFormat="false" ht="15" hidden="false" customHeight="false" outlineLevel="0" collapsed="false">
      <c r="I492" s="11"/>
      <c r="J492" s="12"/>
      <c r="K492" s="12"/>
    </row>
    <row r="493" customFormat="false" ht="15" hidden="false" customHeight="false" outlineLevel="0" collapsed="false">
      <c r="I493" s="11"/>
      <c r="J493" s="12"/>
      <c r="K493" s="12"/>
    </row>
    <row r="494" customFormat="false" ht="15" hidden="false" customHeight="false" outlineLevel="0" collapsed="false">
      <c r="I494" s="11"/>
      <c r="J494" s="12"/>
      <c r="K494" s="12"/>
    </row>
    <row r="495" customFormat="false" ht="15" hidden="false" customHeight="false" outlineLevel="0" collapsed="false">
      <c r="I495" s="11"/>
      <c r="J495" s="12"/>
      <c r="K495" s="12"/>
    </row>
    <row r="496" customFormat="false" ht="15" hidden="false" customHeight="false" outlineLevel="0" collapsed="false">
      <c r="I496" s="11"/>
      <c r="J496" s="12"/>
      <c r="K496" s="12"/>
    </row>
    <row r="497" customFormat="false" ht="15" hidden="false" customHeight="false" outlineLevel="0" collapsed="false">
      <c r="I497" s="11"/>
      <c r="J497" s="12"/>
      <c r="K497" s="12"/>
    </row>
    <row r="498" customFormat="false" ht="15" hidden="false" customHeight="false" outlineLevel="0" collapsed="false">
      <c r="I498" s="11"/>
      <c r="J498" s="12"/>
      <c r="K498" s="12"/>
    </row>
    <row r="499" customFormat="false" ht="15" hidden="false" customHeight="false" outlineLevel="0" collapsed="false">
      <c r="I499" s="11"/>
      <c r="J499" s="12"/>
      <c r="K499" s="12"/>
    </row>
    <row r="500" customFormat="false" ht="15" hidden="false" customHeight="false" outlineLevel="0" collapsed="false">
      <c r="I500" s="11"/>
      <c r="J500" s="12"/>
      <c r="K500" s="12"/>
    </row>
    <row r="501" customFormat="false" ht="15" hidden="false" customHeight="false" outlineLevel="0" collapsed="false">
      <c r="I501" s="11"/>
      <c r="J501" s="12"/>
      <c r="K501" s="12"/>
    </row>
    <row r="502" customFormat="false" ht="15" hidden="false" customHeight="false" outlineLevel="0" collapsed="false">
      <c r="I502" s="11"/>
      <c r="J502" s="12"/>
      <c r="K502" s="12"/>
    </row>
    <row r="503" customFormat="false" ht="15" hidden="false" customHeight="false" outlineLevel="0" collapsed="false">
      <c r="I503" s="11"/>
      <c r="J503" s="12"/>
      <c r="K503" s="12"/>
    </row>
    <row r="504" customFormat="false" ht="15" hidden="false" customHeight="false" outlineLevel="0" collapsed="false">
      <c r="I504" s="11"/>
      <c r="J504" s="12"/>
      <c r="K504" s="12"/>
    </row>
    <row r="505" customFormat="false" ht="15" hidden="false" customHeight="false" outlineLevel="0" collapsed="false">
      <c r="I505" s="11"/>
      <c r="J505" s="12"/>
      <c r="K505" s="12"/>
    </row>
    <row r="506" customFormat="false" ht="15" hidden="false" customHeight="false" outlineLevel="0" collapsed="false">
      <c r="I506" s="11"/>
      <c r="J506" s="12"/>
      <c r="K506" s="12"/>
    </row>
    <row r="507" customFormat="false" ht="15" hidden="false" customHeight="false" outlineLevel="0" collapsed="false">
      <c r="I507" s="11"/>
      <c r="J507" s="12"/>
      <c r="K507" s="12"/>
    </row>
    <row r="508" customFormat="false" ht="15" hidden="false" customHeight="false" outlineLevel="0" collapsed="false">
      <c r="I508" s="11"/>
      <c r="J508" s="12"/>
      <c r="K508" s="12"/>
    </row>
    <row r="509" customFormat="false" ht="15" hidden="false" customHeight="false" outlineLevel="0" collapsed="false">
      <c r="I509" s="11"/>
      <c r="J509" s="12"/>
      <c r="K509" s="12"/>
    </row>
    <row r="510" customFormat="false" ht="15" hidden="false" customHeight="false" outlineLevel="0" collapsed="false">
      <c r="I510" s="11"/>
      <c r="J510" s="12"/>
      <c r="K510" s="12"/>
    </row>
    <row r="511" customFormat="false" ht="15" hidden="false" customHeight="false" outlineLevel="0" collapsed="false">
      <c r="I511" s="11"/>
      <c r="J511" s="12"/>
      <c r="K511" s="12"/>
    </row>
    <row r="512" customFormat="false" ht="15" hidden="false" customHeight="false" outlineLevel="0" collapsed="false">
      <c r="I512" s="11"/>
      <c r="J512" s="12"/>
      <c r="K512" s="12"/>
    </row>
    <row r="513" customFormat="false" ht="15" hidden="false" customHeight="false" outlineLevel="0" collapsed="false">
      <c r="I513" s="11"/>
      <c r="J513" s="12"/>
      <c r="K513" s="12"/>
    </row>
    <row r="514" customFormat="false" ht="15" hidden="false" customHeight="false" outlineLevel="0" collapsed="false">
      <c r="I514" s="11"/>
      <c r="J514" s="12"/>
      <c r="K514" s="12"/>
    </row>
    <row r="515" customFormat="false" ht="15" hidden="false" customHeight="false" outlineLevel="0" collapsed="false">
      <c r="I515" s="11"/>
      <c r="J515" s="12"/>
      <c r="K515" s="12"/>
    </row>
    <row r="516" customFormat="false" ht="15" hidden="false" customHeight="false" outlineLevel="0" collapsed="false">
      <c r="I516" s="11"/>
      <c r="J516" s="12"/>
      <c r="K516" s="12"/>
    </row>
    <row r="517" customFormat="false" ht="15" hidden="false" customHeight="false" outlineLevel="0" collapsed="false">
      <c r="I517" s="11"/>
      <c r="J517" s="12"/>
      <c r="K517" s="12"/>
    </row>
    <row r="518" customFormat="false" ht="15" hidden="false" customHeight="false" outlineLevel="0" collapsed="false">
      <c r="I518" s="11"/>
      <c r="J518" s="12"/>
      <c r="K518" s="12"/>
    </row>
    <row r="519" customFormat="false" ht="15" hidden="false" customHeight="false" outlineLevel="0" collapsed="false">
      <c r="I519" s="11"/>
      <c r="J519" s="12"/>
      <c r="K519" s="12"/>
    </row>
    <row r="520" customFormat="false" ht="15" hidden="false" customHeight="false" outlineLevel="0" collapsed="false">
      <c r="I520" s="11"/>
      <c r="J520" s="12"/>
      <c r="K520" s="12"/>
    </row>
    <row r="521" customFormat="false" ht="15" hidden="false" customHeight="false" outlineLevel="0" collapsed="false">
      <c r="I521" s="11"/>
      <c r="J521" s="12"/>
      <c r="K521" s="12"/>
    </row>
    <row r="522" customFormat="false" ht="15" hidden="false" customHeight="false" outlineLevel="0" collapsed="false">
      <c r="I522" s="11"/>
      <c r="J522" s="12"/>
      <c r="K522" s="12"/>
    </row>
    <row r="523" customFormat="false" ht="15" hidden="false" customHeight="false" outlineLevel="0" collapsed="false">
      <c r="I523" s="11"/>
      <c r="J523" s="12"/>
      <c r="K523" s="12"/>
    </row>
    <row r="524" customFormat="false" ht="15" hidden="false" customHeight="false" outlineLevel="0" collapsed="false">
      <c r="I524" s="11"/>
      <c r="J524" s="12"/>
      <c r="K524" s="12"/>
    </row>
    <row r="525" customFormat="false" ht="15" hidden="false" customHeight="false" outlineLevel="0" collapsed="false">
      <c r="I525" s="11"/>
      <c r="J525" s="12"/>
      <c r="K525" s="12"/>
    </row>
    <row r="526" customFormat="false" ht="15" hidden="false" customHeight="false" outlineLevel="0" collapsed="false">
      <c r="I526" s="11"/>
      <c r="J526" s="12"/>
      <c r="K526" s="12"/>
    </row>
    <row r="527" customFormat="false" ht="15" hidden="false" customHeight="false" outlineLevel="0" collapsed="false">
      <c r="I527" s="11"/>
      <c r="J527" s="12"/>
      <c r="K527" s="12"/>
    </row>
    <row r="528" customFormat="false" ht="15" hidden="false" customHeight="false" outlineLevel="0" collapsed="false">
      <c r="I528" s="11"/>
      <c r="J528" s="12"/>
      <c r="K528" s="12"/>
    </row>
    <row r="529" customFormat="false" ht="15" hidden="false" customHeight="false" outlineLevel="0" collapsed="false">
      <c r="I529" s="11"/>
      <c r="J529" s="12"/>
      <c r="K529" s="12"/>
    </row>
    <row r="530" customFormat="false" ht="15" hidden="false" customHeight="false" outlineLevel="0" collapsed="false">
      <c r="I530" s="11"/>
      <c r="J530" s="12"/>
      <c r="K530" s="12"/>
    </row>
    <row r="531" customFormat="false" ht="15" hidden="false" customHeight="false" outlineLevel="0" collapsed="false">
      <c r="I531" s="11"/>
      <c r="J531" s="12"/>
      <c r="K531" s="12"/>
    </row>
    <row r="532" customFormat="false" ht="15" hidden="false" customHeight="false" outlineLevel="0" collapsed="false">
      <c r="I532" s="11"/>
      <c r="J532" s="12"/>
      <c r="K532" s="12"/>
    </row>
    <row r="533" customFormat="false" ht="15" hidden="false" customHeight="false" outlineLevel="0" collapsed="false">
      <c r="I533" s="11"/>
      <c r="J533" s="12"/>
      <c r="K533" s="12"/>
    </row>
    <row r="534" customFormat="false" ht="15" hidden="false" customHeight="false" outlineLevel="0" collapsed="false">
      <c r="I534" s="11"/>
      <c r="J534" s="12"/>
      <c r="K534" s="12"/>
    </row>
    <row r="535" customFormat="false" ht="15" hidden="false" customHeight="false" outlineLevel="0" collapsed="false">
      <c r="I535" s="11"/>
      <c r="J535" s="12"/>
      <c r="K535" s="12"/>
    </row>
    <row r="536" customFormat="false" ht="15" hidden="false" customHeight="false" outlineLevel="0" collapsed="false">
      <c r="I536" s="11"/>
      <c r="J536" s="12"/>
      <c r="K536" s="12"/>
    </row>
    <row r="537" customFormat="false" ht="15" hidden="false" customHeight="false" outlineLevel="0" collapsed="false">
      <c r="I537" s="11"/>
      <c r="J537" s="12"/>
      <c r="K537" s="12"/>
    </row>
    <row r="538" customFormat="false" ht="15" hidden="false" customHeight="false" outlineLevel="0" collapsed="false">
      <c r="I538" s="11"/>
      <c r="J538" s="12"/>
      <c r="K538" s="12"/>
    </row>
    <row r="539" customFormat="false" ht="15" hidden="false" customHeight="false" outlineLevel="0" collapsed="false">
      <c r="I539" s="11"/>
      <c r="J539" s="12"/>
      <c r="K539" s="12"/>
    </row>
    <row r="540" customFormat="false" ht="15" hidden="false" customHeight="false" outlineLevel="0" collapsed="false">
      <c r="I540" s="11"/>
      <c r="J540" s="12"/>
      <c r="K540" s="12"/>
    </row>
    <row r="541" customFormat="false" ht="15" hidden="false" customHeight="false" outlineLevel="0" collapsed="false">
      <c r="I541" s="11"/>
      <c r="J541" s="12"/>
      <c r="K541" s="12"/>
    </row>
    <row r="542" customFormat="false" ht="15" hidden="false" customHeight="false" outlineLevel="0" collapsed="false">
      <c r="I542" s="11"/>
      <c r="J542" s="12"/>
      <c r="K542" s="12"/>
    </row>
    <row r="543" customFormat="false" ht="15" hidden="false" customHeight="false" outlineLevel="0" collapsed="false">
      <c r="I543" s="11"/>
      <c r="J543" s="12"/>
      <c r="K543" s="12"/>
    </row>
    <row r="544" customFormat="false" ht="15" hidden="false" customHeight="false" outlineLevel="0" collapsed="false">
      <c r="I544" s="11"/>
      <c r="J544" s="12"/>
      <c r="K544" s="12"/>
    </row>
    <row r="545" customFormat="false" ht="15" hidden="false" customHeight="false" outlineLevel="0" collapsed="false">
      <c r="I545" s="11"/>
      <c r="J545" s="12"/>
      <c r="K545" s="12"/>
    </row>
    <row r="546" customFormat="false" ht="15" hidden="false" customHeight="false" outlineLevel="0" collapsed="false">
      <c r="I546" s="11"/>
      <c r="J546" s="12"/>
      <c r="K546" s="12"/>
    </row>
    <row r="547" customFormat="false" ht="15" hidden="false" customHeight="false" outlineLevel="0" collapsed="false">
      <c r="I547" s="11"/>
      <c r="J547" s="12"/>
      <c r="K547" s="12"/>
    </row>
    <row r="548" customFormat="false" ht="15" hidden="false" customHeight="false" outlineLevel="0" collapsed="false">
      <c r="I548" s="11"/>
      <c r="J548" s="12"/>
      <c r="K548" s="12"/>
    </row>
    <row r="549" customFormat="false" ht="15" hidden="false" customHeight="false" outlineLevel="0" collapsed="false">
      <c r="I549" s="11"/>
      <c r="J549" s="12"/>
      <c r="K549" s="12"/>
    </row>
    <row r="550" customFormat="false" ht="15" hidden="false" customHeight="false" outlineLevel="0" collapsed="false">
      <c r="I550" s="11"/>
      <c r="J550" s="12"/>
      <c r="K550" s="12"/>
    </row>
    <row r="551" customFormat="false" ht="15" hidden="false" customHeight="false" outlineLevel="0" collapsed="false">
      <c r="I551" s="11"/>
      <c r="J551" s="12"/>
      <c r="K551" s="12"/>
    </row>
    <row r="552" customFormat="false" ht="15" hidden="false" customHeight="false" outlineLevel="0" collapsed="false">
      <c r="I552" s="11"/>
      <c r="J552" s="12"/>
      <c r="K552" s="12"/>
    </row>
    <row r="553" customFormat="false" ht="15" hidden="false" customHeight="false" outlineLevel="0" collapsed="false">
      <c r="I553" s="11"/>
      <c r="J553" s="12"/>
      <c r="K553" s="12"/>
    </row>
    <row r="554" customFormat="false" ht="15" hidden="false" customHeight="false" outlineLevel="0" collapsed="false">
      <c r="I554" s="11"/>
      <c r="J554" s="12"/>
      <c r="K554" s="12"/>
    </row>
    <row r="555" customFormat="false" ht="15" hidden="false" customHeight="false" outlineLevel="0" collapsed="false">
      <c r="I555" s="11"/>
      <c r="J555" s="12"/>
      <c r="K555" s="12"/>
    </row>
    <row r="556" customFormat="false" ht="15" hidden="false" customHeight="false" outlineLevel="0" collapsed="false">
      <c r="I556" s="11"/>
      <c r="J556" s="12"/>
      <c r="K556" s="12"/>
    </row>
    <row r="557" customFormat="false" ht="15" hidden="false" customHeight="false" outlineLevel="0" collapsed="false">
      <c r="I557" s="11"/>
      <c r="J557" s="12"/>
      <c r="K557" s="12"/>
    </row>
    <row r="558" customFormat="false" ht="15" hidden="false" customHeight="false" outlineLevel="0" collapsed="false">
      <c r="I558" s="11"/>
      <c r="J558" s="12"/>
      <c r="K558" s="12"/>
    </row>
    <row r="559" customFormat="false" ht="15" hidden="false" customHeight="false" outlineLevel="0" collapsed="false">
      <c r="I559" s="11"/>
      <c r="J559" s="12"/>
      <c r="K559" s="12"/>
    </row>
    <row r="560" customFormat="false" ht="15" hidden="false" customHeight="false" outlineLevel="0" collapsed="false">
      <c r="I560" s="11"/>
      <c r="J560" s="12"/>
      <c r="K560" s="12"/>
    </row>
    <row r="561" customFormat="false" ht="15" hidden="false" customHeight="false" outlineLevel="0" collapsed="false">
      <c r="I561" s="11"/>
      <c r="J561" s="12"/>
      <c r="K561" s="12"/>
    </row>
    <row r="562" customFormat="false" ht="15" hidden="false" customHeight="false" outlineLevel="0" collapsed="false">
      <c r="I562" s="11"/>
      <c r="J562" s="12"/>
      <c r="K562" s="12"/>
    </row>
    <row r="563" customFormat="false" ht="15" hidden="false" customHeight="false" outlineLevel="0" collapsed="false">
      <c r="I563" s="11"/>
      <c r="J563" s="12"/>
      <c r="K563" s="12"/>
    </row>
    <row r="564" customFormat="false" ht="15" hidden="false" customHeight="false" outlineLevel="0" collapsed="false">
      <c r="I564" s="11"/>
      <c r="J564" s="12"/>
      <c r="K564" s="12"/>
    </row>
    <row r="565" customFormat="false" ht="15" hidden="false" customHeight="false" outlineLevel="0" collapsed="false">
      <c r="I565" s="11"/>
      <c r="J565" s="12"/>
      <c r="K565" s="12"/>
    </row>
    <row r="566" customFormat="false" ht="15" hidden="false" customHeight="false" outlineLevel="0" collapsed="false">
      <c r="I566" s="11"/>
      <c r="J566" s="12"/>
      <c r="K566" s="12"/>
    </row>
    <row r="567" customFormat="false" ht="15" hidden="false" customHeight="false" outlineLevel="0" collapsed="false">
      <c r="I567" s="11"/>
      <c r="J567" s="12"/>
      <c r="K567" s="12"/>
    </row>
    <row r="568" customFormat="false" ht="15" hidden="false" customHeight="false" outlineLevel="0" collapsed="false">
      <c r="I568" s="11"/>
      <c r="J568" s="12"/>
      <c r="K568" s="12"/>
    </row>
    <row r="569" customFormat="false" ht="15" hidden="false" customHeight="false" outlineLevel="0" collapsed="false">
      <c r="I569" s="11"/>
      <c r="J569" s="12"/>
      <c r="K569" s="12"/>
    </row>
    <row r="570" customFormat="false" ht="15" hidden="false" customHeight="false" outlineLevel="0" collapsed="false">
      <c r="I570" s="11"/>
      <c r="J570" s="12"/>
      <c r="K570" s="12"/>
    </row>
    <row r="571" customFormat="false" ht="15" hidden="false" customHeight="false" outlineLevel="0" collapsed="false">
      <c r="I571" s="11"/>
      <c r="J571" s="12"/>
      <c r="K571" s="12"/>
    </row>
    <row r="572" customFormat="false" ht="15" hidden="false" customHeight="false" outlineLevel="0" collapsed="false">
      <c r="I572" s="11"/>
      <c r="J572" s="12"/>
      <c r="K572" s="12"/>
    </row>
    <row r="573" customFormat="false" ht="15" hidden="false" customHeight="false" outlineLevel="0" collapsed="false">
      <c r="I573" s="11"/>
      <c r="J573" s="12"/>
      <c r="K573" s="12"/>
    </row>
    <row r="574" customFormat="false" ht="15" hidden="false" customHeight="false" outlineLevel="0" collapsed="false">
      <c r="I574" s="11"/>
      <c r="J574" s="12"/>
      <c r="K574" s="12"/>
    </row>
    <row r="575" customFormat="false" ht="15" hidden="false" customHeight="false" outlineLevel="0" collapsed="false">
      <c r="I575" s="11"/>
      <c r="J575" s="12"/>
      <c r="K575" s="12"/>
    </row>
    <row r="576" customFormat="false" ht="15" hidden="false" customHeight="false" outlineLevel="0" collapsed="false">
      <c r="I576" s="11"/>
      <c r="J576" s="12"/>
      <c r="K576" s="12"/>
    </row>
    <row r="577" customFormat="false" ht="15" hidden="false" customHeight="false" outlineLevel="0" collapsed="false">
      <c r="I577" s="11"/>
      <c r="J577" s="12"/>
      <c r="K577" s="12"/>
    </row>
    <row r="578" customFormat="false" ht="15" hidden="false" customHeight="false" outlineLevel="0" collapsed="false">
      <c r="I578" s="11"/>
      <c r="J578" s="12"/>
      <c r="K578" s="12"/>
    </row>
    <row r="579" customFormat="false" ht="15" hidden="false" customHeight="false" outlineLevel="0" collapsed="false">
      <c r="I579" s="11"/>
      <c r="J579" s="12"/>
      <c r="K579" s="12"/>
    </row>
    <row r="580" customFormat="false" ht="15" hidden="false" customHeight="false" outlineLevel="0" collapsed="false">
      <c r="I580" s="11"/>
      <c r="J580" s="12"/>
      <c r="K580" s="12"/>
    </row>
    <row r="581" customFormat="false" ht="15" hidden="false" customHeight="false" outlineLevel="0" collapsed="false">
      <c r="I581" s="11"/>
      <c r="J581" s="12"/>
      <c r="K581" s="12"/>
    </row>
    <row r="582" customFormat="false" ht="15" hidden="false" customHeight="false" outlineLevel="0" collapsed="false">
      <c r="I582" s="11"/>
      <c r="J582" s="12"/>
      <c r="K582" s="12"/>
    </row>
    <row r="583" customFormat="false" ht="15" hidden="false" customHeight="false" outlineLevel="0" collapsed="false">
      <c r="I583" s="11"/>
      <c r="J583" s="12"/>
      <c r="K583" s="12"/>
    </row>
    <row r="584" customFormat="false" ht="15" hidden="false" customHeight="false" outlineLevel="0" collapsed="false">
      <c r="I584" s="11"/>
      <c r="J584" s="12"/>
      <c r="K584" s="12"/>
    </row>
    <row r="585" customFormat="false" ht="15" hidden="false" customHeight="false" outlineLevel="0" collapsed="false">
      <c r="I585" s="11"/>
      <c r="J585" s="12"/>
      <c r="K585" s="12"/>
    </row>
    <row r="586" customFormat="false" ht="15" hidden="false" customHeight="false" outlineLevel="0" collapsed="false">
      <c r="I586" s="11"/>
      <c r="J586" s="12"/>
      <c r="K586" s="12"/>
    </row>
    <row r="587" customFormat="false" ht="15" hidden="false" customHeight="false" outlineLevel="0" collapsed="false">
      <c r="I587" s="11"/>
      <c r="J587" s="12"/>
      <c r="K587" s="12"/>
    </row>
    <row r="588" customFormat="false" ht="15" hidden="false" customHeight="false" outlineLevel="0" collapsed="false">
      <c r="I588" s="11"/>
      <c r="J588" s="12"/>
      <c r="K588" s="12"/>
    </row>
    <row r="589" customFormat="false" ht="15" hidden="false" customHeight="false" outlineLevel="0" collapsed="false">
      <c r="I589" s="11"/>
      <c r="J589" s="12"/>
      <c r="K589" s="12"/>
    </row>
    <row r="590" customFormat="false" ht="15" hidden="false" customHeight="false" outlineLevel="0" collapsed="false">
      <c r="I590" s="11"/>
      <c r="J590" s="12"/>
      <c r="K590" s="12"/>
    </row>
    <row r="591" customFormat="false" ht="15" hidden="false" customHeight="false" outlineLevel="0" collapsed="false">
      <c r="I591" s="11"/>
      <c r="J591" s="12"/>
      <c r="K591" s="12"/>
    </row>
    <row r="592" customFormat="false" ht="15" hidden="false" customHeight="false" outlineLevel="0" collapsed="false">
      <c r="I592" s="11"/>
      <c r="J592" s="12"/>
      <c r="K592" s="12"/>
    </row>
    <row r="593" customFormat="false" ht="15" hidden="false" customHeight="false" outlineLevel="0" collapsed="false">
      <c r="I593" s="11"/>
      <c r="J593" s="12"/>
      <c r="K593" s="12"/>
    </row>
    <row r="594" customFormat="false" ht="15" hidden="false" customHeight="false" outlineLevel="0" collapsed="false">
      <c r="I594" s="11"/>
      <c r="J594" s="12"/>
      <c r="K594" s="12"/>
    </row>
    <row r="595" customFormat="false" ht="15" hidden="false" customHeight="false" outlineLevel="0" collapsed="false">
      <c r="I595" s="11"/>
      <c r="J595" s="12"/>
      <c r="K595" s="12"/>
    </row>
    <row r="596" customFormat="false" ht="15" hidden="false" customHeight="false" outlineLevel="0" collapsed="false">
      <c r="I596" s="11"/>
      <c r="J596" s="12"/>
      <c r="K596" s="12"/>
    </row>
    <row r="597" customFormat="false" ht="15" hidden="false" customHeight="false" outlineLevel="0" collapsed="false">
      <c r="I597" s="11"/>
      <c r="J597" s="12"/>
      <c r="K597" s="12"/>
    </row>
    <row r="598" customFormat="false" ht="15" hidden="false" customHeight="false" outlineLevel="0" collapsed="false">
      <c r="I598" s="11"/>
      <c r="J598" s="12"/>
      <c r="K598" s="12"/>
    </row>
    <row r="599" customFormat="false" ht="15" hidden="false" customHeight="false" outlineLevel="0" collapsed="false">
      <c r="I599" s="11"/>
      <c r="J599" s="12"/>
      <c r="K599" s="12"/>
    </row>
    <row r="600" customFormat="false" ht="15" hidden="false" customHeight="false" outlineLevel="0" collapsed="false">
      <c r="I600" s="11"/>
      <c r="J600" s="12"/>
      <c r="K600" s="12"/>
    </row>
    <row r="601" customFormat="false" ht="15" hidden="false" customHeight="false" outlineLevel="0" collapsed="false">
      <c r="I601" s="11"/>
      <c r="J601" s="12"/>
      <c r="K601" s="12"/>
    </row>
    <row r="602" customFormat="false" ht="15" hidden="false" customHeight="false" outlineLevel="0" collapsed="false">
      <c r="I602" s="11"/>
      <c r="J602" s="12"/>
      <c r="K602" s="12"/>
    </row>
    <row r="603" customFormat="false" ht="15" hidden="false" customHeight="false" outlineLevel="0" collapsed="false">
      <c r="I603" s="11"/>
      <c r="J603" s="12"/>
      <c r="K603" s="12"/>
    </row>
    <row r="604" customFormat="false" ht="15" hidden="false" customHeight="false" outlineLevel="0" collapsed="false">
      <c r="I604" s="11"/>
      <c r="J604" s="12"/>
      <c r="K604" s="12"/>
    </row>
    <row r="605" customFormat="false" ht="15" hidden="false" customHeight="false" outlineLevel="0" collapsed="false">
      <c r="I605" s="11"/>
      <c r="J605" s="12"/>
      <c r="K605" s="12"/>
    </row>
    <row r="606" customFormat="false" ht="15" hidden="false" customHeight="false" outlineLevel="0" collapsed="false">
      <c r="I606" s="11"/>
      <c r="J606" s="12"/>
      <c r="K606" s="12"/>
    </row>
    <row r="607" customFormat="false" ht="15" hidden="false" customHeight="false" outlineLevel="0" collapsed="false">
      <c r="I607" s="11"/>
      <c r="J607" s="12"/>
      <c r="K607" s="12"/>
    </row>
    <row r="608" customFormat="false" ht="15" hidden="false" customHeight="false" outlineLevel="0" collapsed="false">
      <c r="I608" s="11"/>
      <c r="J608" s="12"/>
      <c r="K608" s="12"/>
    </row>
    <row r="609" customFormat="false" ht="15" hidden="false" customHeight="false" outlineLevel="0" collapsed="false">
      <c r="I609" s="11"/>
      <c r="J609" s="12"/>
      <c r="K609" s="12"/>
    </row>
    <row r="610" customFormat="false" ht="15" hidden="false" customHeight="false" outlineLevel="0" collapsed="false">
      <c r="I610" s="11"/>
      <c r="J610" s="12"/>
      <c r="K610" s="12"/>
    </row>
    <row r="611" customFormat="false" ht="15" hidden="false" customHeight="false" outlineLevel="0" collapsed="false">
      <c r="I611" s="11"/>
      <c r="J611" s="12"/>
      <c r="K611" s="12"/>
    </row>
    <row r="612" customFormat="false" ht="15" hidden="false" customHeight="false" outlineLevel="0" collapsed="false">
      <c r="I612" s="11"/>
      <c r="J612" s="12"/>
      <c r="K612" s="12"/>
    </row>
    <row r="613" customFormat="false" ht="15" hidden="false" customHeight="false" outlineLevel="0" collapsed="false">
      <c r="I613" s="11"/>
      <c r="J613" s="12"/>
      <c r="K613" s="12"/>
    </row>
    <row r="614" customFormat="false" ht="15" hidden="false" customHeight="false" outlineLevel="0" collapsed="false">
      <c r="I614" s="11"/>
      <c r="J614" s="12"/>
      <c r="K614" s="12"/>
    </row>
    <row r="615" customFormat="false" ht="15" hidden="false" customHeight="false" outlineLevel="0" collapsed="false">
      <c r="I615" s="11"/>
      <c r="J615" s="12"/>
      <c r="K615" s="12"/>
    </row>
    <row r="616" customFormat="false" ht="15" hidden="false" customHeight="false" outlineLevel="0" collapsed="false">
      <c r="I616" s="11"/>
      <c r="J616" s="12"/>
      <c r="K616" s="12"/>
    </row>
    <row r="617" customFormat="false" ht="15" hidden="false" customHeight="false" outlineLevel="0" collapsed="false">
      <c r="I617" s="11"/>
      <c r="J617" s="12"/>
      <c r="K617" s="12"/>
    </row>
    <row r="618" customFormat="false" ht="15" hidden="false" customHeight="false" outlineLevel="0" collapsed="false">
      <c r="I618" s="11"/>
      <c r="J618" s="12"/>
      <c r="K618" s="12"/>
    </row>
    <row r="619" customFormat="false" ht="15" hidden="false" customHeight="false" outlineLevel="0" collapsed="false">
      <c r="I619" s="11"/>
      <c r="J619" s="12"/>
      <c r="K619" s="12"/>
    </row>
    <row r="620" customFormat="false" ht="15" hidden="false" customHeight="false" outlineLevel="0" collapsed="false">
      <c r="I620" s="11"/>
      <c r="J620" s="12"/>
      <c r="K620" s="12"/>
    </row>
    <row r="621" customFormat="false" ht="15" hidden="false" customHeight="false" outlineLevel="0" collapsed="false">
      <c r="I621" s="11"/>
      <c r="J621" s="12"/>
      <c r="K621" s="12"/>
    </row>
    <row r="622" customFormat="false" ht="15" hidden="false" customHeight="false" outlineLevel="0" collapsed="false">
      <c r="I622" s="11"/>
      <c r="J622" s="12"/>
      <c r="K622" s="12"/>
    </row>
    <row r="623" customFormat="false" ht="15" hidden="false" customHeight="false" outlineLevel="0" collapsed="false">
      <c r="I623" s="11"/>
      <c r="J623" s="12"/>
      <c r="K623" s="12"/>
    </row>
    <row r="624" customFormat="false" ht="15" hidden="false" customHeight="false" outlineLevel="0" collapsed="false">
      <c r="I624" s="11"/>
      <c r="J624" s="12"/>
      <c r="K624" s="12"/>
    </row>
    <row r="625" customFormat="false" ht="15" hidden="false" customHeight="false" outlineLevel="0" collapsed="false">
      <c r="I625" s="11"/>
      <c r="J625" s="12"/>
      <c r="K625" s="12"/>
    </row>
    <row r="626" customFormat="false" ht="15" hidden="false" customHeight="false" outlineLevel="0" collapsed="false">
      <c r="I626" s="11"/>
      <c r="J626" s="12"/>
      <c r="K626" s="12"/>
    </row>
    <row r="627" customFormat="false" ht="15" hidden="false" customHeight="false" outlineLevel="0" collapsed="false">
      <c r="I627" s="11"/>
      <c r="J627" s="12"/>
      <c r="K627" s="12"/>
    </row>
    <row r="628" customFormat="false" ht="15" hidden="false" customHeight="false" outlineLevel="0" collapsed="false">
      <c r="I628" s="11"/>
      <c r="J628" s="12"/>
      <c r="K628" s="12"/>
    </row>
    <row r="629" customFormat="false" ht="15" hidden="false" customHeight="false" outlineLevel="0" collapsed="false">
      <c r="I629" s="11"/>
      <c r="J629" s="12"/>
      <c r="K629" s="12"/>
    </row>
    <row r="630" customFormat="false" ht="15" hidden="false" customHeight="false" outlineLevel="0" collapsed="false">
      <c r="I630" s="11"/>
      <c r="J630" s="12"/>
      <c r="K630" s="12"/>
    </row>
    <row r="631" customFormat="false" ht="15" hidden="false" customHeight="false" outlineLevel="0" collapsed="false">
      <c r="I631" s="11"/>
      <c r="J631" s="12"/>
      <c r="K631" s="12"/>
    </row>
    <row r="632" customFormat="false" ht="15" hidden="false" customHeight="false" outlineLevel="0" collapsed="false">
      <c r="I632" s="11"/>
      <c r="J632" s="12"/>
      <c r="K632" s="12"/>
    </row>
    <row r="633" customFormat="false" ht="15" hidden="false" customHeight="false" outlineLevel="0" collapsed="false">
      <c r="I633" s="11"/>
      <c r="J633" s="12"/>
      <c r="K633" s="12"/>
    </row>
    <row r="634" customFormat="false" ht="15" hidden="false" customHeight="false" outlineLevel="0" collapsed="false">
      <c r="I634" s="11"/>
      <c r="J634" s="12"/>
      <c r="K634" s="12"/>
    </row>
    <row r="635" customFormat="false" ht="15" hidden="false" customHeight="false" outlineLevel="0" collapsed="false">
      <c r="I635" s="11"/>
      <c r="J635" s="12"/>
      <c r="K635" s="12"/>
    </row>
    <row r="636" customFormat="false" ht="15" hidden="false" customHeight="false" outlineLevel="0" collapsed="false">
      <c r="I636" s="11"/>
      <c r="J636" s="12"/>
      <c r="K636" s="12"/>
    </row>
    <row r="637" customFormat="false" ht="15" hidden="false" customHeight="false" outlineLevel="0" collapsed="false">
      <c r="I637" s="11"/>
      <c r="J637" s="12"/>
      <c r="K637" s="12"/>
    </row>
    <row r="638" customFormat="false" ht="15" hidden="false" customHeight="false" outlineLevel="0" collapsed="false">
      <c r="I638" s="11"/>
      <c r="J638" s="12"/>
      <c r="K638" s="12"/>
    </row>
    <row r="639" customFormat="false" ht="15" hidden="false" customHeight="false" outlineLevel="0" collapsed="false">
      <c r="I639" s="11"/>
      <c r="J639" s="12"/>
      <c r="K639" s="12"/>
    </row>
    <row r="640" customFormat="false" ht="15" hidden="false" customHeight="false" outlineLevel="0" collapsed="false">
      <c r="I640" s="11"/>
      <c r="J640" s="12"/>
      <c r="K640" s="12"/>
    </row>
    <row r="641" customFormat="false" ht="15" hidden="false" customHeight="false" outlineLevel="0" collapsed="false">
      <c r="I641" s="11"/>
      <c r="J641" s="12"/>
      <c r="K641" s="12"/>
    </row>
    <row r="642" customFormat="false" ht="15" hidden="false" customHeight="false" outlineLevel="0" collapsed="false">
      <c r="I642" s="11"/>
      <c r="J642" s="12"/>
      <c r="K642" s="12"/>
    </row>
    <row r="643" customFormat="false" ht="15" hidden="false" customHeight="false" outlineLevel="0" collapsed="false">
      <c r="I643" s="11"/>
      <c r="J643" s="12"/>
      <c r="K643" s="12"/>
    </row>
    <row r="644" customFormat="false" ht="15" hidden="false" customHeight="false" outlineLevel="0" collapsed="false">
      <c r="I644" s="11"/>
      <c r="J644" s="12"/>
      <c r="K644" s="12"/>
    </row>
    <row r="645" customFormat="false" ht="15" hidden="false" customHeight="false" outlineLevel="0" collapsed="false">
      <c r="I645" s="11"/>
      <c r="J645" s="12"/>
      <c r="K645" s="12"/>
    </row>
    <row r="646" customFormat="false" ht="15" hidden="false" customHeight="false" outlineLevel="0" collapsed="false">
      <c r="I646" s="11"/>
      <c r="J646" s="12"/>
      <c r="K646" s="12"/>
    </row>
    <row r="647" customFormat="false" ht="15" hidden="false" customHeight="false" outlineLevel="0" collapsed="false">
      <c r="I647" s="11"/>
      <c r="J647" s="12"/>
      <c r="K647" s="12"/>
    </row>
    <row r="648" customFormat="false" ht="15" hidden="false" customHeight="false" outlineLevel="0" collapsed="false">
      <c r="I648" s="11"/>
      <c r="J648" s="12"/>
      <c r="K648" s="12"/>
    </row>
    <row r="649" customFormat="false" ht="15" hidden="false" customHeight="false" outlineLevel="0" collapsed="false">
      <c r="I649" s="11"/>
      <c r="J649" s="12"/>
      <c r="K649" s="12"/>
    </row>
    <row r="650" customFormat="false" ht="15" hidden="false" customHeight="false" outlineLevel="0" collapsed="false">
      <c r="I650" s="11"/>
      <c r="J650" s="12"/>
      <c r="K650" s="12"/>
    </row>
    <row r="651" customFormat="false" ht="15" hidden="false" customHeight="false" outlineLevel="0" collapsed="false">
      <c r="I651" s="11"/>
      <c r="J651" s="12"/>
      <c r="K651" s="12"/>
    </row>
    <row r="652" customFormat="false" ht="15" hidden="false" customHeight="false" outlineLevel="0" collapsed="false">
      <c r="I652" s="11"/>
      <c r="J652" s="12"/>
      <c r="K652" s="12"/>
    </row>
    <row r="653" customFormat="false" ht="15" hidden="false" customHeight="false" outlineLevel="0" collapsed="false">
      <c r="I653" s="11"/>
      <c r="J653" s="12"/>
      <c r="K653" s="12"/>
    </row>
    <row r="654" customFormat="false" ht="15" hidden="false" customHeight="false" outlineLevel="0" collapsed="false">
      <c r="I654" s="11"/>
      <c r="J654" s="12"/>
      <c r="K654" s="12"/>
    </row>
    <row r="655" customFormat="false" ht="15" hidden="false" customHeight="false" outlineLevel="0" collapsed="false">
      <c r="I655" s="11"/>
      <c r="J655" s="12"/>
      <c r="K655" s="12"/>
    </row>
    <row r="656" customFormat="false" ht="15" hidden="false" customHeight="false" outlineLevel="0" collapsed="false">
      <c r="I656" s="11"/>
      <c r="J656" s="12"/>
      <c r="K656" s="12"/>
    </row>
    <row r="657" customFormat="false" ht="15" hidden="false" customHeight="false" outlineLevel="0" collapsed="false">
      <c r="I657" s="11"/>
      <c r="J657" s="12"/>
      <c r="K657" s="12"/>
    </row>
    <row r="658" customFormat="false" ht="15" hidden="false" customHeight="false" outlineLevel="0" collapsed="false">
      <c r="I658" s="11"/>
      <c r="J658" s="12"/>
      <c r="K658" s="12"/>
    </row>
    <row r="659" customFormat="false" ht="15" hidden="false" customHeight="false" outlineLevel="0" collapsed="false">
      <c r="I659" s="11"/>
      <c r="J659" s="12"/>
      <c r="K659" s="12"/>
    </row>
    <row r="660" customFormat="false" ht="15" hidden="false" customHeight="false" outlineLevel="0" collapsed="false">
      <c r="I660" s="11"/>
      <c r="J660" s="12"/>
      <c r="K660" s="12"/>
    </row>
    <row r="661" customFormat="false" ht="15" hidden="false" customHeight="false" outlineLevel="0" collapsed="false">
      <c r="I661" s="11"/>
      <c r="J661" s="12"/>
      <c r="K661" s="12"/>
    </row>
    <row r="662" customFormat="false" ht="15" hidden="false" customHeight="false" outlineLevel="0" collapsed="false">
      <c r="I662" s="11"/>
      <c r="J662" s="12"/>
      <c r="K662" s="12"/>
    </row>
    <row r="663" customFormat="false" ht="15" hidden="false" customHeight="false" outlineLevel="0" collapsed="false">
      <c r="I663" s="11"/>
      <c r="J663" s="12"/>
      <c r="K663" s="12"/>
    </row>
    <row r="664" customFormat="false" ht="15" hidden="false" customHeight="false" outlineLevel="0" collapsed="false">
      <c r="I664" s="11"/>
      <c r="J664" s="12"/>
      <c r="K664" s="12"/>
    </row>
    <row r="665" customFormat="false" ht="15" hidden="false" customHeight="false" outlineLevel="0" collapsed="false">
      <c r="I665" s="11"/>
      <c r="J665" s="12"/>
      <c r="K665" s="12"/>
    </row>
    <row r="666" customFormat="false" ht="15" hidden="false" customHeight="false" outlineLevel="0" collapsed="false">
      <c r="I666" s="11"/>
      <c r="J666" s="12"/>
      <c r="K666" s="12"/>
    </row>
    <row r="667" customFormat="false" ht="15" hidden="false" customHeight="false" outlineLevel="0" collapsed="false">
      <c r="I667" s="11"/>
      <c r="J667" s="12"/>
      <c r="K667" s="12"/>
    </row>
    <row r="668" customFormat="false" ht="15" hidden="false" customHeight="false" outlineLevel="0" collapsed="false">
      <c r="I668" s="11"/>
      <c r="J668" s="12"/>
      <c r="K668" s="12"/>
    </row>
    <row r="669" customFormat="false" ht="15" hidden="false" customHeight="false" outlineLevel="0" collapsed="false">
      <c r="I669" s="11"/>
      <c r="J669" s="12"/>
      <c r="K669" s="12"/>
    </row>
    <row r="670" customFormat="false" ht="15" hidden="false" customHeight="false" outlineLevel="0" collapsed="false">
      <c r="I670" s="11"/>
      <c r="J670" s="12"/>
      <c r="K670" s="12"/>
    </row>
    <row r="671" customFormat="false" ht="15" hidden="false" customHeight="false" outlineLevel="0" collapsed="false">
      <c r="I671" s="11"/>
      <c r="J671" s="12"/>
      <c r="K671" s="12"/>
    </row>
    <row r="672" customFormat="false" ht="15" hidden="false" customHeight="false" outlineLevel="0" collapsed="false">
      <c r="I672" s="11"/>
      <c r="J672" s="12"/>
      <c r="K672" s="12"/>
    </row>
    <row r="673" customFormat="false" ht="15" hidden="false" customHeight="false" outlineLevel="0" collapsed="false">
      <c r="I673" s="11"/>
      <c r="J673" s="12"/>
      <c r="K673" s="12"/>
    </row>
    <row r="674" customFormat="false" ht="15" hidden="false" customHeight="false" outlineLevel="0" collapsed="false">
      <c r="I674" s="11"/>
      <c r="J674" s="12"/>
      <c r="K674" s="12"/>
    </row>
    <row r="675" customFormat="false" ht="15" hidden="false" customHeight="false" outlineLevel="0" collapsed="false">
      <c r="I675" s="11"/>
      <c r="J675" s="12"/>
      <c r="K675" s="12"/>
    </row>
    <row r="676" customFormat="false" ht="15" hidden="false" customHeight="false" outlineLevel="0" collapsed="false">
      <c r="I676" s="11"/>
      <c r="J676" s="12"/>
      <c r="K676" s="12"/>
    </row>
    <row r="677" customFormat="false" ht="15" hidden="false" customHeight="false" outlineLevel="0" collapsed="false">
      <c r="I677" s="11"/>
      <c r="J677" s="12"/>
      <c r="K677" s="12"/>
    </row>
    <row r="678" customFormat="false" ht="15" hidden="false" customHeight="false" outlineLevel="0" collapsed="false">
      <c r="I678" s="11"/>
      <c r="J678" s="12"/>
      <c r="K678" s="12"/>
    </row>
    <row r="679" customFormat="false" ht="15" hidden="false" customHeight="false" outlineLevel="0" collapsed="false">
      <c r="I679" s="11"/>
      <c r="J679" s="12"/>
      <c r="K679" s="12"/>
    </row>
    <row r="680" customFormat="false" ht="15" hidden="false" customHeight="false" outlineLevel="0" collapsed="false">
      <c r="I680" s="11"/>
      <c r="J680" s="12"/>
      <c r="K680" s="12"/>
    </row>
    <row r="681" customFormat="false" ht="15" hidden="false" customHeight="false" outlineLevel="0" collapsed="false">
      <c r="I681" s="11"/>
      <c r="J681" s="12"/>
      <c r="K681" s="12"/>
    </row>
    <row r="682" customFormat="false" ht="15" hidden="false" customHeight="false" outlineLevel="0" collapsed="false">
      <c r="I682" s="11"/>
      <c r="J682" s="12"/>
      <c r="K682" s="12"/>
    </row>
    <row r="683" customFormat="false" ht="15" hidden="false" customHeight="false" outlineLevel="0" collapsed="false">
      <c r="I683" s="11"/>
      <c r="J683" s="12"/>
      <c r="K683" s="12"/>
    </row>
    <row r="684" customFormat="false" ht="15" hidden="false" customHeight="false" outlineLevel="0" collapsed="false">
      <c r="I684" s="11"/>
      <c r="J684" s="12"/>
      <c r="K684" s="12"/>
    </row>
    <row r="685" customFormat="false" ht="15" hidden="false" customHeight="false" outlineLevel="0" collapsed="false">
      <c r="I685" s="11"/>
      <c r="J685" s="12"/>
      <c r="K685" s="12"/>
    </row>
    <row r="686" customFormat="false" ht="15" hidden="false" customHeight="false" outlineLevel="0" collapsed="false">
      <c r="I686" s="11"/>
      <c r="J686" s="12"/>
      <c r="K686" s="12"/>
    </row>
    <row r="687" customFormat="false" ht="15" hidden="false" customHeight="false" outlineLevel="0" collapsed="false">
      <c r="I687" s="11"/>
      <c r="J687" s="12"/>
      <c r="K687" s="12"/>
    </row>
    <row r="688" customFormat="false" ht="15" hidden="false" customHeight="false" outlineLevel="0" collapsed="false">
      <c r="I688" s="11"/>
      <c r="J688" s="12"/>
      <c r="K688" s="12"/>
    </row>
    <row r="689" customFormat="false" ht="15" hidden="false" customHeight="false" outlineLevel="0" collapsed="false">
      <c r="I689" s="11"/>
      <c r="J689" s="12"/>
      <c r="K689" s="12"/>
    </row>
    <row r="690" customFormat="false" ht="15" hidden="false" customHeight="false" outlineLevel="0" collapsed="false">
      <c r="I690" s="11"/>
      <c r="J690" s="12"/>
      <c r="K690" s="12"/>
    </row>
    <row r="691" customFormat="false" ht="15" hidden="false" customHeight="false" outlineLevel="0" collapsed="false">
      <c r="I691" s="11"/>
      <c r="J691" s="12"/>
      <c r="K691" s="12"/>
    </row>
    <row r="692" customFormat="false" ht="15" hidden="false" customHeight="false" outlineLevel="0" collapsed="false">
      <c r="I692" s="11"/>
      <c r="J692" s="12"/>
      <c r="K692" s="12"/>
    </row>
    <row r="693" customFormat="false" ht="15" hidden="false" customHeight="false" outlineLevel="0" collapsed="false">
      <c r="I693" s="11"/>
      <c r="J693" s="12"/>
      <c r="K693" s="12"/>
    </row>
    <row r="694" customFormat="false" ht="15" hidden="false" customHeight="false" outlineLevel="0" collapsed="false">
      <c r="I694" s="11"/>
      <c r="J694" s="12"/>
      <c r="K694" s="12"/>
    </row>
    <row r="695" customFormat="false" ht="15" hidden="false" customHeight="false" outlineLevel="0" collapsed="false">
      <c r="I695" s="11"/>
      <c r="J695" s="12"/>
      <c r="K695" s="12"/>
    </row>
    <row r="696" customFormat="false" ht="15" hidden="false" customHeight="false" outlineLevel="0" collapsed="false">
      <c r="I696" s="11"/>
      <c r="J696" s="12"/>
      <c r="K696" s="12"/>
    </row>
    <row r="697" customFormat="false" ht="15" hidden="false" customHeight="false" outlineLevel="0" collapsed="false">
      <c r="I697" s="11"/>
      <c r="J697" s="12"/>
      <c r="K697" s="12"/>
    </row>
    <row r="698" customFormat="false" ht="15" hidden="false" customHeight="false" outlineLevel="0" collapsed="false">
      <c r="I698" s="11"/>
      <c r="J698" s="12"/>
      <c r="K698" s="12"/>
    </row>
    <row r="699" customFormat="false" ht="15" hidden="false" customHeight="false" outlineLevel="0" collapsed="false">
      <c r="I699" s="11"/>
      <c r="J699" s="12"/>
      <c r="K699" s="12"/>
    </row>
    <row r="700" customFormat="false" ht="15" hidden="false" customHeight="false" outlineLevel="0" collapsed="false">
      <c r="I700" s="11"/>
      <c r="J700" s="12"/>
      <c r="K700" s="12"/>
    </row>
    <row r="701" customFormat="false" ht="15" hidden="false" customHeight="false" outlineLevel="0" collapsed="false">
      <c r="I701" s="11"/>
      <c r="J701" s="12"/>
      <c r="K701" s="12"/>
    </row>
    <row r="702" customFormat="false" ht="15" hidden="false" customHeight="false" outlineLevel="0" collapsed="false">
      <c r="I702" s="11"/>
      <c r="J702" s="12"/>
      <c r="K702" s="12"/>
    </row>
    <row r="703" customFormat="false" ht="15" hidden="false" customHeight="false" outlineLevel="0" collapsed="false">
      <c r="I703" s="11"/>
      <c r="J703" s="12"/>
      <c r="K703" s="12"/>
    </row>
    <row r="704" customFormat="false" ht="15" hidden="false" customHeight="false" outlineLevel="0" collapsed="false">
      <c r="I704" s="11"/>
      <c r="J704" s="12"/>
      <c r="K704" s="12"/>
    </row>
    <row r="705" customFormat="false" ht="15" hidden="false" customHeight="false" outlineLevel="0" collapsed="false">
      <c r="I705" s="11"/>
      <c r="J705" s="12"/>
      <c r="K705" s="12"/>
    </row>
    <row r="706" customFormat="false" ht="15" hidden="false" customHeight="false" outlineLevel="0" collapsed="false">
      <c r="I706" s="11"/>
      <c r="J706" s="12"/>
      <c r="K706" s="12"/>
    </row>
    <row r="707" customFormat="false" ht="15" hidden="false" customHeight="false" outlineLevel="0" collapsed="false">
      <c r="I707" s="11"/>
      <c r="J707" s="12"/>
      <c r="K707" s="12"/>
    </row>
    <row r="708" customFormat="false" ht="15" hidden="false" customHeight="false" outlineLevel="0" collapsed="false">
      <c r="I708" s="11"/>
      <c r="J708" s="12"/>
      <c r="K708" s="12"/>
    </row>
    <row r="709" customFormat="false" ht="15" hidden="false" customHeight="false" outlineLevel="0" collapsed="false">
      <c r="I709" s="11"/>
      <c r="J709" s="12"/>
      <c r="K709" s="12"/>
    </row>
    <row r="710" customFormat="false" ht="15" hidden="false" customHeight="false" outlineLevel="0" collapsed="false">
      <c r="I710" s="11"/>
      <c r="J710" s="12"/>
      <c r="K710" s="12"/>
    </row>
    <row r="711" customFormat="false" ht="15" hidden="false" customHeight="false" outlineLevel="0" collapsed="false">
      <c r="I711" s="11"/>
      <c r="J711" s="12"/>
      <c r="K711" s="12"/>
    </row>
    <row r="712" customFormat="false" ht="15" hidden="false" customHeight="false" outlineLevel="0" collapsed="false">
      <c r="I712" s="11"/>
      <c r="J712" s="12"/>
      <c r="K712" s="12"/>
    </row>
    <row r="713" customFormat="false" ht="15" hidden="false" customHeight="false" outlineLevel="0" collapsed="false">
      <c r="I713" s="11"/>
      <c r="J713" s="12"/>
      <c r="K713" s="12"/>
    </row>
    <row r="714" customFormat="false" ht="15" hidden="false" customHeight="false" outlineLevel="0" collapsed="false">
      <c r="I714" s="11"/>
      <c r="J714" s="12"/>
      <c r="K714" s="12"/>
    </row>
    <row r="715" customFormat="false" ht="15" hidden="false" customHeight="false" outlineLevel="0" collapsed="false">
      <c r="I715" s="11"/>
      <c r="J715" s="12"/>
      <c r="K715" s="12"/>
    </row>
    <row r="716" customFormat="false" ht="15" hidden="false" customHeight="false" outlineLevel="0" collapsed="false">
      <c r="I716" s="11"/>
      <c r="J716" s="12"/>
      <c r="K716" s="12"/>
    </row>
    <row r="717" customFormat="false" ht="15" hidden="false" customHeight="false" outlineLevel="0" collapsed="false">
      <c r="I717" s="11"/>
      <c r="J717" s="12"/>
      <c r="K717" s="12"/>
    </row>
    <row r="718" customFormat="false" ht="15" hidden="false" customHeight="false" outlineLevel="0" collapsed="false">
      <c r="I718" s="11"/>
      <c r="J718" s="12"/>
      <c r="K718" s="12"/>
    </row>
    <row r="719" customFormat="false" ht="15" hidden="false" customHeight="false" outlineLevel="0" collapsed="false">
      <c r="I719" s="11"/>
      <c r="J719" s="12"/>
      <c r="K719" s="12"/>
    </row>
    <row r="720" customFormat="false" ht="15" hidden="false" customHeight="false" outlineLevel="0" collapsed="false">
      <c r="I720" s="11"/>
      <c r="J720" s="12"/>
      <c r="K720" s="12"/>
    </row>
    <row r="721" customFormat="false" ht="15" hidden="false" customHeight="false" outlineLevel="0" collapsed="false">
      <c r="I721" s="11"/>
      <c r="J721" s="12"/>
      <c r="K721" s="12"/>
    </row>
    <row r="722" customFormat="false" ht="15" hidden="false" customHeight="false" outlineLevel="0" collapsed="false">
      <c r="I722" s="11"/>
      <c r="J722" s="12"/>
      <c r="K722" s="12"/>
    </row>
    <row r="723" customFormat="false" ht="15" hidden="false" customHeight="false" outlineLevel="0" collapsed="false">
      <c r="I723" s="11"/>
      <c r="J723" s="12"/>
      <c r="K723" s="12"/>
    </row>
    <row r="724" customFormat="false" ht="15" hidden="false" customHeight="false" outlineLevel="0" collapsed="false">
      <c r="I724" s="11"/>
      <c r="J724" s="12"/>
      <c r="K724" s="12"/>
    </row>
    <row r="725" customFormat="false" ht="15" hidden="false" customHeight="false" outlineLevel="0" collapsed="false">
      <c r="I725" s="11"/>
      <c r="J725" s="12"/>
      <c r="K725" s="12"/>
    </row>
    <row r="726" customFormat="false" ht="15" hidden="false" customHeight="false" outlineLevel="0" collapsed="false">
      <c r="I726" s="11"/>
      <c r="J726" s="12"/>
      <c r="K726" s="12"/>
    </row>
    <row r="727" customFormat="false" ht="15" hidden="false" customHeight="false" outlineLevel="0" collapsed="false">
      <c r="I727" s="11"/>
      <c r="J727" s="12"/>
      <c r="K727" s="12"/>
    </row>
    <row r="728" customFormat="false" ht="15" hidden="false" customHeight="false" outlineLevel="0" collapsed="false">
      <c r="I728" s="11"/>
      <c r="J728" s="12"/>
      <c r="K728" s="12"/>
    </row>
    <row r="729" customFormat="false" ht="15" hidden="false" customHeight="false" outlineLevel="0" collapsed="false">
      <c r="I729" s="11"/>
      <c r="J729" s="12"/>
      <c r="K729" s="12"/>
    </row>
    <row r="730" customFormat="false" ht="15" hidden="false" customHeight="false" outlineLevel="0" collapsed="false">
      <c r="I730" s="11"/>
      <c r="J730" s="12"/>
      <c r="K730" s="12"/>
    </row>
    <row r="731" customFormat="false" ht="15" hidden="false" customHeight="false" outlineLevel="0" collapsed="false">
      <c r="I731" s="11"/>
      <c r="J731" s="12"/>
      <c r="K731" s="12"/>
    </row>
    <row r="732" customFormat="false" ht="15" hidden="false" customHeight="false" outlineLevel="0" collapsed="false">
      <c r="I732" s="11"/>
      <c r="J732" s="12"/>
      <c r="K732" s="12"/>
    </row>
    <row r="733" customFormat="false" ht="15" hidden="false" customHeight="false" outlineLevel="0" collapsed="false">
      <c r="I733" s="11"/>
      <c r="J733" s="12"/>
      <c r="K733" s="12"/>
    </row>
    <row r="734" customFormat="false" ht="15" hidden="false" customHeight="false" outlineLevel="0" collapsed="false">
      <c r="I734" s="11"/>
      <c r="J734" s="12"/>
      <c r="K734" s="12"/>
    </row>
    <row r="735" customFormat="false" ht="15" hidden="false" customHeight="false" outlineLevel="0" collapsed="false">
      <c r="I735" s="11"/>
      <c r="J735" s="12"/>
      <c r="K735" s="12"/>
    </row>
    <row r="736" customFormat="false" ht="15" hidden="false" customHeight="false" outlineLevel="0" collapsed="false">
      <c r="I736" s="11"/>
      <c r="J736" s="12"/>
      <c r="K736" s="12"/>
    </row>
    <row r="737" customFormat="false" ht="15" hidden="false" customHeight="false" outlineLevel="0" collapsed="false">
      <c r="I737" s="11"/>
      <c r="J737" s="12"/>
      <c r="K737" s="12"/>
    </row>
    <row r="738" customFormat="false" ht="15" hidden="false" customHeight="false" outlineLevel="0" collapsed="false">
      <c r="I738" s="11"/>
      <c r="J738" s="12"/>
      <c r="K738" s="12"/>
    </row>
    <row r="739" customFormat="false" ht="15" hidden="false" customHeight="false" outlineLevel="0" collapsed="false">
      <c r="I739" s="11"/>
      <c r="J739" s="12"/>
      <c r="K739" s="12"/>
    </row>
    <row r="740" customFormat="false" ht="15" hidden="false" customHeight="false" outlineLevel="0" collapsed="false">
      <c r="I740" s="11"/>
      <c r="J740" s="12"/>
      <c r="K740" s="12"/>
    </row>
    <row r="741" customFormat="false" ht="15" hidden="false" customHeight="false" outlineLevel="0" collapsed="false">
      <c r="I741" s="11"/>
      <c r="J741" s="12"/>
      <c r="K741" s="12"/>
    </row>
    <row r="742" customFormat="false" ht="15" hidden="false" customHeight="false" outlineLevel="0" collapsed="false">
      <c r="I742" s="11"/>
      <c r="J742" s="12"/>
      <c r="K742" s="12"/>
    </row>
    <row r="743" customFormat="false" ht="15" hidden="false" customHeight="false" outlineLevel="0" collapsed="false">
      <c r="I743" s="11"/>
      <c r="J743" s="12"/>
      <c r="K743" s="12"/>
    </row>
    <row r="744" customFormat="false" ht="15" hidden="false" customHeight="false" outlineLevel="0" collapsed="false">
      <c r="I744" s="11"/>
      <c r="J744" s="12"/>
      <c r="K744" s="12"/>
    </row>
    <row r="745" customFormat="false" ht="15" hidden="false" customHeight="false" outlineLevel="0" collapsed="false">
      <c r="I745" s="11"/>
      <c r="J745" s="12"/>
      <c r="K745" s="12"/>
    </row>
    <row r="746" customFormat="false" ht="15" hidden="false" customHeight="false" outlineLevel="0" collapsed="false">
      <c r="I746" s="11"/>
      <c r="J746" s="12"/>
      <c r="K746" s="12"/>
    </row>
    <row r="747" customFormat="false" ht="15" hidden="false" customHeight="false" outlineLevel="0" collapsed="false">
      <c r="I747" s="11"/>
      <c r="J747" s="12"/>
      <c r="K747" s="12"/>
    </row>
    <row r="748" customFormat="false" ht="15" hidden="false" customHeight="false" outlineLevel="0" collapsed="false">
      <c r="I748" s="11"/>
      <c r="J748" s="12"/>
      <c r="K748" s="12"/>
    </row>
    <row r="749" customFormat="false" ht="15" hidden="false" customHeight="false" outlineLevel="0" collapsed="false">
      <c r="I749" s="11"/>
      <c r="J749" s="12"/>
      <c r="K749" s="12"/>
    </row>
    <row r="750" customFormat="false" ht="15" hidden="false" customHeight="false" outlineLevel="0" collapsed="false">
      <c r="I750" s="11"/>
      <c r="J750" s="12"/>
      <c r="K750" s="12"/>
    </row>
    <row r="751" customFormat="false" ht="15" hidden="false" customHeight="false" outlineLevel="0" collapsed="false">
      <c r="I751" s="11"/>
      <c r="J751" s="12"/>
      <c r="K751" s="12"/>
    </row>
    <row r="752" customFormat="false" ht="15" hidden="false" customHeight="false" outlineLevel="0" collapsed="false">
      <c r="I752" s="11"/>
      <c r="J752" s="12"/>
      <c r="K752" s="12"/>
    </row>
    <row r="753" customFormat="false" ht="15" hidden="false" customHeight="false" outlineLevel="0" collapsed="false">
      <c r="I753" s="11"/>
      <c r="J753" s="12"/>
      <c r="K753" s="12"/>
    </row>
    <row r="754" customFormat="false" ht="15" hidden="false" customHeight="false" outlineLevel="0" collapsed="false">
      <c r="I754" s="11"/>
      <c r="J754" s="12"/>
      <c r="K754" s="12"/>
    </row>
    <row r="755" customFormat="false" ht="15" hidden="false" customHeight="false" outlineLevel="0" collapsed="false">
      <c r="I755" s="11"/>
      <c r="J755" s="12"/>
      <c r="K755" s="12"/>
    </row>
    <row r="756" customFormat="false" ht="15" hidden="false" customHeight="false" outlineLevel="0" collapsed="false">
      <c r="I756" s="11"/>
      <c r="J756" s="12"/>
      <c r="K756" s="12"/>
    </row>
    <row r="757" customFormat="false" ht="15" hidden="false" customHeight="false" outlineLevel="0" collapsed="false">
      <c r="I757" s="11"/>
      <c r="J757" s="12"/>
      <c r="K757" s="12"/>
    </row>
    <row r="758" customFormat="false" ht="15" hidden="false" customHeight="false" outlineLevel="0" collapsed="false">
      <c r="I758" s="11"/>
      <c r="J758" s="12"/>
      <c r="K758" s="12"/>
    </row>
    <row r="759" customFormat="false" ht="15" hidden="false" customHeight="false" outlineLevel="0" collapsed="false">
      <c r="I759" s="11"/>
      <c r="J759" s="12"/>
      <c r="K759" s="12"/>
    </row>
    <row r="760" customFormat="false" ht="15" hidden="false" customHeight="false" outlineLevel="0" collapsed="false">
      <c r="I760" s="11"/>
      <c r="J760" s="12"/>
      <c r="K760" s="12"/>
    </row>
    <row r="761" customFormat="false" ht="15" hidden="false" customHeight="false" outlineLevel="0" collapsed="false">
      <c r="I761" s="11"/>
      <c r="J761" s="12"/>
      <c r="K761" s="12"/>
    </row>
    <row r="762" customFormat="false" ht="15" hidden="false" customHeight="false" outlineLevel="0" collapsed="false">
      <c r="I762" s="11"/>
      <c r="J762" s="12"/>
      <c r="K762" s="12"/>
    </row>
    <row r="763" customFormat="false" ht="15" hidden="false" customHeight="false" outlineLevel="0" collapsed="false">
      <c r="I763" s="11"/>
      <c r="J763" s="12"/>
      <c r="K763" s="12"/>
    </row>
    <row r="764" customFormat="false" ht="15" hidden="false" customHeight="false" outlineLevel="0" collapsed="false">
      <c r="I764" s="11"/>
      <c r="J764" s="12"/>
      <c r="K764" s="12"/>
    </row>
    <row r="765" customFormat="false" ht="15" hidden="false" customHeight="false" outlineLevel="0" collapsed="false">
      <c r="I765" s="11"/>
      <c r="J765" s="12"/>
      <c r="K765" s="12"/>
    </row>
    <row r="766" customFormat="false" ht="15" hidden="false" customHeight="false" outlineLevel="0" collapsed="false">
      <c r="I766" s="11"/>
      <c r="J766" s="12"/>
      <c r="K766" s="12"/>
    </row>
    <row r="767" customFormat="false" ht="15" hidden="false" customHeight="false" outlineLevel="0" collapsed="false">
      <c r="I767" s="11"/>
      <c r="J767" s="12"/>
      <c r="K767" s="12"/>
    </row>
    <row r="768" customFormat="false" ht="15" hidden="false" customHeight="false" outlineLevel="0" collapsed="false">
      <c r="I768" s="11"/>
      <c r="J768" s="12"/>
      <c r="K768" s="12"/>
    </row>
    <row r="769" customFormat="false" ht="15" hidden="false" customHeight="false" outlineLevel="0" collapsed="false">
      <c r="I769" s="11"/>
      <c r="J769" s="12"/>
      <c r="K769" s="12"/>
    </row>
    <row r="770" customFormat="false" ht="15" hidden="false" customHeight="false" outlineLevel="0" collapsed="false">
      <c r="I770" s="11"/>
      <c r="J770" s="12"/>
      <c r="K770" s="12"/>
    </row>
    <row r="771" customFormat="false" ht="15" hidden="false" customHeight="false" outlineLevel="0" collapsed="false">
      <c r="I771" s="11"/>
      <c r="J771" s="12"/>
      <c r="K771" s="12"/>
    </row>
    <row r="772" customFormat="false" ht="15" hidden="false" customHeight="false" outlineLevel="0" collapsed="false">
      <c r="I772" s="11"/>
      <c r="J772" s="12"/>
      <c r="K772" s="12"/>
    </row>
    <row r="773" customFormat="false" ht="15" hidden="false" customHeight="false" outlineLevel="0" collapsed="false">
      <c r="I773" s="11"/>
      <c r="J773" s="12"/>
      <c r="K773" s="12"/>
    </row>
    <row r="774" customFormat="false" ht="15" hidden="false" customHeight="false" outlineLevel="0" collapsed="false">
      <c r="I774" s="11"/>
      <c r="J774" s="12"/>
      <c r="K774" s="12"/>
    </row>
    <row r="775" customFormat="false" ht="15" hidden="false" customHeight="false" outlineLevel="0" collapsed="false">
      <c r="I775" s="11"/>
      <c r="J775" s="12"/>
      <c r="K775" s="12"/>
    </row>
    <row r="776" customFormat="false" ht="15" hidden="false" customHeight="false" outlineLevel="0" collapsed="false">
      <c r="I776" s="11"/>
      <c r="J776" s="12"/>
      <c r="K776" s="12"/>
    </row>
    <row r="777" customFormat="false" ht="15" hidden="false" customHeight="false" outlineLevel="0" collapsed="false">
      <c r="I777" s="11"/>
      <c r="J777" s="12"/>
      <c r="K777" s="12"/>
    </row>
    <row r="778" customFormat="false" ht="15" hidden="false" customHeight="false" outlineLevel="0" collapsed="false">
      <c r="I778" s="11"/>
      <c r="J778" s="12"/>
      <c r="K778" s="12"/>
    </row>
    <row r="779" customFormat="false" ht="15" hidden="false" customHeight="false" outlineLevel="0" collapsed="false">
      <c r="I779" s="11"/>
      <c r="J779" s="12"/>
      <c r="K779" s="12"/>
    </row>
    <row r="780" customFormat="false" ht="15" hidden="false" customHeight="false" outlineLevel="0" collapsed="false">
      <c r="I780" s="11"/>
      <c r="J780" s="12"/>
      <c r="K780" s="12"/>
    </row>
    <row r="781" customFormat="false" ht="15" hidden="false" customHeight="false" outlineLevel="0" collapsed="false">
      <c r="I781" s="11"/>
      <c r="J781" s="12"/>
      <c r="K781" s="12"/>
    </row>
    <row r="782" customFormat="false" ht="15" hidden="false" customHeight="false" outlineLevel="0" collapsed="false">
      <c r="I782" s="11"/>
      <c r="J782" s="12"/>
      <c r="K782" s="12"/>
    </row>
    <row r="783" customFormat="false" ht="15" hidden="false" customHeight="false" outlineLevel="0" collapsed="false">
      <c r="I783" s="11"/>
      <c r="J783" s="12"/>
      <c r="K783" s="12"/>
    </row>
    <row r="784" customFormat="false" ht="15" hidden="false" customHeight="false" outlineLevel="0" collapsed="false">
      <c r="I784" s="11"/>
      <c r="J784" s="12"/>
      <c r="K784" s="12"/>
    </row>
    <row r="785" customFormat="false" ht="15" hidden="false" customHeight="false" outlineLevel="0" collapsed="false">
      <c r="I785" s="11"/>
      <c r="J785" s="12"/>
      <c r="K785" s="12"/>
    </row>
    <row r="786" customFormat="false" ht="15" hidden="false" customHeight="false" outlineLevel="0" collapsed="false">
      <c r="I786" s="11"/>
      <c r="J786" s="12"/>
      <c r="K786" s="12"/>
    </row>
    <row r="787" customFormat="false" ht="15" hidden="false" customHeight="false" outlineLevel="0" collapsed="false">
      <c r="I787" s="11"/>
      <c r="J787" s="12"/>
      <c r="K787" s="12"/>
    </row>
    <row r="788" customFormat="false" ht="15" hidden="false" customHeight="false" outlineLevel="0" collapsed="false">
      <c r="I788" s="11"/>
      <c r="J788" s="12"/>
      <c r="K788" s="12"/>
    </row>
    <row r="789" customFormat="false" ht="15" hidden="false" customHeight="false" outlineLevel="0" collapsed="false">
      <c r="I789" s="11"/>
      <c r="J789" s="12"/>
      <c r="K789" s="12"/>
    </row>
    <row r="790" customFormat="false" ht="15" hidden="false" customHeight="false" outlineLevel="0" collapsed="false">
      <c r="I790" s="11"/>
      <c r="J790" s="12"/>
      <c r="K790" s="12"/>
    </row>
    <row r="791" customFormat="false" ht="15" hidden="false" customHeight="false" outlineLevel="0" collapsed="false">
      <c r="I791" s="11"/>
      <c r="J791" s="12"/>
      <c r="K791" s="12"/>
    </row>
    <row r="792" customFormat="false" ht="15" hidden="false" customHeight="false" outlineLevel="0" collapsed="false">
      <c r="I792" s="11"/>
      <c r="J792" s="12"/>
      <c r="K792" s="12"/>
    </row>
    <row r="793" customFormat="false" ht="15" hidden="false" customHeight="false" outlineLevel="0" collapsed="false">
      <c r="I793" s="11"/>
      <c r="J793" s="12"/>
      <c r="K793" s="12"/>
    </row>
    <row r="794" customFormat="false" ht="15" hidden="false" customHeight="false" outlineLevel="0" collapsed="false">
      <c r="I794" s="11"/>
      <c r="J794" s="12"/>
      <c r="K794" s="12"/>
    </row>
    <row r="795" customFormat="false" ht="15" hidden="false" customHeight="false" outlineLevel="0" collapsed="false">
      <c r="I795" s="11"/>
      <c r="J795" s="12"/>
      <c r="K795" s="12"/>
    </row>
    <row r="796" customFormat="false" ht="15" hidden="false" customHeight="false" outlineLevel="0" collapsed="false">
      <c r="I796" s="11"/>
      <c r="J796" s="12"/>
      <c r="K796" s="12"/>
    </row>
    <row r="797" customFormat="false" ht="15" hidden="false" customHeight="false" outlineLevel="0" collapsed="false">
      <c r="I797" s="11"/>
      <c r="J797" s="12"/>
      <c r="K797" s="12"/>
    </row>
    <row r="798" customFormat="false" ht="15" hidden="false" customHeight="false" outlineLevel="0" collapsed="false">
      <c r="I798" s="11"/>
      <c r="J798" s="12"/>
      <c r="K798" s="12"/>
    </row>
    <row r="799" customFormat="false" ht="15" hidden="false" customHeight="false" outlineLevel="0" collapsed="false">
      <c r="I799" s="11"/>
      <c r="J799" s="12"/>
      <c r="K799" s="12"/>
    </row>
    <row r="800" customFormat="false" ht="15" hidden="false" customHeight="false" outlineLevel="0" collapsed="false">
      <c r="I800" s="11"/>
      <c r="J800" s="12"/>
      <c r="K800" s="12"/>
    </row>
    <row r="801" customFormat="false" ht="15" hidden="false" customHeight="false" outlineLevel="0" collapsed="false">
      <c r="I801" s="11"/>
      <c r="J801" s="12"/>
      <c r="K801" s="12"/>
    </row>
    <row r="802" customFormat="false" ht="15" hidden="false" customHeight="false" outlineLevel="0" collapsed="false">
      <c r="I802" s="11"/>
      <c r="J802" s="12"/>
      <c r="K802" s="12"/>
    </row>
    <row r="803" customFormat="false" ht="15" hidden="false" customHeight="false" outlineLevel="0" collapsed="false">
      <c r="I803" s="11"/>
      <c r="J803" s="12"/>
      <c r="K803" s="12"/>
    </row>
    <row r="804" customFormat="false" ht="15" hidden="false" customHeight="false" outlineLevel="0" collapsed="false">
      <c r="I804" s="11"/>
      <c r="J804" s="12"/>
      <c r="K804" s="12"/>
    </row>
    <row r="805" customFormat="false" ht="15" hidden="false" customHeight="false" outlineLevel="0" collapsed="false">
      <c r="I805" s="11"/>
      <c r="J805" s="12"/>
      <c r="K805" s="12"/>
    </row>
    <row r="806" customFormat="false" ht="15" hidden="false" customHeight="false" outlineLevel="0" collapsed="false">
      <c r="I806" s="11"/>
      <c r="J806" s="12"/>
      <c r="K806" s="12"/>
    </row>
    <row r="807" customFormat="false" ht="15" hidden="false" customHeight="false" outlineLevel="0" collapsed="false">
      <c r="I807" s="11"/>
      <c r="J807" s="12"/>
      <c r="K807" s="12"/>
    </row>
    <row r="808" customFormat="false" ht="15" hidden="false" customHeight="false" outlineLevel="0" collapsed="false">
      <c r="I808" s="11"/>
      <c r="J808" s="12"/>
      <c r="K808" s="12"/>
    </row>
    <row r="809" customFormat="false" ht="15" hidden="false" customHeight="false" outlineLevel="0" collapsed="false">
      <c r="I809" s="11"/>
      <c r="J809" s="12"/>
      <c r="K809" s="12"/>
    </row>
    <row r="810" customFormat="false" ht="15" hidden="false" customHeight="false" outlineLevel="0" collapsed="false">
      <c r="I810" s="11"/>
      <c r="J810" s="12"/>
      <c r="K810" s="12"/>
    </row>
    <row r="811" customFormat="false" ht="15" hidden="false" customHeight="false" outlineLevel="0" collapsed="false">
      <c r="I811" s="11"/>
      <c r="J811" s="12"/>
      <c r="K811" s="12"/>
    </row>
    <row r="812" customFormat="false" ht="15" hidden="false" customHeight="false" outlineLevel="0" collapsed="false">
      <c r="I812" s="11"/>
      <c r="J812" s="12"/>
      <c r="K812" s="12"/>
    </row>
    <row r="813" customFormat="false" ht="15" hidden="false" customHeight="false" outlineLevel="0" collapsed="false">
      <c r="I813" s="11"/>
      <c r="J813" s="12"/>
      <c r="K813" s="12"/>
    </row>
    <row r="814" customFormat="false" ht="15" hidden="false" customHeight="false" outlineLevel="0" collapsed="false">
      <c r="I814" s="11"/>
      <c r="J814" s="12"/>
      <c r="K814" s="12"/>
    </row>
    <row r="815" customFormat="false" ht="15" hidden="false" customHeight="false" outlineLevel="0" collapsed="false">
      <c r="I815" s="11"/>
      <c r="J815" s="12"/>
      <c r="K815" s="12"/>
    </row>
    <row r="816" customFormat="false" ht="15" hidden="false" customHeight="false" outlineLevel="0" collapsed="false">
      <c r="I816" s="11"/>
      <c r="J816" s="12"/>
      <c r="K816" s="12"/>
    </row>
    <row r="817" customFormat="false" ht="15" hidden="false" customHeight="false" outlineLevel="0" collapsed="false">
      <c r="I817" s="11"/>
      <c r="J817" s="12"/>
      <c r="K817" s="12"/>
    </row>
    <row r="818" customFormat="false" ht="15" hidden="false" customHeight="false" outlineLevel="0" collapsed="false">
      <c r="I818" s="11"/>
      <c r="J818" s="12"/>
      <c r="K818" s="12"/>
    </row>
    <row r="819" customFormat="false" ht="15" hidden="false" customHeight="false" outlineLevel="0" collapsed="false">
      <c r="I819" s="11"/>
      <c r="J819" s="12"/>
      <c r="K819" s="12"/>
    </row>
    <row r="820" customFormat="false" ht="15" hidden="false" customHeight="false" outlineLevel="0" collapsed="false">
      <c r="I820" s="11"/>
      <c r="J820" s="12"/>
      <c r="K820" s="12"/>
    </row>
    <row r="821" customFormat="false" ht="15" hidden="false" customHeight="false" outlineLevel="0" collapsed="false">
      <c r="I821" s="11"/>
      <c r="J821" s="12"/>
      <c r="K821" s="12"/>
    </row>
    <row r="822" customFormat="false" ht="15" hidden="false" customHeight="false" outlineLevel="0" collapsed="false">
      <c r="I822" s="11"/>
      <c r="J822" s="12"/>
      <c r="K822" s="12"/>
    </row>
    <row r="823" customFormat="false" ht="15" hidden="false" customHeight="false" outlineLevel="0" collapsed="false">
      <c r="I823" s="11"/>
      <c r="J823" s="12"/>
      <c r="K823" s="12"/>
    </row>
    <row r="824" customFormat="false" ht="15" hidden="false" customHeight="false" outlineLevel="0" collapsed="false">
      <c r="I824" s="11"/>
      <c r="J824" s="12"/>
      <c r="K824" s="12"/>
    </row>
    <row r="825" customFormat="false" ht="15" hidden="false" customHeight="false" outlineLevel="0" collapsed="false">
      <c r="I825" s="11"/>
      <c r="J825" s="12"/>
      <c r="K825" s="12"/>
    </row>
    <row r="826" customFormat="false" ht="15" hidden="false" customHeight="false" outlineLevel="0" collapsed="false">
      <c r="I826" s="11"/>
      <c r="J826" s="12"/>
      <c r="K826" s="12"/>
    </row>
    <row r="827" customFormat="false" ht="15" hidden="false" customHeight="false" outlineLevel="0" collapsed="false">
      <c r="I827" s="11"/>
      <c r="J827" s="12"/>
      <c r="K827" s="12"/>
    </row>
    <row r="828" customFormat="false" ht="15" hidden="false" customHeight="false" outlineLevel="0" collapsed="false">
      <c r="I828" s="11"/>
      <c r="J828" s="12"/>
      <c r="K828" s="12"/>
    </row>
    <row r="829" customFormat="false" ht="15" hidden="false" customHeight="false" outlineLevel="0" collapsed="false">
      <c r="I829" s="11"/>
      <c r="J829" s="12"/>
      <c r="K829" s="12"/>
    </row>
    <row r="830" customFormat="false" ht="15" hidden="false" customHeight="false" outlineLevel="0" collapsed="false">
      <c r="I830" s="11"/>
      <c r="J830" s="12"/>
      <c r="K830" s="12"/>
    </row>
    <row r="831" customFormat="false" ht="15" hidden="false" customHeight="false" outlineLevel="0" collapsed="false">
      <c r="I831" s="11"/>
      <c r="J831" s="12"/>
      <c r="K831" s="12"/>
    </row>
    <row r="832" customFormat="false" ht="15" hidden="false" customHeight="false" outlineLevel="0" collapsed="false">
      <c r="I832" s="11"/>
      <c r="J832" s="12"/>
      <c r="K832" s="12"/>
    </row>
    <row r="833" customFormat="false" ht="15" hidden="false" customHeight="false" outlineLevel="0" collapsed="false">
      <c r="I833" s="11"/>
      <c r="J833" s="12"/>
      <c r="K833" s="12"/>
    </row>
    <row r="834" customFormat="false" ht="15" hidden="false" customHeight="false" outlineLevel="0" collapsed="false">
      <c r="I834" s="11"/>
      <c r="J834" s="12"/>
      <c r="K834" s="12"/>
    </row>
    <row r="835" customFormat="false" ht="15" hidden="false" customHeight="false" outlineLevel="0" collapsed="false">
      <c r="I835" s="11"/>
      <c r="J835" s="12"/>
      <c r="K835" s="12"/>
    </row>
    <row r="836" customFormat="false" ht="15" hidden="false" customHeight="false" outlineLevel="0" collapsed="false">
      <c r="I836" s="11"/>
      <c r="J836" s="12"/>
      <c r="K836" s="12"/>
    </row>
    <row r="837" customFormat="false" ht="15" hidden="false" customHeight="false" outlineLevel="0" collapsed="false">
      <c r="I837" s="11"/>
      <c r="J837" s="12"/>
      <c r="K837" s="12"/>
    </row>
    <row r="838" customFormat="false" ht="15" hidden="false" customHeight="false" outlineLevel="0" collapsed="false">
      <c r="I838" s="11"/>
      <c r="J838" s="12"/>
      <c r="K838" s="12"/>
    </row>
    <row r="839" customFormat="false" ht="15" hidden="false" customHeight="false" outlineLevel="0" collapsed="false">
      <c r="I839" s="11"/>
      <c r="J839" s="12"/>
      <c r="K839" s="12"/>
    </row>
    <row r="840" customFormat="false" ht="15" hidden="false" customHeight="false" outlineLevel="0" collapsed="false">
      <c r="I840" s="11"/>
      <c r="J840" s="12"/>
      <c r="K840" s="12"/>
    </row>
    <row r="841" customFormat="false" ht="15" hidden="false" customHeight="false" outlineLevel="0" collapsed="false">
      <c r="I841" s="11"/>
      <c r="J841" s="12"/>
      <c r="K841" s="12"/>
    </row>
    <row r="842" customFormat="false" ht="15" hidden="false" customHeight="false" outlineLevel="0" collapsed="false">
      <c r="I842" s="11"/>
      <c r="J842" s="12"/>
      <c r="K842" s="12"/>
    </row>
    <row r="843" customFormat="false" ht="15" hidden="false" customHeight="false" outlineLevel="0" collapsed="false">
      <c r="I843" s="11"/>
      <c r="J843" s="12"/>
      <c r="K843" s="12"/>
    </row>
    <row r="844" customFormat="false" ht="15" hidden="false" customHeight="false" outlineLevel="0" collapsed="false">
      <c r="I844" s="11"/>
      <c r="J844" s="12"/>
      <c r="K844" s="12"/>
    </row>
    <row r="845" customFormat="false" ht="15" hidden="false" customHeight="false" outlineLevel="0" collapsed="false">
      <c r="I845" s="11"/>
      <c r="J845" s="12"/>
      <c r="K845" s="12"/>
    </row>
    <row r="846" customFormat="false" ht="15" hidden="false" customHeight="false" outlineLevel="0" collapsed="false">
      <c r="I846" s="11"/>
      <c r="J846" s="12"/>
      <c r="K846" s="12"/>
    </row>
    <row r="847" customFormat="false" ht="15" hidden="false" customHeight="false" outlineLevel="0" collapsed="false">
      <c r="I847" s="11"/>
      <c r="J847" s="12"/>
      <c r="K847" s="12"/>
    </row>
    <row r="848" customFormat="false" ht="15" hidden="false" customHeight="false" outlineLevel="0" collapsed="false">
      <c r="I848" s="11"/>
      <c r="J848" s="12"/>
      <c r="K848" s="12"/>
    </row>
    <row r="849" customFormat="false" ht="15" hidden="false" customHeight="false" outlineLevel="0" collapsed="false">
      <c r="I849" s="11"/>
      <c r="J849" s="12"/>
      <c r="K849" s="12"/>
    </row>
    <row r="850" customFormat="false" ht="15" hidden="false" customHeight="false" outlineLevel="0" collapsed="false">
      <c r="I850" s="11"/>
      <c r="J850" s="12"/>
      <c r="K850" s="12"/>
    </row>
    <row r="851" customFormat="false" ht="15" hidden="false" customHeight="false" outlineLevel="0" collapsed="false">
      <c r="I851" s="11"/>
      <c r="J851" s="12"/>
      <c r="K851" s="12"/>
    </row>
    <row r="852" customFormat="false" ht="15" hidden="false" customHeight="false" outlineLevel="0" collapsed="false">
      <c r="I852" s="11"/>
      <c r="J852" s="12"/>
      <c r="K852" s="12"/>
    </row>
    <row r="853" customFormat="false" ht="15" hidden="false" customHeight="false" outlineLevel="0" collapsed="false">
      <c r="I853" s="11"/>
      <c r="J853" s="12"/>
      <c r="K853" s="12"/>
    </row>
    <row r="854" customFormat="false" ht="15" hidden="false" customHeight="false" outlineLevel="0" collapsed="false">
      <c r="I854" s="11"/>
      <c r="J854" s="12"/>
      <c r="K854" s="12"/>
    </row>
    <row r="855" customFormat="false" ht="15" hidden="false" customHeight="false" outlineLevel="0" collapsed="false">
      <c r="I855" s="11"/>
      <c r="J855" s="12"/>
      <c r="K855" s="12"/>
    </row>
    <row r="856" customFormat="false" ht="15" hidden="false" customHeight="false" outlineLevel="0" collapsed="false">
      <c r="I856" s="11"/>
      <c r="J856" s="12"/>
      <c r="K856" s="12"/>
    </row>
    <row r="857" customFormat="false" ht="15" hidden="false" customHeight="false" outlineLevel="0" collapsed="false">
      <c r="I857" s="11"/>
      <c r="J857" s="12"/>
      <c r="K857" s="12"/>
    </row>
    <row r="858" customFormat="false" ht="15" hidden="false" customHeight="false" outlineLevel="0" collapsed="false">
      <c r="I858" s="11"/>
      <c r="J858" s="12"/>
      <c r="K858" s="12"/>
    </row>
    <row r="859" customFormat="false" ht="15" hidden="false" customHeight="false" outlineLevel="0" collapsed="false">
      <c r="I859" s="11"/>
      <c r="J859" s="12"/>
      <c r="K859" s="12"/>
    </row>
    <row r="860" customFormat="false" ht="15" hidden="false" customHeight="false" outlineLevel="0" collapsed="false">
      <c r="I860" s="11"/>
      <c r="J860" s="12"/>
      <c r="K860" s="12"/>
    </row>
    <row r="861" customFormat="false" ht="15" hidden="false" customHeight="false" outlineLevel="0" collapsed="false">
      <c r="I861" s="11"/>
      <c r="J861" s="12"/>
      <c r="K861" s="12"/>
    </row>
    <row r="862" customFormat="false" ht="15" hidden="false" customHeight="false" outlineLevel="0" collapsed="false">
      <c r="I862" s="11"/>
      <c r="J862" s="12"/>
      <c r="K862" s="12"/>
    </row>
    <row r="863" customFormat="false" ht="15" hidden="false" customHeight="false" outlineLevel="0" collapsed="false">
      <c r="I863" s="11"/>
      <c r="J863" s="12"/>
      <c r="K863" s="12"/>
    </row>
    <row r="864" customFormat="false" ht="15" hidden="false" customHeight="false" outlineLevel="0" collapsed="false">
      <c r="I864" s="11"/>
      <c r="J864" s="12"/>
      <c r="K864" s="12"/>
    </row>
    <row r="865" customFormat="false" ht="15" hidden="false" customHeight="false" outlineLevel="0" collapsed="false">
      <c r="I865" s="11"/>
      <c r="J865" s="12"/>
      <c r="K865" s="12"/>
    </row>
    <row r="866" customFormat="false" ht="15" hidden="false" customHeight="false" outlineLevel="0" collapsed="false">
      <c r="I866" s="11"/>
      <c r="J866" s="12"/>
      <c r="K866" s="12"/>
    </row>
    <row r="867" customFormat="false" ht="15" hidden="false" customHeight="false" outlineLevel="0" collapsed="false">
      <c r="I867" s="11"/>
      <c r="J867" s="12"/>
      <c r="K867" s="12"/>
    </row>
    <row r="868" customFormat="false" ht="15" hidden="false" customHeight="false" outlineLevel="0" collapsed="false">
      <c r="I868" s="11"/>
      <c r="J868" s="12"/>
      <c r="K868" s="12"/>
    </row>
    <row r="869" customFormat="false" ht="15" hidden="false" customHeight="false" outlineLevel="0" collapsed="false">
      <c r="I869" s="11"/>
      <c r="J869" s="12"/>
      <c r="K869" s="12"/>
    </row>
    <row r="870" customFormat="false" ht="15" hidden="false" customHeight="false" outlineLevel="0" collapsed="false">
      <c r="I870" s="11"/>
      <c r="J870" s="12"/>
      <c r="K870" s="12"/>
    </row>
    <row r="871" customFormat="false" ht="15" hidden="false" customHeight="false" outlineLevel="0" collapsed="false">
      <c r="I871" s="11"/>
      <c r="J871" s="12"/>
      <c r="K871" s="12"/>
    </row>
    <row r="872" customFormat="false" ht="15" hidden="false" customHeight="false" outlineLevel="0" collapsed="false">
      <c r="I872" s="11"/>
      <c r="J872" s="12"/>
      <c r="K872" s="12"/>
    </row>
    <row r="873" customFormat="false" ht="15" hidden="false" customHeight="false" outlineLevel="0" collapsed="false">
      <c r="I873" s="11"/>
      <c r="J873" s="12"/>
      <c r="K873" s="12"/>
    </row>
    <row r="874" customFormat="false" ht="15" hidden="false" customHeight="false" outlineLevel="0" collapsed="false">
      <c r="I874" s="11"/>
      <c r="J874" s="12"/>
      <c r="K874" s="12"/>
    </row>
    <row r="875" customFormat="false" ht="15" hidden="false" customHeight="false" outlineLevel="0" collapsed="false">
      <c r="I875" s="11"/>
      <c r="J875" s="12"/>
      <c r="K875" s="12"/>
    </row>
    <row r="876" customFormat="false" ht="15" hidden="false" customHeight="false" outlineLevel="0" collapsed="false">
      <c r="I876" s="11"/>
      <c r="J876" s="12"/>
      <c r="K876" s="12"/>
    </row>
    <row r="877" customFormat="false" ht="15" hidden="false" customHeight="false" outlineLevel="0" collapsed="false">
      <c r="I877" s="11"/>
      <c r="J877" s="12"/>
      <c r="K877" s="12"/>
    </row>
    <row r="878" customFormat="false" ht="15" hidden="false" customHeight="false" outlineLevel="0" collapsed="false">
      <c r="I878" s="11"/>
      <c r="J878" s="12"/>
      <c r="K878" s="12"/>
    </row>
    <row r="879" customFormat="false" ht="15" hidden="false" customHeight="false" outlineLevel="0" collapsed="false">
      <c r="I879" s="11"/>
      <c r="J879" s="12"/>
      <c r="K879" s="12"/>
    </row>
    <row r="880" customFormat="false" ht="15" hidden="false" customHeight="false" outlineLevel="0" collapsed="false">
      <c r="I880" s="11"/>
      <c r="J880" s="12"/>
      <c r="K880" s="12"/>
    </row>
    <row r="881" customFormat="false" ht="15" hidden="false" customHeight="false" outlineLevel="0" collapsed="false">
      <c r="I881" s="11"/>
      <c r="J881" s="12"/>
      <c r="K881" s="12"/>
    </row>
    <row r="882" customFormat="false" ht="15" hidden="false" customHeight="false" outlineLevel="0" collapsed="false">
      <c r="I882" s="11"/>
      <c r="J882" s="12"/>
      <c r="K882" s="12"/>
    </row>
    <row r="883" customFormat="false" ht="15" hidden="false" customHeight="false" outlineLevel="0" collapsed="false">
      <c r="I883" s="11"/>
      <c r="J883" s="12"/>
      <c r="K883" s="12"/>
    </row>
    <row r="884" customFormat="false" ht="15" hidden="false" customHeight="false" outlineLevel="0" collapsed="false">
      <c r="I884" s="11"/>
      <c r="J884" s="12"/>
      <c r="K884" s="12"/>
    </row>
    <row r="885" customFormat="false" ht="15" hidden="false" customHeight="false" outlineLevel="0" collapsed="false">
      <c r="I885" s="11"/>
      <c r="J885" s="12"/>
      <c r="K885" s="12"/>
    </row>
    <row r="886" customFormat="false" ht="15" hidden="false" customHeight="false" outlineLevel="0" collapsed="false">
      <c r="I886" s="11"/>
      <c r="J886" s="12"/>
      <c r="K886" s="12"/>
    </row>
    <row r="887" customFormat="false" ht="15" hidden="false" customHeight="false" outlineLevel="0" collapsed="false">
      <c r="I887" s="11"/>
      <c r="J887" s="12"/>
      <c r="K887" s="12"/>
    </row>
    <row r="888" customFormat="false" ht="15" hidden="false" customHeight="false" outlineLevel="0" collapsed="false">
      <c r="I888" s="11"/>
      <c r="J888" s="12"/>
      <c r="K888" s="12"/>
    </row>
    <row r="889" customFormat="false" ht="15" hidden="false" customHeight="false" outlineLevel="0" collapsed="false">
      <c r="I889" s="11"/>
      <c r="J889" s="12"/>
      <c r="K889" s="12"/>
    </row>
    <row r="890" customFormat="false" ht="15" hidden="false" customHeight="false" outlineLevel="0" collapsed="false">
      <c r="I890" s="11"/>
      <c r="J890" s="12"/>
      <c r="K890" s="12"/>
    </row>
    <row r="891" customFormat="false" ht="15" hidden="false" customHeight="false" outlineLevel="0" collapsed="false">
      <c r="I891" s="11"/>
      <c r="J891" s="12"/>
      <c r="K891" s="12"/>
    </row>
    <row r="892" customFormat="false" ht="15" hidden="false" customHeight="false" outlineLevel="0" collapsed="false">
      <c r="I892" s="11"/>
      <c r="J892" s="12"/>
      <c r="K892" s="12"/>
    </row>
    <row r="893" customFormat="false" ht="15" hidden="false" customHeight="false" outlineLevel="0" collapsed="false">
      <c r="I893" s="11"/>
      <c r="J893" s="12"/>
      <c r="K893" s="12"/>
    </row>
    <row r="894" customFormat="false" ht="15" hidden="false" customHeight="false" outlineLevel="0" collapsed="false">
      <c r="I894" s="11"/>
      <c r="J894" s="12"/>
      <c r="K894" s="12"/>
    </row>
    <row r="895" customFormat="false" ht="15" hidden="false" customHeight="false" outlineLevel="0" collapsed="false">
      <c r="I895" s="11"/>
      <c r="J895" s="12"/>
      <c r="K895" s="12"/>
    </row>
    <row r="896" customFormat="false" ht="15" hidden="false" customHeight="false" outlineLevel="0" collapsed="false">
      <c r="I896" s="11"/>
      <c r="J896" s="12"/>
      <c r="K896" s="12"/>
    </row>
    <row r="897" customFormat="false" ht="15" hidden="false" customHeight="false" outlineLevel="0" collapsed="false">
      <c r="I897" s="11"/>
      <c r="J897" s="12"/>
      <c r="K897" s="12"/>
    </row>
    <row r="898" customFormat="false" ht="15" hidden="false" customHeight="false" outlineLevel="0" collapsed="false">
      <c r="I898" s="11"/>
      <c r="J898" s="12"/>
      <c r="K898" s="12"/>
    </row>
    <row r="899" customFormat="false" ht="15" hidden="false" customHeight="false" outlineLevel="0" collapsed="false">
      <c r="I899" s="11"/>
      <c r="J899" s="12"/>
      <c r="K899" s="12"/>
    </row>
    <row r="900" customFormat="false" ht="15" hidden="false" customHeight="false" outlineLevel="0" collapsed="false">
      <c r="I900" s="11"/>
      <c r="J900" s="12"/>
      <c r="K900" s="12"/>
    </row>
    <row r="901" customFormat="false" ht="15" hidden="false" customHeight="false" outlineLevel="0" collapsed="false">
      <c r="I901" s="11"/>
      <c r="J901" s="12"/>
      <c r="K901" s="12"/>
    </row>
    <row r="902" customFormat="false" ht="15" hidden="false" customHeight="false" outlineLevel="0" collapsed="false">
      <c r="I902" s="11"/>
      <c r="J902" s="12"/>
      <c r="K902" s="12"/>
    </row>
    <row r="903" customFormat="false" ht="15" hidden="false" customHeight="false" outlineLevel="0" collapsed="false">
      <c r="I903" s="11"/>
      <c r="J903" s="12"/>
      <c r="K903" s="12"/>
    </row>
    <row r="904" customFormat="false" ht="15" hidden="false" customHeight="false" outlineLevel="0" collapsed="false">
      <c r="I904" s="11"/>
      <c r="J904" s="12"/>
      <c r="K904" s="12"/>
    </row>
    <row r="905" customFormat="false" ht="15" hidden="false" customHeight="false" outlineLevel="0" collapsed="false">
      <c r="I905" s="11"/>
      <c r="J905" s="12"/>
      <c r="K905" s="12"/>
    </row>
    <row r="906" customFormat="false" ht="15" hidden="false" customHeight="false" outlineLevel="0" collapsed="false">
      <c r="I906" s="11"/>
      <c r="J906" s="12"/>
      <c r="K906" s="12"/>
    </row>
    <row r="907" customFormat="false" ht="15" hidden="false" customHeight="false" outlineLevel="0" collapsed="false">
      <c r="I907" s="11"/>
      <c r="J907" s="12"/>
      <c r="K907" s="12"/>
    </row>
    <row r="908" customFormat="false" ht="15" hidden="false" customHeight="false" outlineLevel="0" collapsed="false">
      <c r="I908" s="11"/>
      <c r="J908" s="12"/>
      <c r="K908" s="12"/>
    </row>
    <row r="909" customFormat="false" ht="15" hidden="false" customHeight="false" outlineLevel="0" collapsed="false">
      <c r="I909" s="11"/>
      <c r="J909" s="12"/>
      <c r="K909" s="12"/>
    </row>
    <row r="910" customFormat="false" ht="15" hidden="false" customHeight="false" outlineLevel="0" collapsed="false">
      <c r="I910" s="11"/>
      <c r="J910" s="12"/>
      <c r="K910" s="12"/>
    </row>
    <row r="911" customFormat="false" ht="15" hidden="false" customHeight="false" outlineLevel="0" collapsed="false">
      <c r="I911" s="11"/>
      <c r="J911" s="12"/>
      <c r="K911" s="12"/>
    </row>
    <row r="912" customFormat="false" ht="15" hidden="false" customHeight="false" outlineLevel="0" collapsed="false">
      <c r="I912" s="11"/>
      <c r="J912" s="12"/>
      <c r="K912" s="12"/>
    </row>
    <row r="913" customFormat="false" ht="15" hidden="false" customHeight="false" outlineLevel="0" collapsed="false">
      <c r="I913" s="11"/>
      <c r="J913" s="12"/>
      <c r="K913" s="12"/>
    </row>
    <row r="914" customFormat="false" ht="15" hidden="false" customHeight="false" outlineLevel="0" collapsed="false">
      <c r="I914" s="11"/>
      <c r="J914" s="12"/>
      <c r="K914" s="12"/>
    </row>
    <row r="915" customFormat="false" ht="15" hidden="false" customHeight="false" outlineLevel="0" collapsed="false">
      <c r="I915" s="11"/>
      <c r="J915" s="12"/>
      <c r="K915" s="12"/>
    </row>
    <row r="916" customFormat="false" ht="15" hidden="false" customHeight="false" outlineLevel="0" collapsed="false">
      <c r="I916" s="11"/>
      <c r="J916" s="12"/>
      <c r="K916" s="12"/>
    </row>
    <row r="917" customFormat="false" ht="15" hidden="false" customHeight="false" outlineLevel="0" collapsed="false">
      <c r="I917" s="11"/>
      <c r="J917" s="12"/>
      <c r="K917" s="12"/>
    </row>
    <row r="918" customFormat="false" ht="15" hidden="false" customHeight="false" outlineLevel="0" collapsed="false">
      <c r="I918" s="11"/>
      <c r="J918" s="12"/>
      <c r="K918" s="12"/>
    </row>
    <row r="919" customFormat="false" ht="15" hidden="false" customHeight="false" outlineLevel="0" collapsed="false">
      <c r="I919" s="11"/>
      <c r="J919" s="12"/>
      <c r="K919" s="12"/>
    </row>
    <row r="920" customFormat="false" ht="15" hidden="false" customHeight="false" outlineLevel="0" collapsed="false">
      <c r="I920" s="11"/>
      <c r="J920" s="12"/>
      <c r="K920" s="12"/>
    </row>
    <row r="921" customFormat="false" ht="15" hidden="false" customHeight="false" outlineLevel="0" collapsed="false">
      <c r="I921" s="11"/>
      <c r="J921" s="12"/>
      <c r="K921" s="12"/>
    </row>
    <row r="922" customFormat="false" ht="15" hidden="false" customHeight="false" outlineLevel="0" collapsed="false">
      <c r="I922" s="11"/>
      <c r="J922" s="12"/>
      <c r="K922" s="12"/>
    </row>
    <row r="923" customFormat="false" ht="15" hidden="false" customHeight="false" outlineLevel="0" collapsed="false">
      <c r="I923" s="11"/>
      <c r="J923" s="12"/>
      <c r="K923" s="12"/>
    </row>
    <row r="924" customFormat="false" ht="15" hidden="false" customHeight="false" outlineLevel="0" collapsed="false">
      <c r="I924" s="11"/>
      <c r="J924" s="12"/>
      <c r="K924" s="12"/>
    </row>
    <row r="925" customFormat="false" ht="15" hidden="false" customHeight="false" outlineLevel="0" collapsed="false">
      <c r="I925" s="11"/>
      <c r="J925" s="12"/>
      <c r="K925" s="12"/>
    </row>
    <row r="926" customFormat="false" ht="15" hidden="false" customHeight="false" outlineLevel="0" collapsed="false">
      <c r="I926" s="11"/>
      <c r="J926" s="12"/>
      <c r="K926" s="12"/>
    </row>
    <row r="927" customFormat="false" ht="15" hidden="false" customHeight="false" outlineLevel="0" collapsed="false">
      <c r="I927" s="11"/>
      <c r="J927" s="12"/>
      <c r="K927" s="12"/>
    </row>
    <row r="928" customFormat="false" ht="15" hidden="false" customHeight="false" outlineLevel="0" collapsed="false">
      <c r="I928" s="11"/>
      <c r="J928" s="12"/>
      <c r="K928" s="12"/>
    </row>
    <row r="929" customFormat="false" ht="15" hidden="false" customHeight="false" outlineLevel="0" collapsed="false">
      <c r="I929" s="11"/>
      <c r="J929" s="12"/>
      <c r="K929" s="12"/>
    </row>
    <row r="930" customFormat="false" ht="15" hidden="false" customHeight="false" outlineLevel="0" collapsed="false">
      <c r="I930" s="11"/>
      <c r="J930" s="12"/>
      <c r="K930" s="12"/>
    </row>
    <row r="931" customFormat="false" ht="15" hidden="false" customHeight="false" outlineLevel="0" collapsed="false">
      <c r="I931" s="11"/>
      <c r="J931" s="12"/>
      <c r="K931" s="12"/>
    </row>
    <row r="932" customFormat="false" ht="15" hidden="false" customHeight="false" outlineLevel="0" collapsed="false">
      <c r="I932" s="11"/>
      <c r="J932" s="12"/>
      <c r="K932" s="12"/>
    </row>
    <row r="933" customFormat="false" ht="15" hidden="false" customHeight="false" outlineLevel="0" collapsed="false">
      <c r="I933" s="11"/>
      <c r="J933" s="12"/>
      <c r="K933" s="12"/>
    </row>
    <row r="934" customFormat="false" ht="15" hidden="false" customHeight="false" outlineLevel="0" collapsed="false">
      <c r="I934" s="11"/>
      <c r="J934" s="12"/>
      <c r="K934" s="12"/>
    </row>
    <row r="935" customFormat="false" ht="15" hidden="false" customHeight="false" outlineLevel="0" collapsed="false">
      <c r="I935" s="11"/>
      <c r="J935" s="12"/>
      <c r="K935" s="12"/>
    </row>
    <row r="936" customFormat="false" ht="15" hidden="false" customHeight="false" outlineLevel="0" collapsed="false">
      <c r="I936" s="11"/>
      <c r="J936" s="12"/>
      <c r="K936" s="12"/>
    </row>
    <row r="937" customFormat="false" ht="15" hidden="false" customHeight="false" outlineLevel="0" collapsed="false">
      <c r="I937" s="11"/>
      <c r="J937" s="12"/>
      <c r="K937" s="12"/>
    </row>
    <row r="938" customFormat="false" ht="15" hidden="false" customHeight="false" outlineLevel="0" collapsed="false">
      <c r="I938" s="11"/>
      <c r="J938" s="12"/>
      <c r="K938" s="12"/>
    </row>
    <row r="939" customFormat="false" ht="15" hidden="false" customHeight="false" outlineLevel="0" collapsed="false">
      <c r="I939" s="11"/>
      <c r="J939" s="12"/>
      <c r="K939" s="12"/>
    </row>
    <row r="940" customFormat="false" ht="15" hidden="false" customHeight="false" outlineLevel="0" collapsed="false">
      <c r="I940" s="11"/>
      <c r="J940" s="12"/>
      <c r="K940" s="12"/>
    </row>
    <row r="941" customFormat="false" ht="15" hidden="false" customHeight="false" outlineLevel="0" collapsed="false">
      <c r="I941" s="11"/>
      <c r="J941" s="12"/>
      <c r="K941" s="12"/>
    </row>
    <row r="942" customFormat="false" ht="15" hidden="false" customHeight="false" outlineLevel="0" collapsed="false">
      <c r="I942" s="11"/>
      <c r="J942" s="12"/>
      <c r="K942" s="12"/>
    </row>
    <row r="943" customFormat="false" ht="15" hidden="false" customHeight="false" outlineLevel="0" collapsed="false">
      <c r="I943" s="11"/>
      <c r="J943" s="12"/>
      <c r="K943" s="12"/>
    </row>
    <row r="944" customFormat="false" ht="15" hidden="false" customHeight="false" outlineLevel="0" collapsed="false">
      <c r="I944" s="11"/>
      <c r="J944" s="12"/>
      <c r="K944" s="12"/>
    </row>
    <row r="945" customFormat="false" ht="15" hidden="false" customHeight="false" outlineLevel="0" collapsed="false">
      <c r="I945" s="11"/>
      <c r="J945" s="12"/>
      <c r="K945" s="12"/>
    </row>
    <row r="946" customFormat="false" ht="15" hidden="false" customHeight="false" outlineLevel="0" collapsed="false">
      <c r="I946" s="11"/>
      <c r="J946" s="12"/>
      <c r="K946" s="12"/>
    </row>
    <row r="947" customFormat="false" ht="15" hidden="false" customHeight="false" outlineLevel="0" collapsed="false">
      <c r="I947" s="11"/>
      <c r="J947" s="12"/>
      <c r="K947" s="12"/>
    </row>
    <row r="948" customFormat="false" ht="15" hidden="false" customHeight="false" outlineLevel="0" collapsed="false">
      <c r="I948" s="11"/>
      <c r="J948" s="12"/>
      <c r="K948" s="12"/>
    </row>
    <row r="949" customFormat="false" ht="15" hidden="false" customHeight="false" outlineLevel="0" collapsed="false">
      <c r="I949" s="11"/>
      <c r="J949" s="12"/>
      <c r="K949" s="12"/>
    </row>
    <row r="950" customFormat="false" ht="15" hidden="false" customHeight="false" outlineLevel="0" collapsed="false">
      <c r="I950" s="11"/>
      <c r="J950" s="12"/>
      <c r="K950" s="12"/>
    </row>
    <row r="951" customFormat="false" ht="15" hidden="false" customHeight="false" outlineLevel="0" collapsed="false">
      <c r="I951" s="11"/>
      <c r="J951" s="12"/>
      <c r="K951" s="12"/>
    </row>
    <row r="952" customFormat="false" ht="15" hidden="false" customHeight="false" outlineLevel="0" collapsed="false">
      <c r="I952" s="11"/>
      <c r="J952" s="12"/>
      <c r="K952" s="12"/>
    </row>
    <row r="953" customFormat="false" ht="15" hidden="false" customHeight="false" outlineLevel="0" collapsed="false">
      <c r="I953" s="11"/>
      <c r="J953" s="12"/>
      <c r="K953" s="12"/>
    </row>
    <row r="954" customFormat="false" ht="15" hidden="false" customHeight="false" outlineLevel="0" collapsed="false">
      <c r="I954" s="11"/>
      <c r="J954" s="12"/>
      <c r="K954" s="12"/>
    </row>
    <row r="955" customFormat="false" ht="15" hidden="false" customHeight="false" outlineLevel="0" collapsed="false">
      <c r="I955" s="11"/>
      <c r="J955" s="12"/>
      <c r="K955" s="12"/>
    </row>
    <row r="956" customFormat="false" ht="15" hidden="false" customHeight="false" outlineLevel="0" collapsed="false">
      <c r="I956" s="11"/>
      <c r="J956" s="12"/>
      <c r="K956" s="12"/>
    </row>
    <row r="957" customFormat="false" ht="15" hidden="false" customHeight="false" outlineLevel="0" collapsed="false">
      <c r="I957" s="11"/>
      <c r="J957" s="12"/>
      <c r="K957" s="12"/>
    </row>
    <row r="958" customFormat="false" ht="15" hidden="false" customHeight="false" outlineLevel="0" collapsed="false">
      <c r="I958" s="11"/>
      <c r="J958" s="12"/>
      <c r="K958" s="12"/>
    </row>
    <row r="959" customFormat="false" ht="15" hidden="false" customHeight="false" outlineLevel="0" collapsed="false">
      <c r="I959" s="11"/>
      <c r="J959" s="12"/>
      <c r="K959" s="12"/>
    </row>
    <row r="960" customFormat="false" ht="15" hidden="false" customHeight="false" outlineLevel="0" collapsed="false">
      <c r="I960" s="11"/>
      <c r="J960" s="12"/>
      <c r="K960" s="12"/>
    </row>
    <row r="961" customFormat="false" ht="15" hidden="false" customHeight="false" outlineLevel="0" collapsed="false">
      <c r="I961" s="11"/>
      <c r="J961" s="12"/>
      <c r="K961" s="12"/>
    </row>
    <row r="962" customFormat="false" ht="15" hidden="false" customHeight="false" outlineLevel="0" collapsed="false">
      <c r="I962" s="11"/>
      <c r="J962" s="12"/>
      <c r="K962" s="12"/>
    </row>
    <row r="963" customFormat="false" ht="15" hidden="false" customHeight="false" outlineLevel="0" collapsed="false">
      <c r="I963" s="11"/>
      <c r="J963" s="12"/>
      <c r="K963" s="12"/>
    </row>
    <row r="964" customFormat="false" ht="15" hidden="false" customHeight="false" outlineLevel="0" collapsed="false">
      <c r="I964" s="11"/>
      <c r="J964" s="12"/>
      <c r="K964" s="12"/>
    </row>
    <row r="965" customFormat="false" ht="15" hidden="false" customHeight="false" outlineLevel="0" collapsed="false">
      <c r="I965" s="11"/>
      <c r="J965" s="12"/>
      <c r="K965" s="12"/>
    </row>
    <row r="966" customFormat="false" ht="15" hidden="false" customHeight="false" outlineLevel="0" collapsed="false">
      <c r="I966" s="11"/>
      <c r="J966" s="12"/>
      <c r="K966" s="12"/>
    </row>
    <row r="967" customFormat="false" ht="15" hidden="false" customHeight="false" outlineLevel="0" collapsed="false">
      <c r="I967" s="11"/>
      <c r="J967" s="12"/>
      <c r="K967" s="12"/>
    </row>
    <row r="968" customFormat="false" ht="15" hidden="false" customHeight="false" outlineLevel="0" collapsed="false">
      <c r="I968" s="11"/>
      <c r="J968" s="12"/>
      <c r="K968" s="12"/>
    </row>
    <row r="969" customFormat="false" ht="15" hidden="false" customHeight="false" outlineLevel="0" collapsed="false">
      <c r="I969" s="11"/>
      <c r="J969" s="12"/>
      <c r="K969" s="12"/>
    </row>
    <row r="970" customFormat="false" ht="15" hidden="false" customHeight="false" outlineLevel="0" collapsed="false">
      <c r="I970" s="11"/>
      <c r="J970" s="12"/>
      <c r="K970" s="12"/>
    </row>
    <row r="971" customFormat="false" ht="15" hidden="false" customHeight="false" outlineLevel="0" collapsed="false">
      <c r="I971" s="11"/>
      <c r="J971" s="12"/>
      <c r="K971" s="12"/>
    </row>
    <row r="972" customFormat="false" ht="15" hidden="false" customHeight="false" outlineLevel="0" collapsed="false">
      <c r="I972" s="11"/>
      <c r="J972" s="12"/>
      <c r="K972" s="12"/>
    </row>
    <row r="973" customFormat="false" ht="15" hidden="false" customHeight="false" outlineLevel="0" collapsed="false">
      <c r="I973" s="11"/>
      <c r="J973" s="12"/>
      <c r="K973" s="12"/>
    </row>
    <row r="974" customFormat="false" ht="15" hidden="false" customHeight="false" outlineLevel="0" collapsed="false">
      <c r="I974" s="11"/>
      <c r="J974" s="12"/>
      <c r="K974" s="12"/>
    </row>
    <row r="975" customFormat="false" ht="15" hidden="false" customHeight="false" outlineLevel="0" collapsed="false">
      <c r="I975" s="11"/>
      <c r="J975" s="12"/>
      <c r="K975" s="12"/>
    </row>
    <row r="976" customFormat="false" ht="15" hidden="false" customHeight="false" outlineLevel="0" collapsed="false">
      <c r="I976" s="11"/>
      <c r="J976" s="12"/>
      <c r="K976" s="12"/>
    </row>
    <row r="977" customFormat="false" ht="15" hidden="false" customHeight="false" outlineLevel="0" collapsed="false">
      <c r="I977" s="11"/>
      <c r="J977" s="12"/>
      <c r="K977" s="12"/>
    </row>
    <row r="978" customFormat="false" ht="15" hidden="false" customHeight="false" outlineLevel="0" collapsed="false">
      <c r="I978" s="11"/>
      <c r="J978" s="12"/>
      <c r="K978" s="12"/>
    </row>
    <row r="979" customFormat="false" ht="15" hidden="false" customHeight="false" outlineLevel="0" collapsed="false">
      <c r="I979" s="11"/>
      <c r="J979" s="12"/>
      <c r="K979" s="12"/>
    </row>
    <row r="980" customFormat="false" ht="15" hidden="false" customHeight="false" outlineLevel="0" collapsed="false">
      <c r="I980" s="11"/>
      <c r="J980" s="12"/>
      <c r="K980" s="12"/>
    </row>
    <row r="981" customFormat="false" ht="15" hidden="false" customHeight="false" outlineLevel="0" collapsed="false">
      <c r="I981" s="11"/>
      <c r="J981" s="12"/>
      <c r="K981" s="12"/>
    </row>
    <row r="982" customFormat="false" ht="15" hidden="false" customHeight="false" outlineLevel="0" collapsed="false">
      <c r="I982" s="11"/>
      <c r="J982" s="12"/>
      <c r="K982" s="12"/>
    </row>
    <row r="983" customFormat="false" ht="15" hidden="false" customHeight="false" outlineLevel="0" collapsed="false">
      <c r="I983" s="11"/>
      <c r="J983" s="12"/>
      <c r="K983" s="12"/>
    </row>
    <row r="984" customFormat="false" ht="15" hidden="false" customHeight="false" outlineLevel="0" collapsed="false">
      <c r="I984" s="11"/>
      <c r="J984" s="12"/>
      <c r="K984" s="12"/>
    </row>
    <row r="985" customFormat="false" ht="15" hidden="false" customHeight="false" outlineLevel="0" collapsed="false">
      <c r="I985" s="11"/>
      <c r="J985" s="12"/>
      <c r="K985" s="12"/>
    </row>
    <row r="986" customFormat="false" ht="15" hidden="false" customHeight="false" outlineLevel="0" collapsed="false">
      <c r="I986" s="11"/>
      <c r="J986" s="12"/>
      <c r="K986" s="12"/>
    </row>
    <row r="987" customFormat="false" ht="15" hidden="false" customHeight="false" outlineLevel="0" collapsed="false">
      <c r="I987" s="11"/>
      <c r="J987" s="12"/>
      <c r="K987" s="12"/>
    </row>
    <row r="988" customFormat="false" ht="15" hidden="false" customHeight="false" outlineLevel="0" collapsed="false">
      <c r="I988" s="11"/>
      <c r="J988" s="12"/>
      <c r="K988" s="12"/>
    </row>
    <row r="989" customFormat="false" ht="15" hidden="false" customHeight="false" outlineLevel="0" collapsed="false">
      <c r="I989" s="11"/>
      <c r="J989" s="12"/>
      <c r="K989" s="12"/>
    </row>
    <row r="990" customFormat="false" ht="15" hidden="false" customHeight="false" outlineLevel="0" collapsed="false">
      <c r="I990" s="11"/>
      <c r="J990" s="12"/>
      <c r="K990" s="12"/>
    </row>
    <row r="991" customFormat="false" ht="15" hidden="false" customHeight="false" outlineLevel="0" collapsed="false">
      <c r="I991" s="11"/>
      <c r="J991" s="12"/>
      <c r="K991" s="12"/>
    </row>
    <row r="992" customFormat="false" ht="15" hidden="false" customHeight="false" outlineLevel="0" collapsed="false">
      <c r="I992" s="11"/>
      <c r="J992" s="12"/>
      <c r="K992" s="12"/>
    </row>
    <row r="993" customFormat="false" ht="15" hidden="false" customHeight="false" outlineLevel="0" collapsed="false">
      <c r="I993" s="11"/>
      <c r="J993" s="12"/>
      <c r="K993" s="12"/>
    </row>
    <row r="994" customFormat="false" ht="15" hidden="false" customHeight="false" outlineLevel="0" collapsed="false">
      <c r="I994" s="11"/>
      <c r="J994" s="12"/>
      <c r="K994" s="12"/>
    </row>
    <row r="995" customFormat="false" ht="15" hidden="false" customHeight="false" outlineLevel="0" collapsed="false">
      <c r="I995" s="11"/>
      <c r="J995" s="12"/>
      <c r="K995" s="12"/>
    </row>
    <row r="996" customFormat="false" ht="15" hidden="false" customHeight="false" outlineLevel="0" collapsed="false">
      <c r="I996" s="11"/>
      <c r="J996" s="12"/>
      <c r="K996" s="12"/>
    </row>
    <row r="997" customFormat="false" ht="15" hidden="false" customHeight="false" outlineLevel="0" collapsed="false">
      <c r="I997" s="11"/>
      <c r="J997" s="12"/>
      <c r="K997" s="12"/>
    </row>
    <row r="998" customFormat="false" ht="15" hidden="false" customHeight="false" outlineLevel="0" collapsed="false">
      <c r="I998" s="11"/>
      <c r="J998" s="12"/>
      <c r="K998" s="12"/>
    </row>
    <row r="999" customFormat="false" ht="15" hidden="false" customHeight="false" outlineLevel="0" collapsed="false">
      <c r="I999" s="11"/>
      <c r="J999" s="12"/>
      <c r="K999" s="12"/>
    </row>
    <row r="1000" customFormat="false" ht="15" hidden="false" customHeight="false" outlineLevel="0" collapsed="false">
      <c r="I1000" s="11"/>
      <c r="J1000" s="12"/>
      <c r="K1000" s="12"/>
    </row>
  </sheetData>
  <dataValidations count="2">
    <dataValidation allowBlank="false" errorStyle="stop" operator="between" showDropDown="false" showErrorMessage="false" showInputMessage="false" sqref="E2:E1000" type="list">
      <formula1>"0,1,2,3,4,5,6,7"</formula1>
      <formula2>0</formula2>
    </dataValidation>
    <dataValidation allowBlank="false" errorStyle="stop" operator="between" showDropDown="false" showErrorMessage="false" showInputMessage="false" sqref="M2:Q1000" type="list">
      <formula1>"0,1,2,3"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8"/>
    <col collapsed="false" customWidth="true" hidden="false" outlineLevel="0" max="3" min="3" style="1" width="18"/>
    <col collapsed="false" customWidth="true" hidden="false" outlineLevel="0" max="4" min="4" style="1" width="54"/>
    <col collapsed="false" customWidth="true" hidden="false" outlineLevel="0" max="5" min="5" style="1" width="12"/>
    <col collapsed="false" customWidth="true" hidden="false" outlineLevel="0" max="7" min="6" style="1" width="20"/>
    <col collapsed="false" customWidth="true" hidden="false" outlineLevel="0" max="9" min="8" style="1" width="22"/>
    <col collapsed="false" customWidth="true" hidden="false" outlineLevel="0" max="10" min="10" style="1" width="13"/>
    <col collapsed="false" customWidth="true" hidden="false" outlineLevel="0" max="11" min="11" style="1" width="10"/>
    <col collapsed="false" customWidth="true" hidden="false" outlineLevel="0" max="12" min="12" style="1" width="16"/>
    <col collapsed="false" customWidth="true" hidden="false" outlineLevel="0" max="13" min="13" style="1" width="12"/>
    <col collapsed="false" customWidth="true" hidden="false" outlineLevel="0" max="16" min="14" style="1" width="14"/>
    <col collapsed="false" customWidth="true" hidden="false" outlineLevel="0" max="17" min="17" style="1" width="45"/>
    <col collapsed="false" customWidth="true" hidden="false" outlineLevel="0" max="18" min="18" style="1" width="48"/>
  </cols>
  <sheetData>
    <row r="1" customFormat="false" ht="28.35" hidden="false" customHeight="false" outlineLevel="0" collapsed="false">
      <c r="A1" s="3" t="s">
        <v>56</v>
      </c>
      <c r="B1" s="3" t="s">
        <v>297</v>
      </c>
      <c r="C1" s="3" t="s">
        <v>58</v>
      </c>
      <c r="D1" s="3" t="s">
        <v>59</v>
      </c>
      <c r="E1" s="3" t="s">
        <v>878</v>
      </c>
      <c r="F1" s="3" t="s">
        <v>61</v>
      </c>
      <c r="G1" s="3" t="s">
        <v>62</v>
      </c>
      <c r="H1" s="3" t="s">
        <v>63</v>
      </c>
      <c r="I1" s="3" t="s">
        <v>64</v>
      </c>
      <c r="J1" s="3" t="s">
        <v>65</v>
      </c>
      <c r="K1" s="3" t="s">
        <v>66</v>
      </c>
      <c r="L1" s="3" t="s">
        <v>67</v>
      </c>
      <c r="M1" s="3" t="s">
        <v>903</v>
      </c>
      <c r="N1" s="3" t="s">
        <v>907</v>
      </c>
      <c r="O1" s="3" t="s">
        <v>912</v>
      </c>
      <c r="P1" s="3" t="s">
        <v>71</v>
      </c>
      <c r="Q1" s="3" t="s">
        <v>2070</v>
      </c>
      <c r="R1" s="3" t="s">
        <v>73</v>
      </c>
    </row>
    <row r="2" customFormat="false" ht="15" hidden="false" customHeight="false" outlineLevel="0" collapsed="false">
      <c r="A2" s="1" t="s">
        <v>145</v>
      </c>
      <c r="B2" s="1" t="n">
        <v>2022</v>
      </c>
      <c r="C2" s="1" t="s">
        <v>146</v>
      </c>
      <c r="D2" s="1" t="s">
        <v>147</v>
      </c>
      <c r="E2" s="1" t="s">
        <v>77</v>
      </c>
      <c r="F2" s="1" t="s">
        <v>148</v>
      </c>
      <c r="G2" s="1" t="s">
        <v>149</v>
      </c>
      <c r="H2" s="1" t="s">
        <v>150</v>
      </c>
      <c r="I2" s="1" t="s">
        <v>151</v>
      </c>
      <c r="J2" s="11" t="n">
        <v>44874</v>
      </c>
      <c r="K2" s="1" t="s">
        <v>82</v>
      </c>
      <c r="L2" s="12" t="n">
        <v>5000000</v>
      </c>
      <c r="M2" s="1" t="n">
        <v>1</v>
      </c>
      <c r="N2" s="1" t="s">
        <v>393</v>
      </c>
      <c r="O2" s="1" t="s">
        <v>393</v>
      </c>
      <c r="P2" s="1" t="n">
        <f aca="false">COUNTIF(ZZ_CU_02_OUTPUT!$B:$B,A2)</f>
        <v>2</v>
      </c>
      <c r="Q2" s="1" t="s">
        <v>136</v>
      </c>
    </row>
    <row r="3" customFormat="false" ht="15" hidden="false" customHeight="false" outlineLevel="0" collapsed="false">
      <c r="A3" s="1" t="s">
        <v>153</v>
      </c>
      <c r="B3" s="1" t="n">
        <v>2022</v>
      </c>
      <c r="C3" s="1" t="s">
        <v>154</v>
      </c>
      <c r="D3" s="1" t="s">
        <v>155</v>
      </c>
      <c r="E3" s="1" t="s">
        <v>77</v>
      </c>
      <c r="F3" s="1" t="s">
        <v>156</v>
      </c>
      <c r="G3" s="1" t="s">
        <v>157</v>
      </c>
      <c r="H3" s="1" t="s">
        <v>158</v>
      </c>
      <c r="I3" s="1" t="s">
        <v>159</v>
      </c>
      <c r="J3" s="11" t="n">
        <v>44875</v>
      </c>
      <c r="K3" s="1" t="s">
        <v>82</v>
      </c>
      <c r="L3" s="12" t="n">
        <v>29000000</v>
      </c>
      <c r="M3" s="1" t="n">
        <v>5</v>
      </c>
      <c r="N3" s="1" t="s">
        <v>393</v>
      </c>
      <c r="O3" s="1" t="s">
        <v>393</v>
      </c>
      <c r="P3" s="1" t="n">
        <f aca="false">COUNTIF(ZZ_CU_02_OUTPUT!$B:$B,A3)</f>
        <v>2</v>
      </c>
      <c r="Q3" s="1" t="s">
        <v>136</v>
      </c>
    </row>
    <row r="4" customFormat="false" ht="15" hidden="false" customHeight="false" outlineLevel="0" collapsed="false">
      <c r="A4" s="1" t="s">
        <v>160</v>
      </c>
      <c r="B4" s="1" t="n">
        <v>2022</v>
      </c>
      <c r="C4" s="1" t="s">
        <v>161</v>
      </c>
      <c r="D4" s="1" t="s">
        <v>162</v>
      </c>
      <c r="E4" s="1" t="s">
        <v>77</v>
      </c>
      <c r="F4" s="1" t="s">
        <v>163</v>
      </c>
      <c r="G4" s="1" t="s">
        <v>157</v>
      </c>
      <c r="H4" s="1" t="s">
        <v>164</v>
      </c>
      <c r="I4" s="1" t="s">
        <v>159</v>
      </c>
      <c r="J4" s="11" t="n">
        <v>44875</v>
      </c>
      <c r="K4" s="1" t="s">
        <v>82</v>
      </c>
      <c r="L4" s="12" t="n">
        <v>50000000</v>
      </c>
      <c r="M4" s="1" t="n">
        <v>7</v>
      </c>
      <c r="N4" s="1" t="s">
        <v>393</v>
      </c>
      <c r="O4" s="1" t="s">
        <v>393</v>
      </c>
      <c r="P4" s="1" t="n">
        <f aca="false">COUNTIF(ZZ_CU_02_OUTPUT!$B:$B,A4)</f>
        <v>2</v>
      </c>
      <c r="Q4" s="1" t="s">
        <v>136</v>
      </c>
    </row>
    <row r="5" customFormat="false" ht="15" hidden="false" customHeight="false" outlineLevel="0" collapsed="false">
      <c r="A5" s="1" t="s">
        <v>207</v>
      </c>
      <c r="B5" s="1" t="n">
        <v>2023</v>
      </c>
      <c r="C5" s="1" t="s">
        <v>208</v>
      </c>
      <c r="D5" s="1" t="s">
        <v>209</v>
      </c>
      <c r="E5" s="1" t="s">
        <v>77</v>
      </c>
      <c r="F5" s="1" t="s">
        <v>99</v>
      </c>
      <c r="G5" s="1" t="s">
        <v>210</v>
      </c>
      <c r="H5" s="1" t="s">
        <v>211</v>
      </c>
      <c r="I5" s="1" t="s">
        <v>159</v>
      </c>
      <c r="J5" s="11" t="n">
        <v>45243</v>
      </c>
      <c r="K5" s="1" t="s">
        <v>95</v>
      </c>
      <c r="L5" s="12" t="n">
        <v>50000000</v>
      </c>
      <c r="M5" s="1" t="n">
        <v>8</v>
      </c>
      <c r="N5" s="1" t="s">
        <v>2071</v>
      </c>
      <c r="O5" s="1" t="s">
        <v>393</v>
      </c>
      <c r="P5" s="1" t="n">
        <f aca="false">COUNTIF(ZZ_CU_02_OUTPUT!$B:$B,A5)</f>
        <v>2</v>
      </c>
      <c r="Q5" s="1" t="s">
        <v>2050</v>
      </c>
      <c r="R5" s="1" t="s">
        <v>2072</v>
      </c>
    </row>
    <row r="6" customFormat="false" ht="15" hidden="false" customHeight="false" outlineLevel="0" collapsed="false">
      <c r="A6" s="1" t="s">
        <v>214</v>
      </c>
      <c r="B6" s="1" t="n">
        <v>2024</v>
      </c>
      <c r="C6" s="1" t="s">
        <v>215</v>
      </c>
      <c r="D6" s="1" t="s">
        <v>216</v>
      </c>
      <c r="E6" s="1" t="s">
        <v>77</v>
      </c>
      <c r="F6" s="1" t="s">
        <v>156</v>
      </c>
      <c r="G6" s="1" t="s">
        <v>157</v>
      </c>
      <c r="H6" s="1" t="s">
        <v>217</v>
      </c>
      <c r="I6" s="1" t="s">
        <v>159</v>
      </c>
      <c r="J6" s="11" t="n">
        <v>45611</v>
      </c>
      <c r="K6" s="1" t="s">
        <v>95</v>
      </c>
      <c r="L6" s="12" t="n">
        <v>58000000</v>
      </c>
      <c r="M6" s="1" t="n">
        <v>4</v>
      </c>
      <c r="N6" s="1" t="s">
        <v>393</v>
      </c>
      <c r="O6" s="1" t="s">
        <v>393</v>
      </c>
      <c r="P6" s="1" t="n">
        <f aca="false">COUNTIF(ZZ_CU_02_OUTPUT!$B:$B,A6)</f>
        <v>4</v>
      </c>
      <c r="Q6" s="1" t="s">
        <v>2050</v>
      </c>
    </row>
    <row r="7" customFormat="false" ht="15" hidden="false" customHeight="false" outlineLevel="0" collapsed="false">
      <c r="A7" s="1" t="s">
        <v>277</v>
      </c>
      <c r="B7" s="1" t="n">
        <v>2025</v>
      </c>
      <c r="C7" s="1" t="s">
        <v>278</v>
      </c>
      <c r="D7" s="1" t="s">
        <v>279</v>
      </c>
      <c r="E7" s="1" t="s">
        <v>77</v>
      </c>
      <c r="F7" s="1" t="s">
        <v>232</v>
      </c>
      <c r="G7" s="1" t="s">
        <v>280</v>
      </c>
      <c r="H7" s="1" t="s">
        <v>233</v>
      </c>
      <c r="I7" s="1" t="s">
        <v>159</v>
      </c>
      <c r="J7" s="11" t="n">
        <v>46016</v>
      </c>
      <c r="K7" s="1" t="s">
        <v>95</v>
      </c>
      <c r="L7" s="12" t="n">
        <v>30000000</v>
      </c>
      <c r="M7" s="1" t="n">
        <v>4</v>
      </c>
      <c r="N7" s="1" t="s">
        <v>393</v>
      </c>
      <c r="O7" s="1" t="s">
        <v>393</v>
      </c>
      <c r="P7" s="1" t="n">
        <f aca="false">COUNTIF(ZZ_CU_02_OUTPUT!$B:$B,A7)</f>
        <v>3</v>
      </c>
      <c r="Q7" s="1" t="s">
        <v>2050</v>
      </c>
      <c r="R7" s="1" t="s">
        <v>2073</v>
      </c>
    </row>
    <row r="8" customFormat="false" ht="15" hidden="false" customHeight="false" outlineLevel="0" collapsed="false">
      <c r="A8" s="1" t="s">
        <v>283</v>
      </c>
      <c r="B8" s="1" t="n">
        <v>2025</v>
      </c>
      <c r="C8" s="1" t="s">
        <v>284</v>
      </c>
      <c r="D8" s="1" t="s">
        <v>285</v>
      </c>
      <c r="E8" s="1" t="s">
        <v>77</v>
      </c>
      <c r="F8" s="1" t="s">
        <v>286</v>
      </c>
      <c r="G8" s="1" t="s">
        <v>280</v>
      </c>
      <c r="H8" s="1" t="s">
        <v>233</v>
      </c>
      <c r="I8" s="1" t="s">
        <v>159</v>
      </c>
      <c r="J8" s="11" t="n">
        <v>46016</v>
      </c>
      <c r="K8" s="1" t="s">
        <v>95</v>
      </c>
      <c r="L8" s="12" t="n">
        <v>30000000</v>
      </c>
      <c r="M8" s="1" t="n">
        <v>4</v>
      </c>
      <c r="N8" s="1" t="s">
        <v>393</v>
      </c>
      <c r="O8" s="1" t="s">
        <v>393</v>
      </c>
      <c r="P8" s="1" t="n">
        <f aca="false">COUNTIF(ZZ_CU_02_OUTPUT!$B:$B,A8)</f>
        <v>4</v>
      </c>
      <c r="Q8" s="1" t="s">
        <v>2050</v>
      </c>
      <c r="R8" s="1" t="s">
        <v>2073</v>
      </c>
    </row>
    <row r="9" customFormat="false" ht="15" hidden="false" customHeight="false" outlineLevel="0" collapsed="false">
      <c r="J9" s="11"/>
      <c r="L9" s="12"/>
    </row>
    <row r="10" customFormat="false" ht="15" hidden="false" customHeight="false" outlineLevel="0" collapsed="false">
      <c r="J10" s="11"/>
      <c r="L10" s="12"/>
    </row>
    <row r="11" customFormat="false" ht="15" hidden="false" customHeight="false" outlineLevel="0" collapsed="false">
      <c r="J11" s="11"/>
      <c r="L11" s="12"/>
    </row>
    <row r="12" customFormat="false" ht="15" hidden="false" customHeight="false" outlineLevel="0" collapsed="false">
      <c r="J12" s="11"/>
      <c r="L12" s="12"/>
    </row>
    <row r="13" customFormat="false" ht="15" hidden="false" customHeight="false" outlineLevel="0" collapsed="false">
      <c r="J13" s="11"/>
      <c r="L13" s="12"/>
    </row>
    <row r="14" customFormat="false" ht="15" hidden="false" customHeight="false" outlineLevel="0" collapsed="false">
      <c r="J14" s="11"/>
      <c r="L14" s="12"/>
    </row>
    <row r="15" customFormat="false" ht="15" hidden="false" customHeight="false" outlineLevel="0" collapsed="false">
      <c r="J15" s="11"/>
      <c r="L15" s="12"/>
    </row>
    <row r="16" customFormat="false" ht="15" hidden="false" customHeight="false" outlineLevel="0" collapsed="false">
      <c r="J16" s="11"/>
      <c r="L16" s="12"/>
    </row>
    <row r="17" customFormat="false" ht="15" hidden="false" customHeight="false" outlineLevel="0" collapsed="false">
      <c r="J17" s="11"/>
      <c r="L17" s="12"/>
    </row>
    <row r="18" customFormat="false" ht="15" hidden="false" customHeight="false" outlineLevel="0" collapsed="false">
      <c r="J18" s="11"/>
      <c r="L18" s="12"/>
    </row>
    <row r="19" customFormat="false" ht="15" hidden="false" customHeight="false" outlineLevel="0" collapsed="false">
      <c r="J19" s="11"/>
      <c r="L19" s="12"/>
    </row>
    <row r="20" customFormat="false" ht="15" hidden="false" customHeight="false" outlineLevel="0" collapsed="false">
      <c r="J20" s="11"/>
      <c r="L20" s="12"/>
    </row>
    <row r="21" customFormat="false" ht="15" hidden="false" customHeight="false" outlineLevel="0" collapsed="false">
      <c r="J21" s="11"/>
      <c r="L21" s="12"/>
    </row>
    <row r="22" customFormat="false" ht="15" hidden="false" customHeight="false" outlineLevel="0" collapsed="false">
      <c r="J22" s="11"/>
      <c r="L22" s="12"/>
    </row>
    <row r="23" customFormat="false" ht="15" hidden="false" customHeight="false" outlineLevel="0" collapsed="false">
      <c r="J23" s="11"/>
      <c r="L23" s="12"/>
    </row>
    <row r="24" customFormat="false" ht="15" hidden="false" customHeight="false" outlineLevel="0" collapsed="false">
      <c r="J24" s="11"/>
      <c r="L24" s="12"/>
    </row>
    <row r="25" customFormat="false" ht="15" hidden="false" customHeight="false" outlineLevel="0" collapsed="false">
      <c r="J25" s="11"/>
      <c r="L25" s="12"/>
    </row>
    <row r="26" customFormat="false" ht="15" hidden="false" customHeight="false" outlineLevel="0" collapsed="false">
      <c r="J26" s="11"/>
      <c r="L26" s="12"/>
    </row>
    <row r="27" customFormat="false" ht="15" hidden="false" customHeight="false" outlineLevel="0" collapsed="false">
      <c r="J27" s="11"/>
      <c r="L27" s="12"/>
    </row>
    <row r="28" customFormat="false" ht="15" hidden="false" customHeight="false" outlineLevel="0" collapsed="false">
      <c r="J28" s="11"/>
      <c r="L28" s="12"/>
    </row>
    <row r="29" customFormat="false" ht="15" hidden="false" customHeight="false" outlineLevel="0" collapsed="false">
      <c r="J29" s="11"/>
      <c r="L29" s="12"/>
    </row>
    <row r="30" customFormat="false" ht="15" hidden="false" customHeight="false" outlineLevel="0" collapsed="false">
      <c r="J30" s="11"/>
      <c r="L30" s="12"/>
    </row>
    <row r="31" customFormat="false" ht="15" hidden="false" customHeight="false" outlineLevel="0" collapsed="false">
      <c r="J31" s="11"/>
      <c r="L31" s="12"/>
    </row>
    <row r="32" customFormat="false" ht="15" hidden="false" customHeight="false" outlineLevel="0" collapsed="false">
      <c r="J32" s="11"/>
      <c r="L32" s="12"/>
    </row>
    <row r="33" customFormat="false" ht="15" hidden="false" customHeight="false" outlineLevel="0" collapsed="false">
      <c r="J33" s="11"/>
      <c r="L33" s="12"/>
    </row>
    <row r="34" customFormat="false" ht="15" hidden="false" customHeight="false" outlineLevel="0" collapsed="false">
      <c r="J34" s="11"/>
      <c r="L34" s="12"/>
    </row>
    <row r="35" customFormat="false" ht="15" hidden="false" customHeight="false" outlineLevel="0" collapsed="false">
      <c r="J35" s="11"/>
      <c r="L35" s="12"/>
    </row>
    <row r="36" customFormat="false" ht="15" hidden="false" customHeight="false" outlineLevel="0" collapsed="false">
      <c r="J36" s="11"/>
      <c r="L36" s="12"/>
    </row>
    <row r="37" customFormat="false" ht="15" hidden="false" customHeight="false" outlineLevel="0" collapsed="false">
      <c r="J37" s="11"/>
      <c r="L37" s="12"/>
    </row>
    <row r="38" customFormat="false" ht="15" hidden="false" customHeight="false" outlineLevel="0" collapsed="false">
      <c r="J38" s="11"/>
      <c r="L38" s="12"/>
    </row>
    <row r="39" customFormat="false" ht="15" hidden="false" customHeight="false" outlineLevel="0" collapsed="false">
      <c r="J39" s="11"/>
      <c r="L39" s="12"/>
    </row>
    <row r="40" customFormat="false" ht="15" hidden="false" customHeight="false" outlineLevel="0" collapsed="false">
      <c r="J40" s="11"/>
      <c r="L40" s="12"/>
    </row>
    <row r="41" customFormat="false" ht="15" hidden="false" customHeight="false" outlineLevel="0" collapsed="false">
      <c r="J41" s="11"/>
      <c r="L41" s="12"/>
    </row>
    <row r="42" customFormat="false" ht="15" hidden="false" customHeight="false" outlineLevel="0" collapsed="false">
      <c r="J42" s="11"/>
      <c r="L42" s="12"/>
    </row>
    <row r="43" customFormat="false" ht="15" hidden="false" customHeight="false" outlineLevel="0" collapsed="false">
      <c r="J43" s="11"/>
      <c r="L43" s="12"/>
    </row>
    <row r="44" customFormat="false" ht="15" hidden="false" customHeight="false" outlineLevel="0" collapsed="false">
      <c r="J44" s="11"/>
      <c r="L44" s="12"/>
    </row>
    <row r="45" customFormat="false" ht="15" hidden="false" customHeight="false" outlineLevel="0" collapsed="false">
      <c r="J45" s="11"/>
      <c r="L45" s="12"/>
    </row>
    <row r="46" customFormat="false" ht="15" hidden="false" customHeight="false" outlineLevel="0" collapsed="false">
      <c r="J46" s="11"/>
      <c r="L46" s="12"/>
    </row>
    <row r="47" customFormat="false" ht="15" hidden="false" customHeight="false" outlineLevel="0" collapsed="false">
      <c r="J47" s="11"/>
      <c r="L47" s="12"/>
    </row>
    <row r="48" customFormat="false" ht="15" hidden="false" customHeight="false" outlineLevel="0" collapsed="false">
      <c r="J48" s="11"/>
      <c r="L48" s="12"/>
    </row>
    <row r="49" customFormat="false" ht="15" hidden="false" customHeight="false" outlineLevel="0" collapsed="false">
      <c r="J49" s="11"/>
      <c r="L49" s="12"/>
    </row>
    <row r="50" customFormat="false" ht="15" hidden="false" customHeight="false" outlineLevel="0" collapsed="false">
      <c r="J50" s="11"/>
      <c r="L50" s="12"/>
    </row>
    <row r="51" customFormat="false" ht="15" hidden="false" customHeight="false" outlineLevel="0" collapsed="false">
      <c r="J51" s="11"/>
      <c r="L51" s="12"/>
    </row>
    <row r="52" customFormat="false" ht="15" hidden="false" customHeight="false" outlineLevel="0" collapsed="false">
      <c r="J52" s="11"/>
      <c r="L52" s="12"/>
    </row>
    <row r="53" customFormat="false" ht="15" hidden="false" customHeight="false" outlineLevel="0" collapsed="false">
      <c r="J53" s="11"/>
      <c r="L53" s="12"/>
    </row>
    <row r="54" customFormat="false" ht="15" hidden="false" customHeight="false" outlineLevel="0" collapsed="false">
      <c r="J54" s="11"/>
      <c r="L54" s="12"/>
    </row>
    <row r="55" customFormat="false" ht="15" hidden="false" customHeight="false" outlineLevel="0" collapsed="false">
      <c r="J55" s="11"/>
      <c r="L55" s="12"/>
    </row>
    <row r="56" customFormat="false" ht="15" hidden="false" customHeight="false" outlineLevel="0" collapsed="false">
      <c r="J56" s="11"/>
      <c r="L56" s="12"/>
    </row>
    <row r="57" customFormat="false" ht="15" hidden="false" customHeight="false" outlineLevel="0" collapsed="false">
      <c r="J57" s="11"/>
      <c r="L57" s="12"/>
    </row>
    <row r="58" customFormat="false" ht="15" hidden="false" customHeight="false" outlineLevel="0" collapsed="false">
      <c r="J58" s="11"/>
      <c r="L58" s="12"/>
    </row>
    <row r="59" customFormat="false" ht="15" hidden="false" customHeight="false" outlineLevel="0" collapsed="false">
      <c r="J59" s="11"/>
      <c r="L59" s="12"/>
    </row>
    <row r="60" customFormat="false" ht="15" hidden="false" customHeight="false" outlineLevel="0" collapsed="false">
      <c r="J60" s="11"/>
      <c r="L60" s="12"/>
    </row>
    <row r="61" customFormat="false" ht="15" hidden="false" customHeight="false" outlineLevel="0" collapsed="false">
      <c r="J61" s="11"/>
      <c r="L61" s="12"/>
    </row>
    <row r="62" customFormat="false" ht="15" hidden="false" customHeight="false" outlineLevel="0" collapsed="false">
      <c r="J62" s="11"/>
      <c r="L62" s="12"/>
    </row>
    <row r="63" customFormat="false" ht="15" hidden="false" customHeight="false" outlineLevel="0" collapsed="false">
      <c r="J63" s="11"/>
      <c r="L63" s="12"/>
    </row>
    <row r="64" customFormat="false" ht="15" hidden="false" customHeight="false" outlineLevel="0" collapsed="false">
      <c r="J64" s="11"/>
      <c r="L64" s="12"/>
    </row>
    <row r="65" customFormat="false" ht="15" hidden="false" customHeight="false" outlineLevel="0" collapsed="false">
      <c r="J65" s="11"/>
      <c r="L65" s="12"/>
    </row>
    <row r="66" customFormat="false" ht="15" hidden="false" customHeight="false" outlineLevel="0" collapsed="false">
      <c r="J66" s="11"/>
      <c r="L66" s="12"/>
    </row>
    <row r="67" customFormat="false" ht="15" hidden="false" customHeight="false" outlineLevel="0" collapsed="false">
      <c r="J67" s="11"/>
      <c r="L67" s="12"/>
    </row>
    <row r="68" customFormat="false" ht="15" hidden="false" customHeight="false" outlineLevel="0" collapsed="false">
      <c r="J68" s="11"/>
      <c r="L68" s="12"/>
    </row>
    <row r="69" customFormat="false" ht="15" hidden="false" customHeight="false" outlineLevel="0" collapsed="false">
      <c r="J69" s="11"/>
      <c r="L69" s="12"/>
    </row>
    <row r="70" customFormat="false" ht="15" hidden="false" customHeight="false" outlineLevel="0" collapsed="false">
      <c r="J70" s="11"/>
      <c r="L70" s="12"/>
    </row>
    <row r="71" customFormat="false" ht="15" hidden="false" customHeight="false" outlineLevel="0" collapsed="false">
      <c r="J71" s="11"/>
      <c r="L71" s="12"/>
    </row>
    <row r="72" customFormat="false" ht="15" hidden="false" customHeight="false" outlineLevel="0" collapsed="false">
      <c r="J72" s="11"/>
      <c r="L72" s="12"/>
    </row>
    <row r="73" customFormat="false" ht="15" hidden="false" customHeight="false" outlineLevel="0" collapsed="false">
      <c r="J73" s="11"/>
      <c r="L73" s="12"/>
    </row>
    <row r="74" customFormat="false" ht="15" hidden="false" customHeight="false" outlineLevel="0" collapsed="false">
      <c r="J74" s="11"/>
      <c r="L74" s="12"/>
    </row>
    <row r="75" customFormat="false" ht="15" hidden="false" customHeight="false" outlineLevel="0" collapsed="false">
      <c r="J75" s="11"/>
      <c r="L75" s="12"/>
    </row>
    <row r="76" customFormat="false" ht="15" hidden="false" customHeight="false" outlineLevel="0" collapsed="false">
      <c r="J76" s="11"/>
      <c r="L76" s="12"/>
    </row>
    <row r="77" customFormat="false" ht="15" hidden="false" customHeight="false" outlineLevel="0" collapsed="false">
      <c r="J77" s="11"/>
      <c r="L77" s="12"/>
    </row>
    <row r="78" customFormat="false" ht="15" hidden="false" customHeight="false" outlineLevel="0" collapsed="false">
      <c r="J78" s="11"/>
      <c r="L78" s="12"/>
    </row>
    <row r="79" customFormat="false" ht="15" hidden="false" customHeight="false" outlineLevel="0" collapsed="false">
      <c r="J79" s="11"/>
      <c r="L79" s="12"/>
    </row>
    <row r="80" customFormat="false" ht="15" hidden="false" customHeight="false" outlineLevel="0" collapsed="false">
      <c r="J80" s="11"/>
      <c r="L80" s="12"/>
    </row>
    <row r="81" customFormat="false" ht="15" hidden="false" customHeight="false" outlineLevel="0" collapsed="false">
      <c r="J81" s="11"/>
      <c r="L81" s="12"/>
    </row>
    <row r="82" customFormat="false" ht="15" hidden="false" customHeight="false" outlineLevel="0" collapsed="false">
      <c r="J82" s="11"/>
      <c r="L82" s="12"/>
    </row>
    <row r="83" customFormat="false" ht="15" hidden="false" customHeight="false" outlineLevel="0" collapsed="false">
      <c r="J83" s="11"/>
      <c r="L83" s="12"/>
    </row>
    <row r="84" customFormat="false" ht="15" hidden="false" customHeight="false" outlineLevel="0" collapsed="false">
      <c r="J84" s="11"/>
      <c r="L84" s="12"/>
    </row>
    <row r="85" customFormat="false" ht="15" hidden="false" customHeight="false" outlineLevel="0" collapsed="false">
      <c r="J85" s="11"/>
      <c r="L85" s="12"/>
    </row>
    <row r="86" customFormat="false" ht="15" hidden="false" customHeight="false" outlineLevel="0" collapsed="false">
      <c r="J86" s="11"/>
      <c r="L86" s="12"/>
    </row>
    <row r="87" customFormat="false" ht="15" hidden="false" customHeight="false" outlineLevel="0" collapsed="false">
      <c r="J87" s="11"/>
      <c r="L87" s="12"/>
    </row>
    <row r="88" customFormat="false" ht="15" hidden="false" customHeight="false" outlineLevel="0" collapsed="false">
      <c r="J88" s="11"/>
      <c r="L88" s="12"/>
    </row>
    <row r="89" customFormat="false" ht="15" hidden="false" customHeight="false" outlineLevel="0" collapsed="false">
      <c r="J89" s="11"/>
      <c r="L89" s="12"/>
    </row>
    <row r="90" customFormat="false" ht="15" hidden="false" customHeight="false" outlineLevel="0" collapsed="false">
      <c r="J90" s="11"/>
      <c r="L90" s="12"/>
    </row>
    <row r="91" customFormat="false" ht="15" hidden="false" customHeight="false" outlineLevel="0" collapsed="false">
      <c r="J91" s="11"/>
      <c r="L91" s="12"/>
    </row>
    <row r="92" customFormat="false" ht="15" hidden="false" customHeight="false" outlineLevel="0" collapsed="false">
      <c r="J92" s="11"/>
      <c r="L92" s="12"/>
    </row>
    <row r="93" customFormat="false" ht="15" hidden="false" customHeight="false" outlineLevel="0" collapsed="false">
      <c r="J93" s="11"/>
      <c r="L93" s="12"/>
    </row>
    <row r="94" customFormat="false" ht="15" hidden="false" customHeight="false" outlineLevel="0" collapsed="false">
      <c r="J94" s="11"/>
      <c r="L94" s="12"/>
    </row>
    <row r="95" customFormat="false" ht="15" hidden="false" customHeight="false" outlineLevel="0" collapsed="false">
      <c r="J95" s="11"/>
      <c r="L95" s="12"/>
    </row>
    <row r="96" customFormat="false" ht="15" hidden="false" customHeight="false" outlineLevel="0" collapsed="false">
      <c r="J96" s="11"/>
      <c r="L96" s="12"/>
    </row>
    <row r="97" customFormat="false" ht="15" hidden="false" customHeight="false" outlineLevel="0" collapsed="false">
      <c r="J97" s="11"/>
      <c r="L97" s="12"/>
    </row>
    <row r="98" customFormat="false" ht="15" hidden="false" customHeight="false" outlineLevel="0" collapsed="false">
      <c r="J98" s="11"/>
      <c r="L98" s="12"/>
    </row>
    <row r="99" customFormat="false" ht="15" hidden="false" customHeight="false" outlineLevel="0" collapsed="false">
      <c r="J99" s="11"/>
      <c r="L99" s="12"/>
    </row>
    <row r="100" customFormat="false" ht="15" hidden="false" customHeight="false" outlineLevel="0" collapsed="false">
      <c r="J100" s="11"/>
      <c r="L100" s="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4"/>
    <col collapsed="false" customWidth="true" hidden="false" outlineLevel="0" max="3" min="3" style="1" width="8"/>
    <col collapsed="false" customWidth="true" hidden="false" outlineLevel="0" max="4" min="4" style="1" width="56"/>
    <col collapsed="false" customWidth="true" hidden="false" outlineLevel="0" max="5" min="5" style="1" width="20"/>
    <col collapsed="false" customWidth="true" hidden="false" outlineLevel="0" max="6" min="6" style="1" width="10"/>
    <col collapsed="false" customWidth="true" hidden="false" outlineLevel="0" max="7" min="7" style="1" width="14"/>
    <col collapsed="false" customWidth="true" hidden="false" outlineLevel="0" max="8" min="8" style="1" width="24"/>
    <col collapsed="false" customWidth="true" hidden="false" outlineLevel="0" max="9" min="9" style="1" width="15"/>
    <col collapsed="false" customWidth="true" hidden="false" outlineLevel="0" max="10" min="10" style="1" width="20"/>
    <col collapsed="false" customWidth="true" hidden="false" outlineLevel="0" max="11" min="11" style="1" width="14"/>
    <col collapsed="false" customWidth="true" hidden="false" outlineLevel="0" max="12" min="12" style="1" width="34"/>
    <col collapsed="false" customWidth="true" hidden="false" outlineLevel="0" max="13" min="13" style="1" width="22"/>
    <col collapsed="false" customWidth="true" hidden="false" outlineLevel="0" max="14" min="14" style="1" width="48"/>
    <col collapsed="false" customWidth="true" hidden="false" outlineLevel="0" max="15" min="15" style="1" width="12"/>
    <col collapsed="false" customWidth="true" hidden="false" outlineLevel="0" max="16" min="16" style="1" width="48"/>
  </cols>
  <sheetData>
    <row r="1" customFormat="false" ht="15" hidden="false" customHeight="false" outlineLevel="0" collapsed="false">
      <c r="A1" s="3" t="s">
        <v>296</v>
      </c>
      <c r="B1" s="3" t="s">
        <v>56</v>
      </c>
      <c r="C1" s="3" t="s">
        <v>297</v>
      </c>
      <c r="D1" s="3" t="s">
        <v>924</v>
      </c>
      <c r="E1" s="3" t="s">
        <v>299</v>
      </c>
      <c r="F1" s="3" t="s">
        <v>300</v>
      </c>
      <c r="G1" s="3" t="s">
        <v>301</v>
      </c>
      <c r="H1" s="3" t="s">
        <v>2074</v>
      </c>
      <c r="I1" s="3" t="s">
        <v>933</v>
      </c>
      <c r="J1" s="3" t="s">
        <v>2075</v>
      </c>
      <c r="K1" s="3" t="s">
        <v>303</v>
      </c>
      <c r="L1" s="3" t="s">
        <v>938</v>
      </c>
      <c r="M1" s="3" t="s">
        <v>941</v>
      </c>
      <c r="N1" s="3" t="s">
        <v>945</v>
      </c>
      <c r="O1" s="3" t="s">
        <v>949</v>
      </c>
      <c r="P1" s="3" t="s">
        <v>1112</v>
      </c>
    </row>
    <row r="2" customFormat="false" ht="15" hidden="false" customHeight="false" outlineLevel="0" collapsed="false">
      <c r="A2" s="1" t="s">
        <v>2076</v>
      </c>
      <c r="B2" s="1" t="s">
        <v>145</v>
      </c>
      <c r="C2" s="1" t="n">
        <v>2022</v>
      </c>
      <c r="D2" s="1" t="s">
        <v>312</v>
      </c>
      <c r="E2" s="1" t="s">
        <v>313</v>
      </c>
      <c r="F2" s="1" t="n">
        <v>1</v>
      </c>
      <c r="G2" s="1" t="s">
        <v>314</v>
      </c>
      <c r="H2" s="1" t="s">
        <v>148</v>
      </c>
      <c r="I2" s="1" t="s">
        <v>2077</v>
      </c>
      <c r="K2" s="1" t="s">
        <v>120</v>
      </c>
      <c r="L2" s="1" t="s">
        <v>2078</v>
      </c>
      <c r="M2" s="1" t="s">
        <v>2079</v>
      </c>
      <c r="N2" s="1" t="s">
        <v>136</v>
      </c>
      <c r="O2" s="1" t="s">
        <v>358</v>
      </c>
    </row>
    <row r="3" customFormat="false" ht="15" hidden="false" customHeight="false" outlineLevel="0" collapsed="false">
      <c r="A3" s="1" t="s">
        <v>2080</v>
      </c>
      <c r="B3" s="1" t="s">
        <v>145</v>
      </c>
      <c r="C3" s="1" t="n">
        <v>2022</v>
      </c>
      <c r="D3" s="1" t="s">
        <v>354</v>
      </c>
      <c r="E3" s="1" t="s">
        <v>355</v>
      </c>
      <c r="F3" s="1" t="n">
        <v>1</v>
      </c>
      <c r="G3" s="1" t="s">
        <v>356</v>
      </c>
      <c r="H3" s="1" t="s">
        <v>148</v>
      </c>
      <c r="I3" s="1" t="s">
        <v>393</v>
      </c>
      <c r="K3" s="1" t="s">
        <v>120</v>
      </c>
      <c r="L3" s="1" t="s">
        <v>2081</v>
      </c>
      <c r="M3" s="1" t="s">
        <v>2082</v>
      </c>
      <c r="N3" s="1" t="s">
        <v>136</v>
      </c>
      <c r="O3" s="1" t="s">
        <v>358</v>
      </c>
      <c r="P3" s="1" t="s">
        <v>2083</v>
      </c>
    </row>
    <row r="4" customFormat="false" ht="15" hidden="false" customHeight="false" outlineLevel="0" collapsed="false">
      <c r="A4" s="1" t="s">
        <v>2084</v>
      </c>
      <c r="B4" s="1" t="s">
        <v>153</v>
      </c>
      <c r="C4" s="1" t="n">
        <v>2022</v>
      </c>
      <c r="D4" s="1" t="s">
        <v>312</v>
      </c>
      <c r="E4" s="1" t="s">
        <v>313</v>
      </c>
      <c r="F4" s="1" t="n">
        <v>1</v>
      </c>
      <c r="G4" s="1" t="s">
        <v>314</v>
      </c>
      <c r="H4" s="1" t="s">
        <v>2085</v>
      </c>
      <c r="I4" s="1" t="s">
        <v>2077</v>
      </c>
      <c r="K4" s="1" t="s">
        <v>120</v>
      </c>
      <c r="L4" s="1" t="s">
        <v>2078</v>
      </c>
      <c r="M4" s="1" t="s">
        <v>2086</v>
      </c>
      <c r="N4" s="1" t="s">
        <v>136</v>
      </c>
      <c r="O4" s="1" t="s">
        <v>358</v>
      </c>
    </row>
    <row r="5" customFormat="false" ht="15" hidden="false" customHeight="false" outlineLevel="0" collapsed="false">
      <c r="A5" s="1" t="s">
        <v>2087</v>
      </c>
      <c r="B5" s="1" t="s">
        <v>153</v>
      </c>
      <c r="C5" s="1" t="n">
        <v>2022</v>
      </c>
      <c r="D5" s="1" t="s">
        <v>361</v>
      </c>
      <c r="E5" s="1" t="s">
        <v>362</v>
      </c>
      <c r="F5" s="1" t="n">
        <v>1</v>
      </c>
      <c r="G5" s="1" t="s">
        <v>363</v>
      </c>
      <c r="H5" s="1" t="s">
        <v>2085</v>
      </c>
      <c r="I5" s="1" t="s">
        <v>393</v>
      </c>
      <c r="K5" s="1" t="s">
        <v>120</v>
      </c>
      <c r="L5" s="1" t="s">
        <v>2088</v>
      </c>
      <c r="M5" s="1" t="s">
        <v>2089</v>
      </c>
      <c r="N5" s="1" t="s">
        <v>136</v>
      </c>
      <c r="O5" s="1" t="s">
        <v>358</v>
      </c>
    </row>
    <row r="6" customFormat="false" ht="15" hidden="false" customHeight="false" outlineLevel="0" collapsed="false">
      <c r="A6" s="1" t="s">
        <v>2090</v>
      </c>
      <c r="B6" s="1" t="s">
        <v>160</v>
      </c>
      <c r="C6" s="1" t="n">
        <v>2022</v>
      </c>
      <c r="D6" s="1" t="s">
        <v>312</v>
      </c>
      <c r="E6" s="1" t="s">
        <v>313</v>
      </c>
      <c r="F6" s="1" t="n">
        <v>1</v>
      </c>
      <c r="G6" s="1" t="s">
        <v>314</v>
      </c>
      <c r="H6" s="1" t="s">
        <v>2085</v>
      </c>
      <c r="I6" s="1" t="s">
        <v>2077</v>
      </c>
      <c r="K6" s="1" t="s">
        <v>120</v>
      </c>
      <c r="L6" s="1" t="s">
        <v>2078</v>
      </c>
      <c r="M6" s="1" t="s">
        <v>2086</v>
      </c>
      <c r="N6" s="1" t="s">
        <v>136</v>
      </c>
      <c r="O6" s="1" t="s">
        <v>358</v>
      </c>
    </row>
    <row r="7" customFormat="false" ht="15" hidden="false" customHeight="false" outlineLevel="0" collapsed="false">
      <c r="A7" s="1" t="s">
        <v>2091</v>
      </c>
      <c r="B7" s="1" t="s">
        <v>160</v>
      </c>
      <c r="C7" s="1" t="n">
        <v>2022</v>
      </c>
      <c r="D7" s="1" t="s">
        <v>367</v>
      </c>
      <c r="E7" s="1" t="s">
        <v>368</v>
      </c>
      <c r="F7" s="1" t="n">
        <v>1</v>
      </c>
      <c r="G7" s="1" t="s">
        <v>369</v>
      </c>
      <c r="H7" s="1" t="s">
        <v>2085</v>
      </c>
      <c r="I7" s="1" t="s">
        <v>393</v>
      </c>
      <c r="K7" s="1" t="s">
        <v>120</v>
      </c>
      <c r="L7" s="1" t="s">
        <v>2092</v>
      </c>
      <c r="M7" s="1" t="s">
        <v>2093</v>
      </c>
      <c r="N7" s="1" t="s">
        <v>136</v>
      </c>
      <c r="O7" s="1" t="s">
        <v>358</v>
      </c>
    </row>
    <row r="8" customFormat="false" ht="15" hidden="false" customHeight="false" outlineLevel="0" collapsed="false">
      <c r="A8" s="1" t="s">
        <v>2094</v>
      </c>
      <c r="B8" s="1" t="s">
        <v>207</v>
      </c>
      <c r="C8" s="1" t="n">
        <v>2023</v>
      </c>
      <c r="D8" s="1" t="s">
        <v>2095</v>
      </c>
      <c r="E8" s="1" t="s">
        <v>325</v>
      </c>
      <c r="F8" s="1" t="n">
        <v>1</v>
      </c>
      <c r="G8" s="1" t="s">
        <v>326</v>
      </c>
      <c r="H8" s="1" t="s">
        <v>2085</v>
      </c>
      <c r="I8" s="1" t="s">
        <v>120</v>
      </c>
      <c r="K8" s="1" t="s">
        <v>120</v>
      </c>
      <c r="L8" s="1" t="s">
        <v>2078</v>
      </c>
      <c r="M8" s="1" t="s">
        <v>2096</v>
      </c>
      <c r="N8" s="1" t="s">
        <v>2050</v>
      </c>
      <c r="O8" s="1" t="s">
        <v>358</v>
      </c>
      <c r="P8" s="1" t="s">
        <v>2097</v>
      </c>
    </row>
    <row r="9" customFormat="false" ht="15" hidden="false" customHeight="false" outlineLevel="0" collapsed="false">
      <c r="A9" s="1" t="s">
        <v>2098</v>
      </c>
      <c r="B9" s="1" t="s">
        <v>207</v>
      </c>
      <c r="C9" s="1" t="n">
        <v>2023</v>
      </c>
      <c r="D9" s="1" t="s">
        <v>416</v>
      </c>
      <c r="E9" s="1" t="s">
        <v>362</v>
      </c>
      <c r="F9" s="1" t="n">
        <v>1</v>
      </c>
      <c r="G9" s="1" t="s">
        <v>417</v>
      </c>
      <c r="H9" s="1" t="s">
        <v>2085</v>
      </c>
      <c r="I9" s="1" t="s">
        <v>393</v>
      </c>
      <c r="K9" s="1" t="s">
        <v>120</v>
      </c>
      <c r="L9" s="1" t="s">
        <v>2088</v>
      </c>
      <c r="M9" s="1" t="s">
        <v>2099</v>
      </c>
      <c r="N9" s="1" t="s">
        <v>2050</v>
      </c>
      <c r="O9" s="1" t="s">
        <v>358</v>
      </c>
      <c r="P9" s="1" t="s">
        <v>2100</v>
      </c>
    </row>
    <row r="10" customFormat="false" ht="15" hidden="false" customHeight="false" outlineLevel="0" collapsed="false">
      <c r="A10" s="1" t="s">
        <v>2101</v>
      </c>
      <c r="B10" s="1" t="s">
        <v>214</v>
      </c>
      <c r="C10" s="1" t="n">
        <v>2024</v>
      </c>
      <c r="D10" s="1" t="s">
        <v>2102</v>
      </c>
      <c r="E10" s="1" t="s">
        <v>325</v>
      </c>
      <c r="F10" s="1" t="n">
        <v>1</v>
      </c>
      <c r="G10" s="1" t="s">
        <v>326</v>
      </c>
      <c r="H10" s="1" t="s">
        <v>2085</v>
      </c>
      <c r="I10" s="1" t="s">
        <v>120</v>
      </c>
      <c r="K10" s="1" t="s">
        <v>120</v>
      </c>
      <c r="L10" s="1" t="s">
        <v>2078</v>
      </c>
      <c r="M10" s="1" t="s">
        <v>2096</v>
      </c>
      <c r="N10" s="1" t="s">
        <v>2050</v>
      </c>
      <c r="O10" s="1" t="s">
        <v>358</v>
      </c>
    </row>
    <row r="11" customFormat="false" ht="15" hidden="false" customHeight="false" outlineLevel="0" collapsed="false">
      <c r="A11" s="1" t="s">
        <v>2103</v>
      </c>
      <c r="B11" s="1" t="s">
        <v>214</v>
      </c>
      <c r="C11" s="1" t="n">
        <v>2024</v>
      </c>
      <c r="D11" s="1" t="s">
        <v>427</v>
      </c>
      <c r="E11" s="1" t="s">
        <v>362</v>
      </c>
      <c r="F11" s="1" t="n">
        <v>200</v>
      </c>
      <c r="G11" s="1" t="s">
        <v>428</v>
      </c>
      <c r="H11" s="1" t="s">
        <v>2085</v>
      </c>
      <c r="I11" s="1" t="s">
        <v>393</v>
      </c>
      <c r="K11" s="1" t="s">
        <v>120</v>
      </c>
      <c r="L11" s="1" t="s">
        <v>2104</v>
      </c>
      <c r="M11" s="1" t="s">
        <v>2105</v>
      </c>
      <c r="N11" s="1" t="s">
        <v>2050</v>
      </c>
      <c r="O11" s="1" t="s">
        <v>358</v>
      </c>
      <c r="P11" s="1" t="s">
        <v>2106</v>
      </c>
    </row>
    <row r="12" customFormat="false" ht="15" hidden="false" customHeight="false" outlineLevel="0" collapsed="false">
      <c r="A12" s="1" t="s">
        <v>2107</v>
      </c>
      <c r="B12" s="1" t="s">
        <v>214</v>
      </c>
      <c r="C12" s="1" t="n">
        <v>2024</v>
      </c>
      <c r="D12" s="1" t="s">
        <v>431</v>
      </c>
      <c r="E12" s="1" t="s">
        <v>432</v>
      </c>
      <c r="F12" s="1" t="n">
        <v>1</v>
      </c>
      <c r="G12" s="1" t="s">
        <v>369</v>
      </c>
      <c r="H12" s="1" t="s">
        <v>2085</v>
      </c>
      <c r="I12" s="1" t="s">
        <v>393</v>
      </c>
      <c r="K12" s="1" t="s">
        <v>120</v>
      </c>
      <c r="L12" s="1" t="s">
        <v>2108</v>
      </c>
      <c r="M12" s="1" t="s">
        <v>2099</v>
      </c>
      <c r="N12" s="1" t="s">
        <v>2050</v>
      </c>
      <c r="O12" s="1" t="s">
        <v>358</v>
      </c>
      <c r="P12" s="1" t="s">
        <v>2109</v>
      </c>
    </row>
    <row r="13" customFormat="false" ht="15" hidden="false" customHeight="false" outlineLevel="0" collapsed="false">
      <c r="A13" s="1" t="s">
        <v>2110</v>
      </c>
      <c r="B13" s="1" t="s">
        <v>214</v>
      </c>
      <c r="C13" s="1" t="n">
        <v>2024</v>
      </c>
      <c r="D13" s="1" t="s">
        <v>435</v>
      </c>
      <c r="E13" s="1" t="s">
        <v>313</v>
      </c>
      <c r="F13" s="1" t="n">
        <v>1</v>
      </c>
      <c r="G13" s="1" t="s">
        <v>314</v>
      </c>
      <c r="H13" s="1" t="s">
        <v>2085</v>
      </c>
      <c r="I13" s="1" t="s">
        <v>2077</v>
      </c>
      <c r="K13" s="1" t="s">
        <v>120</v>
      </c>
      <c r="L13" s="1" t="s">
        <v>2078</v>
      </c>
      <c r="M13" s="1" t="s">
        <v>2086</v>
      </c>
      <c r="N13" s="1" t="s">
        <v>2050</v>
      </c>
      <c r="O13" s="1" t="s">
        <v>358</v>
      </c>
    </row>
    <row r="14" customFormat="false" ht="15" hidden="false" customHeight="false" outlineLevel="0" collapsed="false">
      <c r="A14" s="1" t="s">
        <v>2111</v>
      </c>
      <c r="B14" s="1" t="s">
        <v>277</v>
      </c>
      <c r="C14" s="1" t="n">
        <v>2025</v>
      </c>
      <c r="D14" s="1" t="s">
        <v>494</v>
      </c>
      <c r="E14" s="1" t="s">
        <v>325</v>
      </c>
      <c r="F14" s="1" t="n">
        <v>1</v>
      </c>
      <c r="G14" s="1" t="s">
        <v>326</v>
      </c>
      <c r="H14" s="1" t="s">
        <v>2085</v>
      </c>
      <c r="I14" s="1" t="s">
        <v>120</v>
      </c>
      <c r="K14" s="1" t="s">
        <v>120</v>
      </c>
      <c r="L14" s="1" t="s">
        <v>2078</v>
      </c>
      <c r="M14" s="1" t="s">
        <v>2096</v>
      </c>
      <c r="N14" s="1" t="s">
        <v>2050</v>
      </c>
      <c r="O14" s="1" t="s">
        <v>358</v>
      </c>
    </row>
    <row r="15" customFormat="false" ht="15" hidden="false" customHeight="false" outlineLevel="0" collapsed="false">
      <c r="A15" s="1" t="s">
        <v>2112</v>
      </c>
      <c r="B15" s="1" t="s">
        <v>277</v>
      </c>
      <c r="C15" s="1" t="n">
        <v>2025</v>
      </c>
      <c r="D15" s="1" t="s">
        <v>2113</v>
      </c>
      <c r="E15" s="1" t="s">
        <v>2114</v>
      </c>
      <c r="F15" s="1" t="n">
        <v>1</v>
      </c>
      <c r="G15" s="1" t="s">
        <v>497</v>
      </c>
      <c r="H15" s="1" t="s">
        <v>2085</v>
      </c>
      <c r="I15" s="1" t="s">
        <v>393</v>
      </c>
      <c r="K15" s="1" t="s">
        <v>120</v>
      </c>
      <c r="L15" s="1" t="s">
        <v>499</v>
      </c>
      <c r="M15" s="1" t="s">
        <v>2099</v>
      </c>
      <c r="N15" s="1" t="s">
        <v>2050</v>
      </c>
      <c r="O15" s="1" t="s">
        <v>358</v>
      </c>
      <c r="P15" s="1" t="s">
        <v>2115</v>
      </c>
    </row>
    <row r="16" customFormat="false" ht="15" hidden="false" customHeight="false" outlineLevel="0" collapsed="false">
      <c r="A16" s="1" t="s">
        <v>2116</v>
      </c>
      <c r="B16" s="1" t="s">
        <v>277</v>
      </c>
      <c r="C16" s="1" t="n">
        <v>2025</v>
      </c>
      <c r="D16" s="1" t="s">
        <v>2117</v>
      </c>
      <c r="E16" s="1" t="s">
        <v>362</v>
      </c>
      <c r="F16" s="1" t="n">
        <v>50</v>
      </c>
      <c r="G16" s="1" t="s">
        <v>502</v>
      </c>
      <c r="H16" s="1" t="s">
        <v>2085</v>
      </c>
      <c r="I16" s="1" t="s">
        <v>393</v>
      </c>
      <c r="K16" s="1" t="s">
        <v>120</v>
      </c>
      <c r="L16" s="1" t="s">
        <v>2104</v>
      </c>
      <c r="M16" s="1" t="s">
        <v>2105</v>
      </c>
      <c r="N16" s="1" t="s">
        <v>2050</v>
      </c>
      <c r="O16" s="1" t="s">
        <v>358</v>
      </c>
    </row>
    <row r="17" customFormat="false" ht="15" hidden="false" customHeight="false" outlineLevel="0" collapsed="false">
      <c r="A17" s="1" t="s">
        <v>2118</v>
      </c>
      <c r="B17" s="1" t="s">
        <v>283</v>
      </c>
      <c r="C17" s="1" t="n">
        <v>2025</v>
      </c>
      <c r="D17" s="1" t="s">
        <v>435</v>
      </c>
      <c r="E17" s="1" t="s">
        <v>313</v>
      </c>
      <c r="F17" s="1" t="n">
        <v>1</v>
      </c>
      <c r="G17" s="1" t="s">
        <v>314</v>
      </c>
      <c r="H17" s="1" t="s">
        <v>2085</v>
      </c>
      <c r="I17" s="1" t="s">
        <v>2077</v>
      </c>
      <c r="K17" s="1" t="s">
        <v>120</v>
      </c>
      <c r="L17" s="1" t="s">
        <v>2078</v>
      </c>
      <c r="M17" s="1" t="s">
        <v>2086</v>
      </c>
      <c r="N17" s="1" t="s">
        <v>2050</v>
      </c>
      <c r="O17" s="1" t="s">
        <v>358</v>
      </c>
    </row>
    <row r="18" customFormat="false" ht="15" hidden="false" customHeight="false" outlineLevel="0" collapsed="false">
      <c r="A18" s="1" t="s">
        <v>2119</v>
      </c>
      <c r="B18" s="1" t="s">
        <v>283</v>
      </c>
      <c r="C18" s="1" t="n">
        <v>2025</v>
      </c>
      <c r="D18" s="1" t="s">
        <v>506</v>
      </c>
      <c r="E18" s="1" t="s">
        <v>325</v>
      </c>
      <c r="F18" s="1" t="n">
        <v>1</v>
      </c>
      <c r="G18" s="1" t="s">
        <v>326</v>
      </c>
      <c r="H18" s="1" t="s">
        <v>2085</v>
      </c>
      <c r="I18" s="1" t="s">
        <v>120</v>
      </c>
      <c r="K18" s="1" t="s">
        <v>120</v>
      </c>
      <c r="L18" s="1" t="s">
        <v>2078</v>
      </c>
      <c r="M18" s="1" t="s">
        <v>2096</v>
      </c>
      <c r="N18" s="1" t="s">
        <v>2050</v>
      </c>
      <c r="O18" s="1" t="s">
        <v>358</v>
      </c>
    </row>
    <row r="19" customFormat="false" ht="15" hidden="false" customHeight="false" outlineLevel="0" collapsed="false">
      <c r="A19" s="1" t="s">
        <v>2120</v>
      </c>
      <c r="B19" s="1" t="s">
        <v>283</v>
      </c>
      <c r="C19" s="1" t="n">
        <v>2025</v>
      </c>
      <c r="D19" s="1" t="s">
        <v>508</v>
      </c>
      <c r="E19" s="1" t="s">
        <v>432</v>
      </c>
      <c r="F19" s="1" t="n">
        <v>1</v>
      </c>
      <c r="G19" s="1" t="s">
        <v>459</v>
      </c>
      <c r="H19" s="1" t="s">
        <v>2085</v>
      </c>
      <c r="I19" s="1" t="s">
        <v>393</v>
      </c>
      <c r="K19" s="1" t="s">
        <v>120</v>
      </c>
      <c r="L19" s="1" t="s">
        <v>499</v>
      </c>
      <c r="M19" s="1" t="s">
        <v>2099</v>
      </c>
      <c r="N19" s="1" t="s">
        <v>2050</v>
      </c>
      <c r="O19" s="1" t="s">
        <v>358</v>
      </c>
      <c r="P19" s="1" t="s">
        <v>2121</v>
      </c>
    </row>
    <row r="20" customFormat="false" ht="15" hidden="false" customHeight="false" outlineLevel="0" collapsed="false">
      <c r="A20" s="1" t="s">
        <v>2122</v>
      </c>
      <c r="B20" s="1" t="s">
        <v>283</v>
      </c>
      <c r="C20" s="1" t="n">
        <v>2025</v>
      </c>
      <c r="D20" s="1" t="s">
        <v>511</v>
      </c>
      <c r="E20" s="1" t="s">
        <v>362</v>
      </c>
      <c r="F20" s="1" t="n">
        <v>50</v>
      </c>
      <c r="G20" s="1" t="s">
        <v>512</v>
      </c>
      <c r="H20" s="1" t="s">
        <v>2085</v>
      </c>
      <c r="I20" s="1" t="s">
        <v>393</v>
      </c>
      <c r="K20" s="1" t="s">
        <v>120</v>
      </c>
      <c r="L20" s="1" t="s">
        <v>2104</v>
      </c>
      <c r="M20" s="1" t="s">
        <v>2105</v>
      </c>
      <c r="N20" s="1" t="s">
        <v>2050</v>
      </c>
      <c r="O20" s="1" t="s">
        <v>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18"/>
    <col collapsed="false" customWidth="true" hidden="false" outlineLevel="0" max="4" min="4" style="1" width="55"/>
    <col collapsed="false" customWidth="true" hidden="false" outlineLevel="0" max="5" min="5" style="1" width="20"/>
    <col collapsed="false" customWidth="true" hidden="false" outlineLevel="0" max="6" min="6" style="1" width="38"/>
    <col collapsed="false" customWidth="true" hidden="false" outlineLevel="0" max="7" min="7" style="1" width="15"/>
    <col collapsed="false" customWidth="true" hidden="false" outlineLevel="0" max="8" min="8" style="1" width="24"/>
    <col collapsed="false" customWidth="true" hidden="false" outlineLevel="0" max="9" min="9" style="1" width="22"/>
    <col collapsed="false" customWidth="true" hidden="false" outlineLevel="0" max="10" min="10" style="1" width="16"/>
    <col collapsed="false" customWidth="true" hidden="false" outlineLevel="0" max="11" min="11" style="1" width="18"/>
    <col collapsed="false" customWidth="true" hidden="false" outlineLevel="0" max="13" min="12" style="1" width="23"/>
    <col collapsed="false" customWidth="true" hidden="false" outlineLevel="0" max="15" min="14" style="1" width="16"/>
    <col collapsed="false" customWidth="true" hidden="false" outlineLevel="0" max="17" min="16" style="1" width="22"/>
    <col collapsed="false" customWidth="true" hidden="false" outlineLevel="0" max="18" min="18" style="1" width="14"/>
    <col collapsed="false" customWidth="true" hidden="false" outlineLevel="0" max="19" min="19" style="1" width="45"/>
    <col collapsed="false" customWidth="true" hidden="false" outlineLevel="0" max="20" min="20" style="1" width="48"/>
  </cols>
  <sheetData>
    <row r="1" customFormat="false" ht="28.35" hidden="false" customHeight="false" outlineLevel="0" collapsed="false">
      <c r="A1" s="3" t="s">
        <v>954</v>
      </c>
      <c r="B1" s="3" t="s">
        <v>56</v>
      </c>
      <c r="C1" s="3" t="s">
        <v>2123</v>
      </c>
      <c r="D1" s="3" t="s">
        <v>957</v>
      </c>
      <c r="E1" s="3" t="s">
        <v>960</v>
      </c>
      <c r="F1" s="3" t="s">
        <v>963</v>
      </c>
      <c r="G1" s="3" t="s">
        <v>968</v>
      </c>
      <c r="H1" s="3" t="s">
        <v>970</v>
      </c>
      <c r="I1" s="3" t="s">
        <v>973</v>
      </c>
      <c r="J1" s="3" t="s">
        <v>976</v>
      </c>
      <c r="K1" s="3" t="s">
        <v>979</v>
      </c>
      <c r="L1" s="3" t="s">
        <v>982</v>
      </c>
      <c r="M1" s="3" t="s">
        <v>984</v>
      </c>
      <c r="N1" s="3" t="s">
        <v>2124</v>
      </c>
      <c r="O1" s="3" t="s">
        <v>2125</v>
      </c>
      <c r="P1" s="3" t="s">
        <v>992</v>
      </c>
      <c r="Q1" s="3" t="s">
        <v>996</v>
      </c>
      <c r="R1" s="3" t="s">
        <v>949</v>
      </c>
      <c r="S1" s="3" t="s">
        <v>1041</v>
      </c>
      <c r="T1" s="3" t="s">
        <v>2126</v>
      </c>
    </row>
    <row r="2" customFormat="false" ht="15" hidden="false" customHeight="false" outlineLevel="0" collapsed="false">
      <c r="A2" s="1" t="s">
        <v>2127</v>
      </c>
      <c r="B2" s="1" t="s">
        <v>145</v>
      </c>
      <c r="C2" s="1" t="s">
        <v>2080</v>
      </c>
      <c r="D2" s="1" t="s">
        <v>2128</v>
      </c>
      <c r="E2" s="1" t="s">
        <v>1090</v>
      </c>
      <c r="F2" s="1" t="s">
        <v>2129</v>
      </c>
      <c r="G2" s="1" t="s">
        <v>120</v>
      </c>
      <c r="H2" s="1" t="s">
        <v>2130</v>
      </c>
      <c r="I2" s="1" t="s">
        <v>2131</v>
      </c>
      <c r="J2" s="1" t="s">
        <v>2131</v>
      </c>
      <c r="K2" s="1" t="s">
        <v>393</v>
      </c>
      <c r="L2" s="1" t="s">
        <v>393</v>
      </c>
      <c r="M2" s="1" t="s">
        <v>393</v>
      </c>
      <c r="P2" s="1" t="s">
        <v>393</v>
      </c>
      <c r="Q2" s="1" t="s">
        <v>1089</v>
      </c>
      <c r="R2" s="13" t="s">
        <v>341</v>
      </c>
      <c r="S2" s="1" t="s">
        <v>2132</v>
      </c>
      <c r="T2" s="1" t="s">
        <v>2133</v>
      </c>
    </row>
    <row r="3" customFormat="false" ht="15" hidden="false" customHeight="false" outlineLevel="0" collapsed="false">
      <c r="A3" s="1" t="s">
        <v>2134</v>
      </c>
      <c r="B3" s="1" t="s">
        <v>153</v>
      </c>
      <c r="C3" s="1" t="s">
        <v>2087</v>
      </c>
      <c r="D3" s="1" t="s">
        <v>2135</v>
      </c>
      <c r="E3" s="1" t="s">
        <v>1090</v>
      </c>
      <c r="F3" s="1" t="s">
        <v>2136</v>
      </c>
      <c r="G3" s="1" t="s">
        <v>120</v>
      </c>
      <c r="H3" s="1" t="s">
        <v>2130</v>
      </c>
      <c r="I3" s="1" t="s">
        <v>2131</v>
      </c>
      <c r="J3" s="1" t="s">
        <v>2131</v>
      </c>
      <c r="K3" s="1" t="s">
        <v>393</v>
      </c>
      <c r="L3" s="1" t="s">
        <v>393</v>
      </c>
      <c r="M3" s="1" t="s">
        <v>393</v>
      </c>
      <c r="P3" s="1" t="s">
        <v>393</v>
      </c>
      <c r="Q3" s="1" t="s">
        <v>1089</v>
      </c>
      <c r="R3" s="13" t="s">
        <v>341</v>
      </c>
      <c r="S3" s="1" t="s">
        <v>2137</v>
      </c>
      <c r="T3" s="1" t="s">
        <v>2138</v>
      </c>
    </row>
    <row r="4" customFormat="false" ht="15" hidden="false" customHeight="false" outlineLevel="0" collapsed="false">
      <c r="A4" s="1" t="s">
        <v>2139</v>
      </c>
      <c r="B4" s="1" t="s">
        <v>160</v>
      </c>
      <c r="C4" s="1" t="s">
        <v>2091</v>
      </c>
      <c r="D4" s="1" t="s">
        <v>2140</v>
      </c>
      <c r="E4" s="1" t="s">
        <v>2141</v>
      </c>
      <c r="F4" s="1" t="s">
        <v>2142</v>
      </c>
      <c r="G4" s="1" t="s">
        <v>120</v>
      </c>
      <c r="H4" s="1" t="s">
        <v>393</v>
      </c>
      <c r="I4" s="1" t="s">
        <v>2131</v>
      </c>
      <c r="J4" s="1" t="s">
        <v>2131</v>
      </c>
      <c r="K4" s="1" t="s">
        <v>393</v>
      </c>
      <c r="L4" s="1" t="s">
        <v>393</v>
      </c>
      <c r="M4" s="1" t="s">
        <v>393</v>
      </c>
      <c r="P4" s="1" t="s">
        <v>317</v>
      </c>
      <c r="Q4" s="1" t="s">
        <v>1089</v>
      </c>
      <c r="R4" s="13" t="s">
        <v>341</v>
      </c>
      <c r="S4" s="1" t="s">
        <v>2143</v>
      </c>
      <c r="T4" s="1" t="s">
        <v>2144</v>
      </c>
    </row>
    <row r="5" customFormat="false" ht="15" hidden="false" customHeight="false" outlineLevel="0" collapsed="false">
      <c r="A5" s="1" t="s">
        <v>2064</v>
      </c>
      <c r="B5" s="1" t="s">
        <v>207</v>
      </c>
      <c r="C5" s="1" t="s">
        <v>2098</v>
      </c>
      <c r="D5" s="1" t="s">
        <v>2145</v>
      </c>
      <c r="E5" s="1" t="s">
        <v>1090</v>
      </c>
      <c r="F5" s="1" t="s">
        <v>2146</v>
      </c>
      <c r="G5" s="1" t="s">
        <v>120</v>
      </c>
      <c r="H5" s="1" t="s">
        <v>393</v>
      </c>
      <c r="I5" s="1" t="s">
        <v>2131</v>
      </c>
      <c r="J5" s="1" t="s">
        <v>2131</v>
      </c>
      <c r="K5" s="1" t="s">
        <v>2147</v>
      </c>
      <c r="L5" s="1" t="s">
        <v>2148</v>
      </c>
      <c r="M5" s="1" t="s">
        <v>393</v>
      </c>
      <c r="P5" s="1" t="s">
        <v>393</v>
      </c>
      <c r="Q5" s="1" t="s">
        <v>2149</v>
      </c>
      <c r="R5" s="13" t="s">
        <v>341</v>
      </c>
      <c r="S5" s="1" t="s">
        <v>2150</v>
      </c>
      <c r="T5" s="1" t="s">
        <v>2151</v>
      </c>
    </row>
    <row r="6" customFormat="false" ht="15" hidden="false" customHeight="false" outlineLevel="0" collapsed="false">
      <c r="A6" s="1" t="s">
        <v>2152</v>
      </c>
      <c r="B6" s="1" t="s">
        <v>214</v>
      </c>
      <c r="C6" s="1" t="s">
        <v>2107</v>
      </c>
      <c r="D6" s="1" t="s">
        <v>431</v>
      </c>
      <c r="E6" s="1" t="s">
        <v>1090</v>
      </c>
      <c r="F6" s="1" t="s">
        <v>433</v>
      </c>
      <c r="G6" s="1" t="s">
        <v>120</v>
      </c>
      <c r="H6" s="1" t="s">
        <v>2130</v>
      </c>
      <c r="I6" s="1" t="s">
        <v>2131</v>
      </c>
      <c r="J6" s="1" t="s">
        <v>2131</v>
      </c>
      <c r="K6" s="1" t="s">
        <v>393</v>
      </c>
      <c r="L6" s="1" t="s">
        <v>393</v>
      </c>
      <c r="M6" s="1" t="s">
        <v>393</v>
      </c>
      <c r="P6" s="1" t="s">
        <v>341</v>
      </c>
      <c r="Q6" s="1" t="s">
        <v>1089</v>
      </c>
      <c r="R6" s="13" t="s">
        <v>358</v>
      </c>
      <c r="S6" s="1" t="s">
        <v>2153</v>
      </c>
      <c r="T6" s="1" t="s">
        <v>2154</v>
      </c>
    </row>
    <row r="7" customFormat="false" ht="15" hidden="false" customHeight="false" outlineLevel="0" collapsed="false">
      <c r="A7" s="1" t="s">
        <v>2047</v>
      </c>
      <c r="B7" s="1" t="s">
        <v>277</v>
      </c>
      <c r="C7" s="1" t="s">
        <v>2112</v>
      </c>
      <c r="D7" s="1" t="s">
        <v>2113</v>
      </c>
      <c r="E7" s="1" t="s">
        <v>1090</v>
      </c>
      <c r="F7" s="1" t="s">
        <v>499</v>
      </c>
      <c r="G7" s="1" t="s">
        <v>120</v>
      </c>
      <c r="H7" s="1" t="s">
        <v>2130</v>
      </c>
      <c r="I7" s="1" t="s">
        <v>2131</v>
      </c>
      <c r="J7" s="1" t="s">
        <v>2131</v>
      </c>
      <c r="K7" s="1" t="s">
        <v>393</v>
      </c>
      <c r="L7" s="1" t="s">
        <v>2071</v>
      </c>
      <c r="M7" s="1" t="s">
        <v>2071</v>
      </c>
      <c r="P7" s="1" t="s">
        <v>2155</v>
      </c>
      <c r="Q7" s="1" t="s">
        <v>1094</v>
      </c>
      <c r="R7" s="13" t="s">
        <v>358</v>
      </c>
      <c r="S7" s="1" t="s">
        <v>2156</v>
      </c>
      <c r="T7" s="1" t="s">
        <v>2157</v>
      </c>
    </row>
    <row r="8" customFormat="false" ht="15" hidden="false" customHeight="false" outlineLevel="0" collapsed="false">
      <c r="A8" s="1" t="s">
        <v>2053</v>
      </c>
      <c r="B8" s="1" t="s">
        <v>283</v>
      </c>
      <c r="C8" s="1" t="s">
        <v>2120</v>
      </c>
      <c r="D8" s="1" t="s">
        <v>508</v>
      </c>
      <c r="E8" s="1" t="s">
        <v>1090</v>
      </c>
      <c r="F8" s="1" t="s">
        <v>499</v>
      </c>
      <c r="G8" s="1" t="s">
        <v>120</v>
      </c>
      <c r="H8" s="1" t="s">
        <v>2130</v>
      </c>
      <c r="I8" s="1" t="s">
        <v>2131</v>
      </c>
      <c r="J8" s="1" t="s">
        <v>2131</v>
      </c>
      <c r="K8" s="1" t="s">
        <v>393</v>
      </c>
      <c r="L8" s="1" t="s">
        <v>2071</v>
      </c>
      <c r="M8" s="1" t="s">
        <v>2071</v>
      </c>
      <c r="P8" s="1" t="s">
        <v>2155</v>
      </c>
      <c r="Q8" s="1" t="s">
        <v>1094</v>
      </c>
      <c r="R8" s="13" t="s">
        <v>358</v>
      </c>
      <c r="S8" s="1" t="s">
        <v>2158</v>
      </c>
      <c r="T8" s="1" t="s">
        <v>2157</v>
      </c>
    </row>
    <row r="9" customFormat="false" ht="15" hidden="false" customHeight="false" outlineLevel="0" collapsed="false">
      <c r="R9" s="13"/>
    </row>
    <row r="10" customFormat="false" ht="15" hidden="false" customHeight="false" outlineLevel="0" collapsed="false">
      <c r="R10" s="13"/>
    </row>
    <row r="11" customFormat="false" ht="15" hidden="false" customHeight="false" outlineLevel="0" collapsed="false">
      <c r="R11" s="13"/>
    </row>
    <row r="12" customFormat="false" ht="15" hidden="false" customHeight="false" outlineLevel="0" collapsed="false">
      <c r="R12" s="13"/>
    </row>
    <row r="13" customFormat="false" ht="15" hidden="false" customHeight="false" outlineLevel="0" collapsed="false">
      <c r="R13" s="13"/>
    </row>
    <row r="14" customFormat="false" ht="15" hidden="false" customHeight="false" outlineLevel="0" collapsed="false">
      <c r="R14" s="13"/>
    </row>
    <row r="15" customFormat="false" ht="15" hidden="false" customHeight="false" outlineLevel="0" collapsed="false">
      <c r="R15" s="13"/>
    </row>
    <row r="16" customFormat="false" ht="15" hidden="false" customHeight="false" outlineLevel="0" collapsed="false">
      <c r="R16" s="13"/>
    </row>
    <row r="17" customFormat="false" ht="15" hidden="false" customHeight="false" outlineLevel="0" collapsed="false">
      <c r="R17" s="13"/>
    </row>
    <row r="18" customFormat="false" ht="15" hidden="false" customHeight="false" outlineLevel="0" collapsed="false">
      <c r="R18" s="13"/>
    </row>
    <row r="19" customFormat="false" ht="15" hidden="false" customHeight="false" outlineLevel="0" collapsed="false">
      <c r="R19" s="13"/>
    </row>
    <row r="20" customFormat="false" ht="15" hidden="false" customHeight="false" outlineLevel="0" collapsed="false">
      <c r="R20" s="13"/>
    </row>
    <row r="21" customFormat="false" ht="15" hidden="false" customHeight="false" outlineLevel="0" collapsed="false">
      <c r="R21" s="13"/>
    </row>
    <row r="22" customFormat="false" ht="15" hidden="false" customHeight="false" outlineLevel="0" collapsed="false">
      <c r="R22" s="13"/>
    </row>
    <row r="23" customFormat="false" ht="15" hidden="false" customHeight="false" outlineLevel="0" collapsed="false">
      <c r="R23" s="13"/>
    </row>
    <row r="24" customFormat="false" ht="15" hidden="false" customHeight="false" outlineLevel="0" collapsed="false">
      <c r="R24" s="13"/>
    </row>
    <row r="25" customFormat="false" ht="15" hidden="false" customHeight="false" outlineLevel="0" collapsed="false">
      <c r="R25" s="13"/>
    </row>
    <row r="26" customFormat="false" ht="15" hidden="false" customHeight="false" outlineLevel="0" collapsed="false">
      <c r="R26" s="13"/>
    </row>
    <row r="27" customFormat="false" ht="15" hidden="false" customHeight="false" outlineLevel="0" collapsed="false">
      <c r="R27" s="13"/>
    </row>
    <row r="28" customFormat="false" ht="15" hidden="false" customHeight="false" outlineLevel="0" collapsed="false">
      <c r="R28" s="13"/>
    </row>
    <row r="29" customFormat="false" ht="15" hidden="false" customHeight="false" outlineLevel="0" collapsed="false">
      <c r="R29" s="13"/>
    </row>
    <row r="30" customFormat="false" ht="15" hidden="false" customHeight="false" outlineLevel="0" collapsed="false">
      <c r="R30" s="13"/>
    </row>
    <row r="31" customFormat="false" ht="15" hidden="false" customHeight="false" outlineLevel="0" collapsed="false">
      <c r="R31" s="13"/>
    </row>
    <row r="32" customFormat="false" ht="15" hidden="false" customHeight="false" outlineLevel="0" collapsed="false">
      <c r="R32" s="13"/>
    </row>
    <row r="33" customFormat="false" ht="15" hidden="false" customHeight="false" outlineLevel="0" collapsed="false">
      <c r="R33" s="13"/>
    </row>
    <row r="34" customFormat="false" ht="15" hidden="false" customHeight="false" outlineLevel="0" collapsed="false">
      <c r="R34" s="13"/>
    </row>
    <row r="35" customFormat="false" ht="15" hidden="false" customHeight="false" outlineLevel="0" collapsed="false">
      <c r="R35" s="13"/>
    </row>
    <row r="36" customFormat="false" ht="15" hidden="false" customHeight="false" outlineLevel="0" collapsed="false">
      <c r="R36" s="13"/>
    </row>
    <row r="37" customFormat="false" ht="15" hidden="false" customHeight="false" outlineLevel="0" collapsed="false">
      <c r="R37" s="13"/>
    </row>
    <row r="38" customFormat="false" ht="15" hidden="false" customHeight="false" outlineLevel="0" collapsed="false">
      <c r="R38" s="13"/>
    </row>
    <row r="39" customFormat="false" ht="15" hidden="false" customHeight="false" outlineLevel="0" collapsed="false">
      <c r="R39" s="13"/>
    </row>
    <row r="40" customFormat="false" ht="15" hidden="false" customHeight="false" outlineLevel="0" collapsed="false">
      <c r="R40" s="13"/>
    </row>
    <row r="41" customFormat="false" ht="15" hidden="false" customHeight="false" outlineLevel="0" collapsed="false">
      <c r="R41" s="13"/>
    </row>
    <row r="42" customFormat="false" ht="15" hidden="false" customHeight="false" outlineLevel="0" collapsed="false">
      <c r="R42" s="13"/>
    </row>
    <row r="43" customFormat="false" ht="15" hidden="false" customHeight="false" outlineLevel="0" collapsed="false">
      <c r="R43" s="13"/>
    </row>
    <row r="44" customFormat="false" ht="15" hidden="false" customHeight="false" outlineLevel="0" collapsed="false">
      <c r="R44" s="13"/>
    </row>
    <row r="45" customFormat="false" ht="15" hidden="false" customHeight="false" outlineLevel="0" collapsed="false">
      <c r="R45" s="13"/>
    </row>
    <row r="46" customFormat="false" ht="15" hidden="false" customHeight="false" outlineLevel="0" collapsed="false">
      <c r="R46" s="13"/>
    </row>
    <row r="47" customFormat="false" ht="15" hidden="false" customHeight="false" outlineLevel="0" collapsed="false">
      <c r="R47" s="13"/>
    </row>
    <row r="48" customFormat="false" ht="15" hidden="false" customHeight="false" outlineLevel="0" collapsed="false">
      <c r="R48" s="13"/>
    </row>
    <row r="49" customFormat="false" ht="15" hidden="false" customHeight="false" outlineLevel="0" collapsed="false">
      <c r="R49" s="13"/>
    </row>
    <row r="50" customFormat="false" ht="15" hidden="false" customHeight="false" outlineLevel="0" collapsed="false">
      <c r="R50" s="13"/>
    </row>
    <row r="51" customFormat="false" ht="15" hidden="false" customHeight="false" outlineLevel="0" collapsed="false">
      <c r="R51" s="13"/>
    </row>
    <row r="52" customFormat="false" ht="15" hidden="false" customHeight="false" outlineLevel="0" collapsed="false">
      <c r="R52" s="13"/>
    </row>
    <row r="53" customFormat="false" ht="15" hidden="false" customHeight="false" outlineLevel="0" collapsed="false">
      <c r="R53" s="13"/>
    </row>
    <row r="54" customFormat="false" ht="15" hidden="false" customHeight="false" outlineLevel="0" collapsed="false">
      <c r="R54" s="13"/>
    </row>
    <row r="55" customFormat="false" ht="15" hidden="false" customHeight="false" outlineLevel="0" collapsed="false">
      <c r="R55" s="13"/>
    </row>
    <row r="56" customFormat="false" ht="15" hidden="false" customHeight="false" outlineLevel="0" collapsed="false">
      <c r="R56" s="13"/>
    </row>
    <row r="57" customFormat="false" ht="15" hidden="false" customHeight="false" outlineLevel="0" collapsed="false">
      <c r="R57" s="13"/>
    </row>
    <row r="58" customFormat="false" ht="15" hidden="false" customHeight="false" outlineLevel="0" collapsed="false">
      <c r="R58" s="13"/>
    </row>
    <row r="59" customFormat="false" ht="15" hidden="false" customHeight="false" outlineLevel="0" collapsed="false">
      <c r="R59" s="13"/>
    </row>
    <row r="60" customFormat="false" ht="15" hidden="false" customHeight="false" outlineLevel="0" collapsed="false">
      <c r="R60" s="13"/>
    </row>
    <row r="61" customFormat="false" ht="15" hidden="false" customHeight="false" outlineLevel="0" collapsed="false">
      <c r="R61" s="13"/>
    </row>
    <row r="62" customFormat="false" ht="15" hidden="false" customHeight="false" outlineLevel="0" collapsed="false">
      <c r="R62" s="13"/>
    </row>
    <row r="63" customFormat="false" ht="15" hidden="false" customHeight="false" outlineLevel="0" collapsed="false">
      <c r="R63" s="13"/>
    </row>
    <row r="64" customFormat="false" ht="15" hidden="false" customHeight="false" outlineLevel="0" collapsed="false">
      <c r="R64" s="13"/>
    </row>
    <row r="65" customFormat="false" ht="15" hidden="false" customHeight="false" outlineLevel="0" collapsed="false">
      <c r="R65" s="13"/>
    </row>
    <row r="66" customFormat="false" ht="15" hidden="false" customHeight="false" outlineLevel="0" collapsed="false">
      <c r="R66" s="13"/>
    </row>
    <row r="67" customFormat="false" ht="15" hidden="false" customHeight="false" outlineLevel="0" collapsed="false">
      <c r="R67" s="13"/>
    </row>
    <row r="68" customFormat="false" ht="15" hidden="false" customHeight="false" outlineLevel="0" collapsed="false">
      <c r="R68" s="13"/>
    </row>
    <row r="69" customFormat="false" ht="15" hidden="false" customHeight="false" outlineLevel="0" collapsed="false">
      <c r="R69" s="13"/>
    </row>
    <row r="70" customFormat="false" ht="15" hidden="false" customHeight="false" outlineLevel="0" collapsed="false">
      <c r="R70" s="13"/>
    </row>
    <row r="71" customFormat="false" ht="15" hidden="false" customHeight="false" outlineLevel="0" collapsed="false">
      <c r="R71" s="13"/>
    </row>
    <row r="72" customFormat="false" ht="15" hidden="false" customHeight="false" outlineLevel="0" collapsed="false">
      <c r="R72" s="13"/>
    </row>
    <row r="73" customFormat="false" ht="15" hidden="false" customHeight="false" outlineLevel="0" collapsed="false">
      <c r="R73" s="13"/>
    </row>
    <row r="74" customFormat="false" ht="15" hidden="false" customHeight="false" outlineLevel="0" collapsed="false">
      <c r="R74" s="13"/>
    </row>
    <row r="75" customFormat="false" ht="15" hidden="false" customHeight="false" outlineLevel="0" collapsed="false">
      <c r="R75" s="13"/>
    </row>
    <row r="76" customFormat="false" ht="15" hidden="false" customHeight="false" outlineLevel="0" collapsed="false">
      <c r="R76" s="13"/>
    </row>
    <row r="77" customFormat="false" ht="15" hidden="false" customHeight="false" outlineLevel="0" collapsed="false">
      <c r="R77" s="13"/>
    </row>
    <row r="78" customFormat="false" ht="15" hidden="false" customHeight="false" outlineLevel="0" collapsed="false">
      <c r="R78" s="13"/>
    </row>
    <row r="79" customFormat="false" ht="15" hidden="false" customHeight="false" outlineLevel="0" collapsed="false">
      <c r="R79" s="13"/>
    </row>
    <row r="80" customFormat="false" ht="15" hidden="false" customHeight="false" outlineLevel="0" collapsed="false">
      <c r="R80" s="13"/>
    </row>
    <row r="81" customFormat="false" ht="15" hidden="false" customHeight="false" outlineLevel="0" collapsed="false">
      <c r="R81" s="13"/>
    </row>
    <row r="82" customFormat="false" ht="15" hidden="false" customHeight="false" outlineLevel="0" collapsed="false">
      <c r="R82" s="13"/>
    </row>
    <row r="83" customFormat="false" ht="15" hidden="false" customHeight="false" outlineLevel="0" collapsed="false">
      <c r="R83" s="13"/>
    </row>
    <row r="84" customFormat="false" ht="15" hidden="false" customHeight="false" outlineLevel="0" collapsed="false">
      <c r="R84" s="13"/>
    </row>
    <row r="85" customFormat="false" ht="15" hidden="false" customHeight="false" outlineLevel="0" collapsed="false">
      <c r="R85" s="13"/>
    </row>
    <row r="86" customFormat="false" ht="15" hidden="false" customHeight="false" outlineLevel="0" collapsed="false">
      <c r="R86" s="13"/>
    </row>
    <row r="87" customFormat="false" ht="15" hidden="false" customHeight="false" outlineLevel="0" collapsed="false">
      <c r="R87" s="13"/>
    </row>
    <row r="88" customFormat="false" ht="15" hidden="false" customHeight="false" outlineLevel="0" collapsed="false">
      <c r="R88" s="13"/>
    </row>
    <row r="89" customFormat="false" ht="15" hidden="false" customHeight="false" outlineLevel="0" collapsed="false">
      <c r="R89" s="13"/>
    </row>
    <row r="90" customFormat="false" ht="15" hidden="false" customHeight="false" outlineLevel="0" collapsed="false">
      <c r="R90" s="13"/>
    </row>
    <row r="91" customFormat="false" ht="15" hidden="false" customHeight="false" outlineLevel="0" collapsed="false">
      <c r="R91" s="13"/>
    </row>
    <row r="92" customFormat="false" ht="15" hidden="false" customHeight="false" outlineLevel="0" collapsed="false">
      <c r="R92" s="13"/>
    </row>
    <row r="93" customFormat="false" ht="15" hidden="false" customHeight="false" outlineLevel="0" collapsed="false">
      <c r="R93" s="13"/>
    </row>
    <row r="94" customFormat="false" ht="15" hidden="false" customHeight="false" outlineLevel="0" collapsed="false">
      <c r="R94" s="13"/>
    </row>
    <row r="95" customFormat="false" ht="15" hidden="false" customHeight="false" outlineLevel="0" collapsed="false">
      <c r="R95" s="13"/>
    </row>
    <row r="96" customFormat="false" ht="15" hidden="false" customHeight="false" outlineLevel="0" collapsed="false">
      <c r="R96" s="13"/>
    </row>
    <row r="97" customFormat="false" ht="15" hidden="false" customHeight="false" outlineLevel="0" collapsed="false">
      <c r="R97" s="13"/>
    </row>
    <row r="98" customFormat="false" ht="15" hidden="false" customHeight="false" outlineLevel="0" collapsed="false">
      <c r="R98" s="13"/>
    </row>
    <row r="99" customFormat="false" ht="15" hidden="false" customHeight="false" outlineLevel="0" collapsed="false">
      <c r="R99" s="13"/>
    </row>
    <row r="100" customFormat="false" ht="15" hidden="false" customHeight="false" outlineLevel="0" collapsed="false">
      <c r="R100" s="13"/>
    </row>
    <row r="101" customFormat="false" ht="15" hidden="false" customHeight="false" outlineLevel="0" collapsed="false">
      <c r="R101" s="13"/>
    </row>
    <row r="102" customFormat="false" ht="15" hidden="false" customHeight="false" outlineLevel="0" collapsed="false">
      <c r="R102" s="13"/>
    </row>
    <row r="103" customFormat="false" ht="15" hidden="false" customHeight="false" outlineLevel="0" collapsed="false">
      <c r="R103" s="13"/>
    </row>
    <row r="104" customFormat="false" ht="15" hidden="false" customHeight="false" outlineLevel="0" collapsed="false">
      <c r="R104" s="13"/>
    </row>
    <row r="105" customFormat="false" ht="15" hidden="false" customHeight="false" outlineLevel="0" collapsed="false">
      <c r="R105" s="13"/>
    </row>
    <row r="106" customFormat="false" ht="15" hidden="false" customHeight="false" outlineLevel="0" collapsed="false">
      <c r="R106" s="13"/>
    </row>
    <row r="107" customFormat="false" ht="15" hidden="false" customHeight="false" outlineLevel="0" collapsed="false">
      <c r="R107" s="13"/>
    </row>
    <row r="108" customFormat="false" ht="15" hidden="false" customHeight="false" outlineLevel="0" collapsed="false">
      <c r="R108" s="13"/>
    </row>
    <row r="109" customFormat="false" ht="15" hidden="false" customHeight="false" outlineLevel="0" collapsed="false">
      <c r="R109" s="13"/>
    </row>
    <row r="110" customFormat="false" ht="15" hidden="false" customHeight="false" outlineLevel="0" collapsed="false">
      <c r="R110" s="13"/>
    </row>
    <row r="111" customFormat="false" ht="15" hidden="false" customHeight="false" outlineLevel="0" collapsed="false">
      <c r="R111" s="13"/>
    </row>
    <row r="112" customFormat="false" ht="15" hidden="false" customHeight="false" outlineLevel="0" collapsed="false">
      <c r="R112" s="13"/>
    </row>
    <row r="113" customFormat="false" ht="15" hidden="false" customHeight="false" outlineLevel="0" collapsed="false">
      <c r="R113" s="13"/>
    </row>
    <row r="114" customFormat="false" ht="15" hidden="false" customHeight="false" outlineLevel="0" collapsed="false">
      <c r="R114" s="13"/>
    </row>
    <row r="115" customFormat="false" ht="15" hidden="false" customHeight="false" outlineLevel="0" collapsed="false">
      <c r="R115" s="13"/>
    </row>
    <row r="116" customFormat="false" ht="15" hidden="false" customHeight="false" outlineLevel="0" collapsed="false">
      <c r="R116" s="13"/>
    </row>
    <row r="117" customFormat="false" ht="15" hidden="false" customHeight="false" outlineLevel="0" collapsed="false">
      <c r="R117" s="13"/>
    </row>
    <row r="118" customFormat="false" ht="15" hidden="false" customHeight="false" outlineLevel="0" collapsed="false">
      <c r="R118" s="13"/>
    </row>
    <row r="119" customFormat="false" ht="15" hidden="false" customHeight="false" outlineLevel="0" collapsed="false">
      <c r="R119" s="13"/>
    </row>
    <row r="120" customFormat="false" ht="15" hidden="false" customHeight="false" outlineLevel="0" collapsed="false">
      <c r="R120" s="13"/>
    </row>
    <row r="121" customFormat="false" ht="15" hidden="false" customHeight="false" outlineLevel="0" collapsed="false">
      <c r="R121" s="13"/>
    </row>
    <row r="122" customFormat="false" ht="15" hidden="false" customHeight="false" outlineLevel="0" collapsed="false">
      <c r="R122" s="13"/>
    </row>
    <row r="123" customFormat="false" ht="15" hidden="false" customHeight="false" outlineLevel="0" collapsed="false">
      <c r="R123" s="13"/>
    </row>
    <row r="124" customFormat="false" ht="15" hidden="false" customHeight="false" outlineLevel="0" collapsed="false">
      <c r="R124" s="13"/>
    </row>
    <row r="125" customFormat="false" ht="15" hidden="false" customHeight="false" outlineLevel="0" collapsed="false">
      <c r="R125" s="13"/>
    </row>
    <row r="126" customFormat="false" ht="15" hidden="false" customHeight="false" outlineLevel="0" collapsed="false">
      <c r="R126" s="13"/>
    </row>
    <row r="127" customFormat="false" ht="15" hidden="false" customHeight="false" outlineLevel="0" collapsed="false">
      <c r="R127" s="13"/>
    </row>
    <row r="128" customFormat="false" ht="15" hidden="false" customHeight="false" outlineLevel="0" collapsed="false">
      <c r="R128" s="13"/>
    </row>
    <row r="129" customFormat="false" ht="15" hidden="false" customHeight="false" outlineLevel="0" collapsed="false">
      <c r="R129" s="13"/>
    </row>
    <row r="130" customFormat="false" ht="15" hidden="false" customHeight="false" outlineLevel="0" collapsed="false">
      <c r="R130" s="13"/>
    </row>
    <row r="131" customFormat="false" ht="15" hidden="false" customHeight="false" outlineLevel="0" collapsed="false">
      <c r="R131" s="13"/>
    </row>
    <row r="132" customFormat="false" ht="15" hidden="false" customHeight="false" outlineLevel="0" collapsed="false">
      <c r="R132" s="13"/>
    </row>
    <row r="133" customFormat="false" ht="15" hidden="false" customHeight="false" outlineLevel="0" collapsed="false">
      <c r="R133" s="13"/>
    </row>
    <row r="134" customFormat="false" ht="15" hidden="false" customHeight="false" outlineLevel="0" collapsed="false">
      <c r="R134" s="13"/>
    </row>
    <row r="135" customFormat="false" ht="15" hidden="false" customHeight="false" outlineLevel="0" collapsed="false">
      <c r="R135" s="13"/>
    </row>
    <row r="136" customFormat="false" ht="15" hidden="false" customHeight="false" outlineLevel="0" collapsed="false">
      <c r="R136" s="13"/>
    </row>
    <row r="137" customFormat="false" ht="15" hidden="false" customHeight="false" outlineLevel="0" collapsed="false">
      <c r="R137" s="13"/>
    </row>
    <row r="138" customFormat="false" ht="15" hidden="false" customHeight="false" outlineLevel="0" collapsed="false">
      <c r="R138" s="13"/>
    </row>
    <row r="139" customFormat="false" ht="15" hidden="false" customHeight="false" outlineLevel="0" collapsed="false">
      <c r="R139" s="13"/>
    </row>
    <row r="140" customFormat="false" ht="15" hidden="false" customHeight="false" outlineLevel="0" collapsed="false">
      <c r="R140" s="13"/>
    </row>
    <row r="141" customFormat="false" ht="15" hidden="false" customHeight="false" outlineLevel="0" collapsed="false">
      <c r="R141" s="13"/>
    </row>
    <row r="142" customFormat="false" ht="15" hidden="false" customHeight="false" outlineLevel="0" collapsed="false">
      <c r="R142" s="13"/>
    </row>
    <row r="143" customFormat="false" ht="15" hidden="false" customHeight="false" outlineLevel="0" collapsed="false">
      <c r="R143" s="13"/>
    </row>
    <row r="144" customFormat="false" ht="15" hidden="false" customHeight="false" outlineLevel="0" collapsed="false">
      <c r="R144" s="13"/>
    </row>
    <row r="145" customFormat="false" ht="15" hidden="false" customHeight="false" outlineLevel="0" collapsed="false">
      <c r="R145" s="13"/>
    </row>
    <row r="146" customFormat="false" ht="15" hidden="false" customHeight="false" outlineLevel="0" collapsed="false">
      <c r="R146" s="13"/>
    </row>
    <row r="147" customFormat="false" ht="15" hidden="false" customHeight="false" outlineLevel="0" collapsed="false">
      <c r="R147" s="13"/>
    </row>
    <row r="148" customFormat="false" ht="15" hidden="false" customHeight="false" outlineLevel="0" collapsed="false">
      <c r="R148" s="13"/>
    </row>
    <row r="149" customFormat="false" ht="15" hidden="false" customHeight="false" outlineLevel="0" collapsed="false">
      <c r="R149" s="13"/>
    </row>
    <row r="150" customFormat="false" ht="15" hidden="false" customHeight="false" outlineLevel="0" collapsed="false">
      <c r="R150" s="13"/>
    </row>
    <row r="151" customFormat="false" ht="15" hidden="false" customHeight="false" outlineLevel="0" collapsed="false">
      <c r="R151" s="13"/>
    </row>
    <row r="152" customFormat="false" ht="15" hidden="false" customHeight="false" outlineLevel="0" collapsed="false">
      <c r="R152" s="13"/>
    </row>
    <row r="153" customFormat="false" ht="15" hidden="false" customHeight="false" outlineLevel="0" collapsed="false">
      <c r="R153" s="13"/>
    </row>
    <row r="154" customFormat="false" ht="15" hidden="false" customHeight="false" outlineLevel="0" collapsed="false">
      <c r="R154" s="13"/>
    </row>
    <row r="155" customFormat="false" ht="15" hidden="false" customHeight="false" outlineLevel="0" collapsed="false">
      <c r="R155" s="13"/>
    </row>
    <row r="156" customFormat="false" ht="15" hidden="false" customHeight="false" outlineLevel="0" collapsed="false">
      <c r="R156" s="13"/>
    </row>
    <row r="157" customFormat="false" ht="15" hidden="false" customHeight="false" outlineLevel="0" collapsed="false">
      <c r="R157" s="13"/>
    </row>
    <row r="158" customFormat="false" ht="15" hidden="false" customHeight="false" outlineLevel="0" collapsed="false">
      <c r="R158" s="13"/>
    </row>
    <row r="159" customFormat="false" ht="15" hidden="false" customHeight="false" outlineLevel="0" collapsed="false">
      <c r="R159" s="13"/>
    </row>
    <row r="160" customFormat="false" ht="15" hidden="false" customHeight="false" outlineLevel="0" collapsed="false">
      <c r="R160" s="13"/>
    </row>
    <row r="161" customFormat="false" ht="15" hidden="false" customHeight="false" outlineLevel="0" collapsed="false">
      <c r="R161" s="13"/>
    </row>
    <row r="162" customFormat="false" ht="15" hidden="false" customHeight="false" outlineLevel="0" collapsed="false">
      <c r="R162" s="13"/>
    </row>
    <row r="163" customFormat="false" ht="15" hidden="false" customHeight="false" outlineLevel="0" collapsed="false">
      <c r="R163" s="13"/>
    </row>
    <row r="164" customFormat="false" ht="15" hidden="false" customHeight="false" outlineLevel="0" collapsed="false">
      <c r="R164" s="13"/>
    </row>
    <row r="165" customFormat="false" ht="15" hidden="false" customHeight="false" outlineLevel="0" collapsed="false">
      <c r="R165" s="13"/>
    </row>
    <row r="166" customFormat="false" ht="15" hidden="false" customHeight="false" outlineLevel="0" collapsed="false">
      <c r="R166" s="13"/>
    </row>
    <row r="167" customFormat="false" ht="15" hidden="false" customHeight="false" outlineLevel="0" collapsed="false">
      <c r="R167" s="13"/>
    </row>
    <row r="168" customFormat="false" ht="15" hidden="false" customHeight="false" outlineLevel="0" collapsed="false">
      <c r="R168" s="13"/>
    </row>
    <row r="169" customFormat="false" ht="15" hidden="false" customHeight="false" outlineLevel="0" collapsed="false">
      <c r="R169" s="13"/>
    </row>
    <row r="170" customFormat="false" ht="15" hidden="false" customHeight="false" outlineLevel="0" collapsed="false">
      <c r="R170" s="13"/>
    </row>
    <row r="171" customFormat="false" ht="15" hidden="false" customHeight="false" outlineLevel="0" collapsed="false">
      <c r="R171" s="13"/>
    </row>
    <row r="172" customFormat="false" ht="15" hidden="false" customHeight="false" outlineLevel="0" collapsed="false">
      <c r="R172" s="13"/>
    </row>
    <row r="173" customFormat="false" ht="15" hidden="false" customHeight="false" outlineLevel="0" collapsed="false">
      <c r="R173" s="13"/>
    </row>
    <row r="174" customFormat="false" ht="15" hidden="false" customHeight="false" outlineLevel="0" collapsed="false">
      <c r="R174" s="13"/>
    </row>
    <row r="175" customFormat="false" ht="15" hidden="false" customHeight="false" outlineLevel="0" collapsed="false">
      <c r="R175" s="13"/>
    </row>
    <row r="176" customFormat="false" ht="15" hidden="false" customHeight="false" outlineLevel="0" collapsed="false">
      <c r="R176" s="13"/>
    </row>
    <row r="177" customFormat="false" ht="15" hidden="false" customHeight="false" outlineLevel="0" collapsed="false">
      <c r="R177" s="13"/>
    </row>
    <row r="178" customFormat="false" ht="15" hidden="false" customHeight="false" outlineLevel="0" collapsed="false">
      <c r="R178" s="13"/>
    </row>
    <row r="179" customFormat="false" ht="15" hidden="false" customHeight="false" outlineLevel="0" collapsed="false">
      <c r="R179" s="13"/>
    </row>
    <row r="180" customFormat="false" ht="15" hidden="false" customHeight="false" outlineLevel="0" collapsed="false">
      <c r="R180" s="13"/>
    </row>
    <row r="181" customFormat="false" ht="15" hidden="false" customHeight="false" outlineLevel="0" collapsed="false">
      <c r="R181" s="13"/>
    </row>
    <row r="182" customFormat="false" ht="15" hidden="false" customHeight="false" outlineLevel="0" collapsed="false">
      <c r="R182" s="13"/>
    </row>
    <row r="183" customFormat="false" ht="15" hidden="false" customHeight="false" outlineLevel="0" collapsed="false">
      <c r="R183" s="13"/>
    </row>
    <row r="184" customFormat="false" ht="15" hidden="false" customHeight="false" outlineLevel="0" collapsed="false">
      <c r="R184" s="13"/>
    </row>
    <row r="185" customFormat="false" ht="15" hidden="false" customHeight="false" outlineLevel="0" collapsed="false">
      <c r="R185" s="13"/>
    </row>
    <row r="186" customFormat="false" ht="15" hidden="false" customHeight="false" outlineLevel="0" collapsed="false">
      <c r="R186" s="13"/>
    </row>
    <row r="187" customFormat="false" ht="15" hidden="false" customHeight="false" outlineLevel="0" collapsed="false">
      <c r="R187" s="13"/>
    </row>
    <row r="188" customFormat="false" ht="15" hidden="false" customHeight="false" outlineLevel="0" collapsed="false">
      <c r="R188" s="13"/>
    </row>
    <row r="189" customFormat="false" ht="15" hidden="false" customHeight="false" outlineLevel="0" collapsed="false">
      <c r="R189" s="13"/>
    </row>
    <row r="190" customFormat="false" ht="15" hidden="false" customHeight="false" outlineLevel="0" collapsed="false">
      <c r="R190" s="13"/>
    </row>
    <row r="191" customFormat="false" ht="15" hidden="false" customHeight="false" outlineLevel="0" collapsed="false">
      <c r="R191" s="13"/>
    </row>
    <row r="192" customFormat="false" ht="15" hidden="false" customHeight="false" outlineLevel="0" collapsed="false">
      <c r="R192" s="13"/>
    </row>
    <row r="193" customFormat="false" ht="15" hidden="false" customHeight="false" outlineLevel="0" collapsed="false">
      <c r="R193" s="13"/>
    </row>
    <row r="194" customFormat="false" ht="15" hidden="false" customHeight="false" outlineLevel="0" collapsed="false">
      <c r="R194" s="13"/>
    </row>
    <row r="195" customFormat="false" ht="15" hidden="false" customHeight="false" outlineLevel="0" collapsed="false">
      <c r="R195" s="13"/>
    </row>
    <row r="196" customFormat="false" ht="15" hidden="false" customHeight="false" outlineLevel="0" collapsed="false">
      <c r="R196" s="13"/>
    </row>
    <row r="197" customFormat="false" ht="15" hidden="false" customHeight="false" outlineLevel="0" collapsed="false">
      <c r="R197" s="13"/>
    </row>
    <row r="198" customFormat="false" ht="15" hidden="false" customHeight="false" outlineLevel="0" collapsed="false">
      <c r="R198" s="13"/>
    </row>
    <row r="199" customFormat="false" ht="15" hidden="false" customHeight="false" outlineLevel="0" collapsed="false">
      <c r="R199" s="13"/>
    </row>
    <row r="200" customFormat="false" ht="15" hidden="false" customHeight="false" outlineLevel="0" collapsed="false">
      <c r="R200" s="13"/>
    </row>
    <row r="201" customFormat="false" ht="15" hidden="false" customHeight="false" outlineLevel="0" collapsed="false">
      <c r="R201" s="13"/>
    </row>
    <row r="202" customFormat="false" ht="15" hidden="false" customHeight="false" outlineLevel="0" collapsed="false">
      <c r="R202" s="13"/>
    </row>
    <row r="203" customFormat="false" ht="15" hidden="false" customHeight="false" outlineLevel="0" collapsed="false">
      <c r="R203" s="13"/>
    </row>
    <row r="204" customFormat="false" ht="15" hidden="false" customHeight="false" outlineLevel="0" collapsed="false">
      <c r="R204" s="13"/>
    </row>
    <row r="205" customFormat="false" ht="15" hidden="false" customHeight="false" outlineLevel="0" collapsed="false">
      <c r="R205" s="13"/>
    </row>
    <row r="206" customFormat="false" ht="15" hidden="false" customHeight="false" outlineLevel="0" collapsed="false">
      <c r="R206" s="13"/>
    </row>
    <row r="207" customFormat="false" ht="15" hidden="false" customHeight="false" outlineLevel="0" collapsed="false">
      <c r="R207" s="13"/>
    </row>
    <row r="208" customFormat="false" ht="15" hidden="false" customHeight="false" outlineLevel="0" collapsed="false">
      <c r="R208" s="13"/>
    </row>
    <row r="209" customFormat="false" ht="15" hidden="false" customHeight="false" outlineLevel="0" collapsed="false">
      <c r="R209" s="13"/>
    </row>
    <row r="210" customFormat="false" ht="15" hidden="false" customHeight="false" outlineLevel="0" collapsed="false">
      <c r="R210" s="13"/>
    </row>
    <row r="211" customFormat="false" ht="15" hidden="false" customHeight="false" outlineLevel="0" collapsed="false">
      <c r="R211" s="13"/>
    </row>
    <row r="212" customFormat="false" ht="15" hidden="false" customHeight="false" outlineLevel="0" collapsed="false">
      <c r="R212" s="13"/>
    </row>
    <row r="213" customFormat="false" ht="15" hidden="false" customHeight="false" outlineLevel="0" collapsed="false">
      <c r="R213" s="13"/>
    </row>
    <row r="214" customFormat="false" ht="15" hidden="false" customHeight="false" outlineLevel="0" collapsed="false">
      <c r="R214" s="13"/>
    </row>
    <row r="215" customFormat="false" ht="15" hidden="false" customHeight="false" outlineLevel="0" collapsed="false">
      <c r="R215" s="13"/>
    </row>
    <row r="216" customFormat="false" ht="15" hidden="false" customHeight="false" outlineLevel="0" collapsed="false">
      <c r="R216" s="13"/>
    </row>
    <row r="217" customFormat="false" ht="15" hidden="false" customHeight="false" outlineLevel="0" collapsed="false">
      <c r="R217" s="13"/>
    </row>
    <row r="218" customFormat="false" ht="15" hidden="false" customHeight="false" outlineLevel="0" collapsed="false">
      <c r="R218" s="13"/>
    </row>
    <row r="219" customFormat="false" ht="15" hidden="false" customHeight="false" outlineLevel="0" collapsed="false">
      <c r="R219" s="13"/>
    </row>
    <row r="220" customFormat="false" ht="15" hidden="false" customHeight="false" outlineLevel="0" collapsed="false">
      <c r="R220" s="13"/>
    </row>
    <row r="221" customFormat="false" ht="15" hidden="false" customHeight="false" outlineLevel="0" collapsed="false">
      <c r="R221" s="13"/>
    </row>
    <row r="222" customFormat="false" ht="15" hidden="false" customHeight="false" outlineLevel="0" collapsed="false">
      <c r="R222" s="13"/>
    </row>
    <row r="223" customFormat="false" ht="15" hidden="false" customHeight="false" outlineLevel="0" collapsed="false">
      <c r="R223" s="13"/>
    </row>
    <row r="224" customFormat="false" ht="15" hidden="false" customHeight="false" outlineLevel="0" collapsed="false">
      <c r="R224" s="13"/>
    </row>
    <row r="225" customFormat="false" ht="15" hidden="false" customHeight="false" outlineLevel="0" collapsed="false">
      <c r="R225" s="13"/>
    </row>
    <row r="226" customFormat="false" ht="15" hidden="false" customHeight="false" outlineLevel="0" collapsed="false">
      <c r="R226" s="13"/>
    </row>
    <row r="227" customFormat="false" ht="15" hidden="false" customHeight="false" outlineLevel="0" collapsed="false">
      <c r="R227" s="13"/>
    </row>
    <row r="228" customFormat="false" ht="15" hidden="false" customHeight="false" outlineLevel="0" collapsed="false">
      <c r="R228" s="13"/>
    </row>
    <row r="229" customFormat="false" ht="15" hidden="false" customHeight="false" outlineLevel="0" collapsed="false">
      <c r="R229" s="13"/>
    </row>
    <row r="230" customFormat="false" ht="15" hidden="false" customHeight="false" outlineLevel="0" collapsed="false">
      <c r="R230" s="13"/>
    </row>
    <row r="231" customFormat="false" ht="15" hidden="false" customHeight="false" outlineLevel="0" collapsed="false">
      <c r="R231" s="13"/>
    </row>
    <row r="232" customFormat="false" ht="15" hidden="false" customHeight="false" outlineLevel="0" collapsed="false">
      <c r="R232" s="13"/>
    </row>
    <row r="233" customFormat="false" ht="15" hidden="false" customHeight="false" outlineLevel="0" collapsed="false">
      <c r="R233" s="13"/>
    </row>
    <row r="234" customFormat="false" ht="15" hidden="false" customHeight="false" outlineLevel="0" collapsed="false">
      <c r="R234" s="13"/>
    </row>
    <row r="235" customFormat="false" ht="15" hidden="false" customHeight="false" outlineLevel="0" collapsed="false">
      <c r="R235" s="13"/>
    </row>
    <row r="236" customFormat="false" ht="15" hidden="false" customHeight="false" outlineLevel="0" collapsed="false">
      <c r="R236" s="13"/>
    </row>
    <row r="237" customFormat="false" ht="15" hidden="false" customHeight="false" outlineLevel="0" collapsed="false">
      <c r="R237" s="13"/>
    </row>
    <row r="238" customFormat="false" ht="15" hidden="false" customHeight="false" outlineLevel="0" collapsed="false">
      <c r="R238" s="13"/>
    </row>
    <row r="239" customFormat="false" ht="15" hidden="false" customHeight="false" outlineLevel="0" collapsed="false">
      <c r="R239" s="13"/>
    </row>
    <row r="240" customFormat="false" ht="15" hidden="false" customHeight="false" outlineLevel="0" collapsed="false">
      <c r="R240" s="13"/>
    </row>
    <row r="241" customFormat="false" ht="15" hidden="false" customHeight="false" outlineLevel="0" collapsed="false">
      <c r="R241" s="13"/>
    </row>
    <row r="242" customFormat="false" ht="15" hidden="false" customHeight="false" outlineLevel="0" collapsed="false">
      <c r="R242" s="13"/>
    </row>
    <row r="243" customFormat="false" ht="15" hidden="false" customHeight="false" outlineLevel="0" collapsed="false">
      <c r="R243" s="13"/>
    </row>
    <row r="244" customFormat="false" ht="15" hidden="false" customHeight="false" outlineLevel="0" collapsed="false">
      <c r="R244" s="13"/>
    </row>
    <row r="245" customFormat="false" ht="15" hidden="false" customHeight="false" outlineLevel="0" collapsed="false">
      <c r="R245" s="13"/>
    </row>
    <row r="246" customFormat="false" ht="15" hidden="false" customHeight="false" outlineLevel="0" collapsed="false">
      <c r="R246" s="13"/>
    </row>
    <row r="247" customFormat="false" ht="15" hidden="false" customHeight="false" outlineLevel="0" collapsed="false">
      <c r="R247" s="13"/>
    </row>
    <row r="248" customFormat="false" ht="15" hidden="false" customHeight="false" outlineLevel="0" collapsed="false">
      <c r="R248" s="13"/>
    </row>
    <row r="249" customFormat="false" ht="15" hidden="false" customHeight="false" outlineLevel="0" collapsed="false">
      <c r="R249" s="13"/>
    </row>
    <row r="250" customFormat="false" ht="15" hidden="false" customHeight="false" outlineLevel="0" collapsed="false">
      <c r="R250" s="13"/>
    </row>
    <row r="251" customFormat="false" ht="15" hidden="false" customHeight="false" outlineLevel="0" collapsed="false">
      <c r="R251" s="13"/>
    </row>
    <row r="252" customFormat="false" ht="15" hidden="false" customHeight="false" outlineLevel="0" collapsed="false">
      <c r="R252" s="13"/>
    </row>
    <row r="253" customFormat="false" ht="15" hidden="false" customHeight="false" outlineLevel="0" collapsed="false">
      <c r="R253" s="13"/>
    </row>
    <row r="254" customFormat="false" ht="15" hidden="false" customHeight="false" outlineLevel="0" collapsed="false">
      <c r="R254" s="13"/>
    </row>
    <row r="255" customFormat="false" ht="15" hidden="false" customHeight="false" outlineLevel="0" collapsed="false">
      <c r="R255" s="13"/>
    </row>
    <row r="256" customFormat="false" ht="15" hidden="false" customHeight="false" outlineLevel="0" collapsed="false">
      <c r="R256" s="13"/>
    </row>
    <row r="257" customFormat="false" ht="15" hidden="false" customHeight="false" outlineLevel="0" collapsed="false">
      <c r="R257" s="13"/>
    </row>
    <row r="258" customFormat="false" ht="15" hidden="false" customHeight="false" outlineLevel="0" collapsed="false">
      <c r="R258" s="13"/>
    </row>
    <row r="259" customFormat="false" ht="15" hidden="false" customHeight="false" outlineLevel="0" collapsed="false">
      <c r="R259" s="13"/>
    </row>
    <row r="260" customFormat="false" ht="15" hidden="false" customHeight="false" outlineLevel="0" collapsed="false">
      <c r="R260" s="13"/>
    </row>
    <row r="261" customFormat="false" ht="15" hidden="false" customHeight="false" outlineLevel="0" collapsed="false">
      <c r="R261" s="13"/>
    </row>
    <row r="262" customFormat="false" ht="15" hidden="false" customHeight="false" outlineLevel="0" collapsed="false">
      <c r="R262" s="13"/>
    </row>
    <row r="263" customFormat="false" ht="15" hidden="false" customHeight="false" outlineLevel="0" collapsed="false">
      <c r="R263" s="13"/>
    </row>
    <row r="264" customFormat="false" ht="15" hidden="false" customHeight="false" outlineLevel="0" collapsed="false">
      <c r="R264" s="13"/>
    </row>
    <row r="265" customFormat="false" ht="15" hidden="false" customHeight="false" outlineLevel="0" collapsed="false">
      <c r="R265" s="13"/>
    </row>
    <row r="266" customFormat="false" ht="15" hidden="false" customHeight="false" outlineLevel="0" collapsed="false">
      <c r="R266" s="13"/>
    </row>
    <row r="267" customFormat="false" ht="15" hidden="false" customHeight="false" outlineLevel="0" collapsed="false">
      <c r="R267" s="13"/>
    </row>
    <row r="268" customFormat="false" ht="15" hidden="false" customHeight="false" outlineLevel="0" collapsed="false">
      <c r="R268" s="13"/>
    </row>
    <row r="269" customFormat="false" ht="15" hidden="false" customHeight="false" outlineLevel="0" collapsed="false">
      <c r="R269" s="13"/>
    </row>
    <row r="270" customFormat="false" ht="15" hidden="false" customHeight="false" outlineLevel="0" collapsed="false">
      <c r="R270" s="13"/>
    </row>
    <row r="271" customFormat="false" ht="15" hidden="false" customHeight="false" outlineLevel="0" collapsed="false">
      <c r="R271" s="13"/>
    </row>
    <row r="272" customFormat="false" ht="15" hidden="false" customHeight="false" outlineLevel="0" collapsed="false">
      <c r="R272" s="13"/>
    </row>
    <row r="273" customFormat="false" ht="15" hidden="false" customHeight="false" outlineLevel="0" collapsed="false">
      <c r="R273" s="13"/>
    </row>
    <row r="274" customFormat="false" ht="15" hidden="false" customHeight="false" outlineLevel="0" collapsed="false">
      <c r="R274" s="13"/>
    </row>
    <row r="275" customFormat="false" ht="15" hidden="false" customHeight="false" outlineLevel="0" collapsed="false">
      <c r="R275" s="13"/>
    </row>
    <row r="276" customFormat="false" ht="15" hidden="false" customHeight="false" outlineLevel="0" collapsed="false">
      <c r="R276" s="13"/>
    </row>
    <row r="277" customFormat="false" ht="15" hidden="false" customHeight="false" outlineLevel="0" collapsed="false">
      <c r="R277" s="13"/>
    </row>
    <row r="278" customFormat="false" ht="15" hidden="false" customHeight="false" outlineLevel="0" collapsed="false">
      <c r="R278" s="13"/>
    </row>
    <row r="279" customFormat="false" ht="15" hidden="false" customHeight="false" outlineLevel="0" collapsed="false">
      <c r="R279" s="13"/>
    </row>
    <row r="280" customFormat="false" ht="15" hidden="false" customHeight="false" outlineLevel="0" collapsed="false">
      <c r="R280" s="13"/>
    </row>
    <row r="281" customFormat="false" ht="15" hidden="false" customHeight="false" outlineLevel="0" collapsed="false">
      <c r="R281" s="13"/>
    </row>
    <row r="282" customFormat="false" ht="15" hidden="false" customHeight="false" outlineLevel="0" collapsed="false">
      <c r="R282" s="13"/>
    </row>
    <row r="283" customFormat="false" ht="15" hidden="false" customHeight="false" outlineLevel="0" collapsed="false">
      <c r="R283" s="13"/>
    </row>
    <row r="284" customFormat="false" ht="15" hidden="false" customHeight="false" outlineLevel="0" collapsed="false">
      <c r="R284" s="13"/>
    </row>
    <row r="285" customFormat="false" ht="15" hidden="false" customHeight="false" outlineLevel="0" collapsed="false">
      <c r="R285" s="13"/>
    </row>
    <row r="286" customFormat="false" ht="15" hidden="false" customHeight="false" outlineLevel="0" collapsed="false">
      <c r="R286" s="13"/>
    </row>
    <row r="287" customFormat="false" ht="15" hidden="false" customHeight="false" outlineLevel="0" collapsed="false">
      <c r="R287" s="13"/>
    </row>
    <row r="288" customFormat="false" ht="15" hidden="false" customHeight="false" outlineLevel="0" collapsed="false">
      <c r="R288" s="13"/>
    </row>
    <row r="289" customFormat="false" ht="15" hidden="false" customHeight="false" outlineLevel="0" collapsed="false">
      <c r="R289" s="13"/>
    </row>
    <row r="290" customFormat="false" ht="15" hidden="false" customHeight="false" outlineLevel="0" collapsed="false">
      <c r="R290" s="13"/>
    </row>
    <row r="291" customFormat="false" ht="15" hidden="false" customHeight="false" outlineLevel="0" collapsed="false">
      <c r="R291" s="13"/>
    </row>
    <row r="292" customFormat="false" ht="15" hidden="false" customHeight="false" outlineLevel="0" collapsed="false">
      <c r="R292" s="13"/>
    </row>
    <row r="293" customFormat="false" ht="15" hidden="false" customHeight="false" outlineLevel="0" collapsed="false">
      <c r="R293" s="13"/>
    </row>
    <row r="294" customFormat="false" ht="15" hidden="false" customHeight="false" outlineLevel="0" collapsed="false">
      <c r="R294" s="13"/>
    </row>
    <row r="295" customFormat="false" ht="15" hidden="false" customHeight="false" outlineLevel="0" collapsed="false">
      <c r="R295" s="13"/>
    </row>
    <row r="296" customFormat="false" ht="15" hidden="false" customHeight="false" outlineLevel="0" collapsed="false">
      <c r="R296" s="13"/>
    </row>
    <row r="297" customFormat="false" ht="15" hidden="false" customHeight="false" outlineLevel="0" collapsed="false">
      <c r="R297" s="13"/>
    </row>
    <row r="298" customFormat="false" ht="15" hidden="false" customHeight="false" outlineLevel="0" collapsed="false">
      <c r="R298" s="13"/>
    </row>
    <row r="299" customFormat="false" ht="15" hidden="false" customHeight="false" outlineLevel="0" collapsed="false">
      <c r="R299" s="13"/>
    </row>
    <row r="300" customFormat="false" ht="15" hidden="false" customHeight="false" outlineLevel="0" collapsed="false">
      <c r="R300" s="13"/>
    </row>
    <row r="301" customFormat="false" ht="15" hidden="false" customHeight="false" outlineLevel="0" collapsed="false">
      <c r="R301" s="13"/>
    </row>
    <row r="302" customFormat="false" ht="15" hidden="false" customHeight="false" outlineLevel="0" collapsed="false">
      <c r="R302" s="13"/>
    </row>
    <row r="303" customFormat="false" ht="15" hidden="false" customHeight="false" outlineLevel="0" collapsed="false">
      <c r="R303" s="13"/>
    </row>
    <row r="304" customFormat="false" ht="15" hidden="false" customHeight="false" outlineLevel="0" collapsed="false">
      <c r="R304" s="13"/>
    </row>
    <row r="305" customFormat="false" ht="15" hidden="false" customHeight="false" outlineLevel="0" collapsed="false">
      <c r="R305" s="13"/>
    </row>
    <row r="306" customFormat="false" ht="15" hidden="false" customHeight="false" outlineLevel="0" collapsed="false">
      <c r="R306" s="13"/>
    </row>
    <row r="307" customFormat="false" ht="15" hidden="false" customHeight="false" outlineLevel="0" collapsed="false">
      <c r="R307" s="13"/>
    </row>
    <row r="308" customFormat="false" ht="15" hidden="false" customHeight="false" outlineLevel="0" collapsed="false">
      <c r="R308" s="13"/>
    </row>
    <row r="309" customFormat="false" ht="15" hidden="false" customHeight="false" outlineLevel="0" collapsed="false">
      <c r="R309" s="13"/>
    </row>
    <row r="310" customFormat="false" ht="15" hidden="false" customHeight="false" outlineLevel="0" collapsed="false">
      <c r="R310" s="13"/>
    </row>
    <row r="311" customFormat="false" ht="15" hidden="false" customHeight="false" outlineLevel="0" collapsed="false">
      <c r="R311" s="13"/>
    </row>
    <row r="312" customFormat="false" ht="15" hidden="false" customHeight="false" outlineLevel="0" collapsed="false">
      <c r="R312" s="13"/>
    </row>
    <row r="313" customFormat="false" ht="15" hidden="false" customHeight="false" outlineLevel="0" collapsed="false">
      <c r="R313" s="13"/>
    </row>
    <row r="314" customFormat="false" ht="15" hidden="false" customHeight="false" outlineLevel="0" collapsed="false">
      <c r="R314" s="13"/>
    </row>
    <row r="315" customFormat="false" ht="15" hidden="false" customHeight="false" outlineLevel="0" collapsed="false">
      <c r="R315" s="13"/>
    </row>
    <row r="316" customFormat="false" ht="15" hidden="false" customHeight="false" outlineLevel="0" collapsed="false">
      <c r="R316" s="13"/>
    </row>
    <row r="317" customFormat="false" ht="15" hidden="false" customHeight="false" outlineLevel="0" collapsed="false">
      <c r="R317" s="13"/>
    </row>
    <row r="318" customFormat="false" ht="15" hidden="false" customHeight="false" outlineLevel="0" collapsed="false">
      <c r="R318" s="13"/>
    </row>
    <row r="319" customFormat="false" ht="15" hidden="false" customHeight="false" outlineLevel="0" collapsed="false">
      <c r="R319" s="13"/>
    </row>
    <row r="320" customFormat="false" ht="15" hidden="false" customHeight="false" outlineLevel="0" collapsed="false">
      <c r="R320" s="13"/>
    </row>
    <row r="321" customFormat="false" ht="15" hidden="false" customHeight="false" outlineLevel="0" collapsed="false">
      <c r="R321" s="13"/>
    </row>
    <row r="322" customFormat="false" ht="15" hidden="false" customHeight="false" outlineLevel="0" collapsed="false">
      <c r="R322" s="13"/>
    </row>
    <row r="323" customFormat="false" ht="15" hidden="false" customHeight="false" outlineLevel="0" collapsed="false">
      <c r="R323" s="13"/>
    </row>
    <row r="324" customFormat="false" ht="15" hidden="false" customHeight="false" outlineLevel="0" collapsed="false">
      <c r="R324" s="13"/>
    </row>
    <row r="325" customFormat="false" ht="15" hidden="false" customHeight="false" outlineLevel="0" collapsed="false">
      <c r="R325" s="13"/>
    </row>
    <row r="326" customFormat="false" ht="15" hidden="false" customHeight="false" outlineLevel="0" collapsed="false">
      <c r="R326" s="13"/>
    </row>
    <row r="327" customFormat="false" ht="15" hidden="false" customHeight="false" outlineLevel="0" collapsed="false">
      <c r="R327" s="13"/>
    </row>
    <row r="328" customFormat="false" ht="15" hidden="false" customHeight="false" outlineLevel="0" collapsed="false">
      <c r="R328" s="13"/>
    </row>
    <row r="329" customFormat="false" ht="15" hidden="false" customHeight="false" outlineLevel="0" collapsed="false">
      <c r="R329" s="13"/>
    </row>
    <row r="330" customFormat="false" ht="15" hidden="false" customHeight="false" outlineLevel="0" collapsed="false">
      <c r="R330" s="13"/>
    </row>
    <row r="331" customFormat="false" ht="15" hidden="false" customHeight="false" outlineLevel="0" collapsed="false">
      <c r="R331" s="13"/>
    </row>
    <row r="332" customFormat="false" ht="15" hidden="false" customHeight="false" outlineLevel="0" collapsed="false">
      <c r="R332" s="13"/>
    </row>
    <row r="333" customFormat="false" ht="15" hidden="false" customHeight="false" outlineLevel="0" collapsed="false">
      <c r="R333" s="13"/>
    </row>
    <row r="334" customFormat="false" ht="15" hidden="false" customHeight="false" outlineLevel="0" collapsed="false">
      <c r="R334" s="13"/>
    </row>
    <row r="335" customFormat="false" ht="15" hidden="false" customHeight="false" outlineLevel="0" collapsed="false">
      <c r="R335" s="13"/>
    </row>
    <row r="336" customFormat="false" ht="15" hidden="false" customHeight="false" outlineLevel="0" collapsed="false">
      <c r="R336" s="13"/>
    </row>
    <row r="337" customFormat="false" ht="15" hidden="false" customHeight="false" outlineLevel="0" collapsed="false">
      <c r="R337" s="13"/>
    </row>
    <row r="338" customFormat="false" ht="15" hidden="false" customHeight="false" outlineLevel="0" collapsed="false">
      <c r="R338" s="13"/>
    </row>
    <row r="339" customFormat="false" ht="15" hidden="false" customHeight="false" outlineLevel="0" collapsed="false">
      <c r="R339" s="13"/>
    </row>
    <row r="340" customFormat="false" ht="15" hidden="false" customHeight="false" outlineLevel="0" collapsed="false">
      <c r="R340" s="13"/>
    </row>
    <row r="341" customFormat="false" ht="15" hidden="false" customHeight="false" outlineLevel="0" collapsed="false">
      <c r="R341" s="13"/>
    </row>
    <row r="342" customFormat="false" ht="15" hidden="false" customHeight="false" outlineLevel="0" collapsed="false">
      <c r="R342" s="13"/>
    </row>
    <row r="343" customFormat="false" ht="15" hidden="false" customHeight="false" outlineLevel="0" collapsed="false">
      <c r="R343" s="13"/>
    </row>
    <row r="344" customFormat="false" ht="15" hidden="false" customHeight="false" outlineLevel="0" collapsed="false">
      <c r="R344" s="13"/>
    </row>
    <row r="345" customFormat="false" ht="15" hidden="false" customHeight="false" outlineLevel="0" collapsed="false">
      <c r="R345" s="13"/>
    </row>
    <row r="346" customFormat="false" ht="15" hidden="false" customHeight="false" outlineLevel="0" collapsed="false">
      <c r="R346" s="13"/>
    </row>
    <row r="347" customFormat="false" ht="15" hidden="false" customHeight="false" outlineLevel="0" collapsed="false">
      <c r="R347" s="13"/>
    </row>
    <row r="348" customFormat="false" ht="15" hidden="false" customHeight="false" outlineLevel="0" collapsed="false">
      <c r="R348" s="13"/>
    </row>
    <row r="349" customFormat="false" ht="15" hidden="false" customHeight="false" outlineLevel="0" collapsed="false">
      <c r="R349" s="13"/>
    </row>
    <row r="350" customFormat="false" ht="15" hidden="false" customHeight="false" outlineLevel="0" collapsed="false">
      <c r="R350" s="13"/>
    </row>
    <row r="351" customFormat="false" ht="15" hidden="false" customHeight="false" outlineLevel="0" collapsed="false">
      <c r="R351" s="13"/>
    </row>
    <row r="352" customFormat="false" ht="15" hidden="false" customHeight="false" outlineLevel="0" collapsed="false">
      <c r="R352" s="13"/>
    </row>
    <row r="353" customFormat="false" ht="15" hidden="false" customHeight="false" outlineLevel="0" collapsed="false">
      <c r="R353" s="13"/>
    </row>
    <row r="354" customFormat="false" ht="15" hidden="false" customHeight="false" outlineLevel="0" collapsed="false">
      <c r="R354" s="13"/>
    </row>
    <row r="355" customFormat="false" ht="15" hidden="false" customHeight="false" outlineLevel="0" collapsed="false">
      <c r="R355" s="13"/>
    </row>
    <row r="356" customFormat="false" ht="15" hidden="false" customHeight="false" outlineLevel="0" collapsed="false">
      <c r="R356" s="13"/>
    </row>
    <row r="357" customFormat="false" ht="15" hidden="false" customHeight="false" outlineLevel="0" collapsed="false">
      <c r="R357" s="13"/>
    </row>
    <row r="358" customFormat="false" ht="15" hidden="false" customHeight="false" outlineLevel="0" collapsed="false">
      <c r="R358" s="13"/>
    </row>
    <row r="359" customFormat="false" ht="15" hidden="false" customHeight="false" outlineLevel="0" collapsed="false">
      <c r="R359" s="13"/>
    </row>
    <row r="360" customFormat="false" ht="15" hidden="false" customHeight="false" outlineLevel="0" collapsed="false">
      <c r="R360" s="13"/>
    </row>
    <row r="361" customFormat="false" ht="15" hidden="false" customHeight="false" outlineLevel="0" collapsed="false">
      <c r="R361" s="13"/>
    </row>
    <row r="362" customFormat="false" ht="15" hidden="false" customHeight="false" outlineLevel="0" collapsed="false">
      <c r="R362" s="13"/>
    </row>
    <row r="363" customFormat="false" ht="15" hidden="false" customHeight="false" outlineLevel="0" collapsed="false">
      <c r="R363" s="13"/>
    </row>
    <row r="364" customFormat="false" ht="15" hidden="false" customHeight="false" outlineLevel="0" collapsed="false">
      <c r="R364" s="13"/>
    </row>
    <row r="365" customFormat="false" ht="15" hidden="false" customHeight="false" outlineLevel="0" collapsed="false">
      <c r="R365" s="13"/>
    </row>
    <row r="366" customFormat="false" ht="15" hidden="false" customHeight="false" outlineLevel="0" collapsed="false">
      <c r="R366" s="13"/>
    </row>
    <row r="367" customFormat="false" ht="15" hidden="false" customHeight="false" outlineLevel="0" collapsed="false">
      <c r="R367" s="13"/>
    </row>
    <row r="368" customFormat="false" ht="15" hidden="false" customHeight="false" outlineLevel="0" collapsed="false">
      <c r="R368" s="13"/>
    </row>
    <row r="369" customFormat="false" ht="15" hidden="false" customHeight="false" outlineLevel="0" collapsed="false">
      <c r="R369" s="13"/>
    </row>
    <row r="370" customFormat="false" ht="15" hidden="false" customHeight="false" outlineLevel="0" collapsed="false">
      <c r="R370" s="13"/>
    </row>
    <row r="371" customFormat="false" ht="15" hidden="false" customHeight="false" outlineLevel="0" collapsed="false">
      <c r="R371" s="13"/>
    </row>
    <row r="372" customFormat="false" ht="15" hidden="false" customHeight="false" outlineLevel="0" collapsed="false">
      <c r="R372" s="13"/>
    </row>
    <row r="373" customFormat="false" ht="15" hidden="false" customHeight="false" outlineLevel="0" collapsed="false">
      <c r="R373" s="13"/>
    </row>
    <row r="374" customFormat="false" ht="15" hidden="false" customHeight="false" outlineLevel="0" collapsed="false">
      <c r="R374" s="13"/>
    </row>
    <row r="375" customFormat="false" ht="15" hidden="false" customHeight="false" outlineLevel="0" collapsed="false">
      <c r="R375" s="13"/>
    </row>
    <row r="376" customFormat="false" ht="15" hidden="false" customHeight="false" outlineLevel="0" collapsed="false">
      <c r="R376" s="13"/>
    </row>
    <row r="377" customFormat="false" ht="15" hidden="false" customHeight="false" outlineLevel="0" collapsed="false">
      <c r="R377" s="13"/>
    </row>
    <row r="378" customFormat="false" ht="15" hidden="false" customHeight="false" outlineLevel="0" collapsed="false">
      <c r="R378" s="13"/>
    </row>
    <row r="379" customFormat="false" ht="15" hidden="false" customHeight="false" outlineLevel="0" collapsed="false">
      <c r="R379" s="13"/>
    </row>
    <row r="380" customFormat="false" ht="15" hidden="false" customHeight="false" outlineLevel="0" collapsed="false">
      <c r="R380" s="13"/>
    </row>
    <row r="381" customFormat="false" ht="15" hidden="false" customHeight="false" outlineLevel="0" collapsed="false">
      <c r="R381" s="13"/>
    </row>
    <row r="382" customFormat="false" ht="15" hidden="false" customHeight="false" outlineLevel="0" collapsed="false">
      <c r="R382" s="13"/>
    </row>
    <row r="383" customFormat="false" ht="15" hidden="false" customHeight="false" outlineLevel="0" collapsed="false">
      <c r="R383" s="13"/>
    </row>
    <row r="384" customFormat="false" ht="15" hidden="false" customHeight="false" outlineLevel="0" collapsed="false">
      <c r="R384" s="13"/>
    </row>
    <row r="385" customFormat="false" ht="15" hidden="false" customHeight="false" outlineLevel="0" collapsed="false">
      <c r="R385" s="13"/>
    </row>
    <row r="386" customFormat="false" ht="15" hidden="false" customHeight="false" outlineLevel="0" collapsed="false">
      <c r="R386" s="13"/>
    </row>
    <row r="387" customFormat="false" ht="15" hidden="false" customHeight="false" outlineLevel="0" collapsed="false">
      <c r="R387" s="13"/>
    </row>
    <row r="388" customFormat="false" ht="15" hidden="false" customHeight="false" outlineLevel="0" collapsed="false">
      <c r="R388" s="13"/>
    </row>
    <row r="389" customFormat="false" ht="15" hidden="false" customHeight="false" outlineLevel="0" collapsed="false">
      <c r="R389" s="13"/>
    </row>
    <row r="390" customFormat="false" ht="15" hidden="false" customHeight="false" outlineLevel="0" collapsed="false">
      <c r="R390" s="13"/>
    </row>
    <row r="391" customFormat="false" ht="15" hidden="false" customHeight="false" outlineLevel="0" collapsed="false">
      <c r="R391" s="13"/>
    </row>
    <row r="392" customFormat="false" ht="15" hidden="false" customHeight="false" outlineLevel="0" collapsed="false">
      <c r="R392" s="13"/>
    </row>
    <row r="393" customFormat="false" ht="15" hidden="false" customHeight="false" outlineLevel="0" collapsed="false">
      <c r="R393" s="13"/>
    </row>
    <row r="394" customFormat="false" ht="15" hidden="false" customHeight="false" outlineLevel="0" collapsed="false">
      <c r="R394" s="13"/>
    </row>
    <row r="395" customFormat="false" ht="15" hidden="false" customHeight="false" outlineLevel="0" collapsed="false">
      <c r="R395" s="13"/>
    </row>
    <row r="396" customFormat="false" ht="15" hidden="false" customHeight="false" outlineLevel="0" collapsed="false">
      <c r="R396" s="13"/>
    </row>
    <row r="397" customFormat="false" ht="15" hidden="false" customHeight="false" outlineLevel="0" collapsed="false">
      <c r="R397" s="13"/>
    </row>
    <row r="398" customFormat="false" ht="15" hidden="false" customHeight="false" outlineLevel="0" collapsed="false">
      <c r="R398" s="13"/>
    </row>
    <row r="399" customFormat="false" ht="15" hidden="false" customHeight="false" outlineLevel="0" collapsed="false">
      <c r="R399" s="13"/>
    </row>
    <row r="400" customFormat="false" ht="15" hidden="false" customHeight="false" outlineLevel="0" collapsed="false">
      <c r="R400" s="13"/>
    </row>
    <row r="401" customFormat="false" ht="15" hidden="false" customHeight="false" outlineLevel="0" collapsed="false">
      <c r="R401" s="13"/>
    </row>
    <row r="402" customFormat="false" ht="15" hidden="false" customHeight="false" outlineLevel="0" collapsed="false">
      <c r="R402" s="13"/>
    </row>
    <row r="403" customFormat="false" ht="15" hidden="false" customHeight="false" outlineLevel="0" collapsed="false">
      <c r="R403" s="13"/>
    </row>
    <row r="404" customFormat="false" ht="15" hidden="false" customHeight="false" outlineLevel="0" collapsed="false">
      <c r="R404" s="13"/>
    </row>
    <row r="405" customFormat="false" ht="15" hidden="false" customHeight="false" outlineLevel="0" collapsed="false">
      <c r="R405" s="13"/>
    </row>
    <row r="406" customFormat="false" ht="15" hidden="false" customHeight="false" outlineLevel="0" collapsed="false">
      <c r="R406" s="13"/>
    </row>
    <row r="407" customFormat="false" ht="15" hidden="false" customHeight="false" outlineLevel="0" collapsed="false">
      <c r="R407" s="13"/>
    </row>
    <row r="408" customFormat="false" ht="15" hidden="false" customHeight="false" outlineLevel="0" collapsed="false">
      <c r="R408" s="13"/>
    </row>
    <row r="409" customFormat="false" ht="15" hidden="false" customHeight="false" outlineLevel="0" collapsed="false">
      <c r="R409" s="13"/>
    </row>
    <row r="410" customFormat="false" ht="15" hidden="false" customHeight="false" outlineLevel="0" collapsed="false">
      <c r="R410" s="13"/>
    </row>
    <row r="411" customFormat="false" ht="15" hidden="false" customHeight="false" outlineLevel="0" collapsed="false">
      <c r="R411" s="13"/>
    </row>
    <row r="412" customFormat="false" ht="15" hidden="false" customHeight="false" outlineLevel="0" collapsed="false">
      <c r="R412" s="13"/>
    </row>
    <row r="413" customFormat="false" ht="15" hidden="false" customHeight="false" outlineLevel="0" collapsed="false">
      <c r="R413" s="13"/>
    </row>
    <row r="414" customFormat="false" ht="15" hidden="false" customHeight="false" outlineLevel="0" collapsed="false">
      <c r="R414" s="13"/>
    </row>
    <row r="415" customFormat="false" ht="15" hidden="false" customHeight="false" outlineLevel="0" collapsed="false">
      <c r="R415" s="13"/>
    </row>
    <row r="416" customFormat="false" ht="15" hidden="false" customHeight="false" outlineLevel="0" collapsed="false">
      <c r="R416" s="13"/>
    </row>
    <row r="417" customFormat="false" ht="15" hidden="false" customHeight="false" outlineLevel="0" collapsed="false">
      <c r="R417" s="13"/>
    </row>
    <row r="418" customFormat="false" ht="15" hidden="false" customHeight="false" outlineLevel="0" collapsed="false">
      <c r="R418" s="13"/>
    </row>
    <row r="419" customFormat="false" ht="15" hidden="false" customHeight="false" outlineLevel="0" collapsed="false">
      <c r="R419" s="13"/>
    </row>
    <row r="420" customFormat="false" ht="15" hidden="false" customHeight="false" outlineLevel="0" collapsed="false">
      <c r="R420" s="13"/>
    </row>
    <row r="421" customFormat="false" ht="15" hidden="false" customHeight="false" outlineLevel="0" collapsed="false">
      <c r="R421" s="13"/>
    </row>
    <row r="422" customFormat="false" ht="15" hidden="false" customHeight="false" outlineLevel="0" collapsed="false">
      <c r="R422" s="13"/>
    </row>
    <row r="423" customFormat="false" ht="15" hidden="false" customHeight="false" outlineLevel="0" collapsed="false">
      <c r="R423" s="13"/>
    </row>
    <row r="424" customFormat="false" ht="15" hidden="false" customHeight="false" outlineLevel="0" collapsed="false">
      <c r="R424" s="13"/>
    </row>
    <row r="425" customFormat="false" ht="15" hidden="false" customHeight="false" outlineLevel="0" collapsed="false">
      <c r="R425" s="13"/>
    </row>
    <row r="426" customFormat="false" ht="15" hidden="false" customHeight="false" outlineLevel="0" collapsed="false">
      <c r="R426" s="13"/>
    </row>
    <row r="427" customFormat="false" ht="15" hidden="false" customHeight="false" outlineLevel="0" collapsed="false">
      <c r="R427" s="13"/>
    </row>
    <row r="428" customFormat="false" ht="15" hidden="false" customHeight="false" outlineLevel="0" collapsed="false">
      <c r="R428" s="13"/>
    </row>
    <row r="429" customFormat="false" ht="15" hidden="false" customHeight="false" outlineLevel="0" collapsed="false">
      <c r="R429" s="13"/>
    </row>
    <row r="430" customFormat="false" ht="15" hidden="false" customHeight="false" outlineLevel="0" collapsed="false">
      <c r="R430" s="13"/>
    </row>
    <row r="431" customFormat="false" ht="15" hidden="false" customHeight="false" outlineLevel="0" collapsed="false">
      <c r="R431" s="13"/>
    </row>
    <row r="432" customFormat="false" ht="15" hidden="false" customHeight="false" outlineLevel="0" collapsed="false">
      <c r="R432" s="13"/>
    </row>
    <row r="433" customFormat="false" ht="15" hidden="false" customHeight="false" outlineLevel="0" collapsed="false">
      <c r="R433" s="13"/>
    </row>
    <row r="434" customFormat="false" ht="15" hidden="false" customHeight="false" outlineLevel="0" collapsed="false">
      <c r="R434" s="13"/>
    </row>
    <row r="435" customFormat="false" ht="15" hidden="false" customHeight="false" outlineLevel="0" collapsed="false">
      <c r="R435" s="13"/>
    </row>
    <row r="436" customFormat="false" ht="15" hidden="false" customHeight="false" outlineLevel="0" collapsed="false">
      <c r="R436" s="13"/>
    </row>
    <row r="437" customFormat="false" ht="15" hidden="false" customHeight="false" outlineLevel="0" collapsed="false">
      <c r="R437" s="13"/>
    </row>
    <row r="438" customFormat="false" ht="15" hidden="false" customHeight="false" outlineLevel="0" collapsed="false">
      <c r="R438" s="13"/>
    </row>
    <row r="439" customFormat="false" ht="15" hidden="false" customHeight="false" outlineLevel="0" collapsed="false">
      <c r="R439" s="13"/>
    </row>
    <row r="440" customFormat="false" ht="15" hidden="false" customHeight="false" outlineLevel="0" collapsed="false">
      <c r="R440" s="13"/>
    </row>
    <row r="441" customFormat="false" ht="15" hidden="false" customHeight="false" outlineLevel="0" collapsed="false">
      <c r="R441" s="13"/>
    </row>
    <row r="442" customFormat="false" ht="15" hidden="false" customHeight="false" outlineLevel="0" collapsed="false">
      <c r="R442" s="13"/>
    </row>
    <row r="443" customFormat="false" ht="15" hidden="false" customHeight="false" outlineLevel="0" collapsed="false">
      <c r="R443" s="13"/>
    </row>
    <row r="444" customFormat="false" ht="15" hidden="false" customHeight="false" outlineLevel="0" collapsed="false">
      <c r="R444" s="13"/>
    </row>
    <row r="445" customFormat="false" ht="15" hidden="false" customHeight="false" outlineLevel="0" collapsed="false">
      <c r="R445" s="13"/>
    </row>
    <row r="446" customFormat="false" ht="15" hidden="false" customHeight="false" outlineLevel="0" collapsed="false">
      <c r="R446" s="13"/>
    </row>
    <row r="447" customFormat="false" ht="15" hidden="false" customHeight="false" outlineLevel="0" collapsed="false">
      <c r="R447" s="13"/>
    </row>
    <row r="448" customFormat="false" ht="15" hidden="false" customHeight="false" outlineLevel="0" collapsed="false">
      <c r="R448" s="13"/>
    </row>
    <row r="449" customFormat="false" ht="15" hidden="false" customHeight="false" outlineLevel="0" collapsed="false">
      <c r="R449" s="13"/>
    </row>
    <row r="450" customFormat="false" ht="15" hidden="false" customHeight="false" outlineLevel="0" collapsed="false">
      <c r="R450" s="13"/>
    </row>
    <row r="451" customFormat="false" ht="15" hidden="false" customHeight="false" outlineLevel="0" collapsed="false">
      <c r="R451" s="13"/>
    </row>
    <row r="452" customFormat="false" ht="15" hidden="false" customHeight="false" outlineLevel="0" collapsed="false">
      <c r="R452" s="13"/>
    </row>
    <row r="453" customFormat="false" ht="15" hidden="false" customHeight="false" outlineLevel="0" collapsed="false">
      <c r="R453" s="13"/>
    </row>
    <row r="454" customFormat="false" ht="15" hidden="false" customHeight="false" outlineLevel="0" collapsed="false">
      <c r="R454" s="13"/>
    </row>
    <row r="455" customFormat="false" ht="15" hidden="false" customHeight="false" outlineLevel="0" collapsed="false">
      <c r="R455" s="13"/>
    </row>
    <row r="456" customFormat="false" ht="15" hidden="false" customHeight="false" outlineLevel="0" collapsed="false">
      <c r="R456" s="13"/>
    </row>
    <row r="457" customFormat="false" ht="15" hidden="false" customHeight="false" outlineLevel="0" collapsed="false">
      <c r="R457" s="13"/>
    </row>
    <row r="458" customFormat="false" ht="15" hidden="false" customHeight="false" outlineLevel="0" collapsed="false">
      <c r="R458" s="13"/>
    </row>
    <row r="459" customFormat="false" ht="15" hidden="false" customHeight="false" outlineLevel="0" collapsed="false">
      <c r="R459" s="13"/>
    </row>
    <row r="460" customFormat="false" ht="15" hidden="false" customHeight="false" outlineLevel="0" collapsed="false">
      <c r="R460" s="13"/>
    </row>
    <row r="461" customFormat="false" ht="15" hidden="false" customHeight="false" outlineLevel="0" collapsed="false">
      <c r="R461" s="13"/>
    </row>
    <row r="462" customFormat="false" ht="15" hidden="false" customHeight="false" outlineLevel="0" collapsed="false">
      <c r="R462" s="13"/>
    </row>
    <row r="463" customFormat="false" ht="15" hidden="false" customHeight="false" outlineLevel="0" collapsed="false">
      <c r="R463" s="13"/>
    </row>
    <row r="464" customFormat="false" ht="15" hidden="false" customHeight="false" outlineLevel="0" collapsed="false">
      <c r="R464" s="13"/>
    </row>
    <row r="465" customFormat="false" ht="15" hidden="false" customHeight="false" outlineLevel="0" collapsed="false">
      <c r="R465" s="13"/>
    </row>
    <row r="466" customFormat="false" ht="15" hidden="false" customHeight="false" outlineLevel="0" collapsed="false">
      <c r="R466" s="13"/>
    </row>
    <row r="467" customFormat="false" ht="15" hidden="false" customHeight="false" outlineLevel="0" collapsed="false">
      <c r="R467" s="13"/>
    </row>
    <row r="468" customFormat="false" ht="15" hidden="false" customHeight="false" outlineLevel="0" collapsed="false">
      <c r="R468" s="13"/>
    </row>
    <row r="469" customFormat="false" ht="15" hidden="false" customHeight="false" outlineLevel="0" collapsed="false">
      <c r="R469" s="13"/>
    </row>
    <row r="470" customFormat="false" ht="15" hidden="false" customHeight="false" outlineLevel="0" collapsed="false">
      <c r="R470" s="13"/>
    </row>
    <row r="471" customFormat="false" ht="15" hidden="false" customHeight="false" outlineLevel="0" collapsed="false">
      <c r="R471" s="13"/>
    </row>
    <row r="472" customFormat="false" ht="15" hidden="false" customHeight="false" outlineLevel="0" collapsed="false">
      <c r="R472" s="13"/>
    </row>
    <row r="473" customFormat="false" ht="15" hidden="false" customHeight="false" outlineLevel="0" collapsed="false">
      <c r="R473" s="13"/>
    </row>
    <row r="474" customFormat="false" ht="15" hidden="false" customHeight="false" outlineLevel="0" collapsed="false">
      <c r="R474" s="13"/>
    </row>
    <row r="475" customFormat="false" ht="15" hidden="false" customHeight="false" outlineLevel="0" collapsed="false">
      <c r="R475" s="13"/>
    </row>
    <row r="476" customFormat="false" ht="15" hidden="false" customHeight="false" outlineLevel="0" collapsed="false">
      <c r="R476" s="13"/>
    </row>
    <row r="477" customFormat="false" ht="15" hidden="false" customHeight="false" outlineLevel="0" collapsed="false">
      <c r="R477" s="13"/>
    </row>
    <row r="478" customFormat="false" ht="15" hidden="false" customHeight="false" outlineLevel="0" collapsed="false">
      <c r="R478" s="13"/>
    </row>
    <row r="479" customFormat="false" ht="15" hidden="false" customHeight="false" outlineLevel="0" collapsed="false">
      <c r="R479" s="13"/>
    </row>
    <row r="480" customFormat="false" ht="15" hidden="false" customHeight="false" outlineLevel="0" collapsed="false">
      <c r="R480" s="13"/>
    </row>
    <row r="481" customFormat="false" ht="15" hidden="false" customHeight="false" outlineLevel="0" collapsed="false">
      <c r="R481" s="13"/>
    </row>
    <row r="482" customFormat="false" ht="15" hidden="false" customHeight="false" outlineLevel="0" collapsed="false">
      <c r="R482" s="13"/>
    </row>
    <row r="483" customFormat="false" ht="15" hidden="false" customHeight="false" outlineLevel="0" collapsed="false">
      <c r="R483" s="13"/>
    </row>
    <row r="484" customFormat="false" ht="15" hidden="false" customHeight="false" outlineLevel="0" collapsed="false">
      <c r="R484" s="13"/>
    </row>
    <row r="485" customFormat="false" ht="15" hidden="false" customHeight="false" outlineLevel="0" collapsed="false">
      <c r="R485" s="13"/>
    </row>
    <row r="486" customFormat="false" ht="15" hidden="false" customHeight="false" outlineLevel="0" collapsed="false">
      <c r="R486" s="13"/>
    </row>
    <row r="487" customFormat="false" ht="15" hidden="false" customHeight="false" outlineLevel="0" collapsed="false">
      <c r="R487" s="13"/>
    </row>
    <row r="488" customFormat="false" ht="15" hidden="false" customHeight="false" outlineLevel="0" collapsed="false">
      <c r="R488" s="13"/>
    </row>
    <row r="489" customFormat="false" ht="15" hidden="false" customHeight="false" outlineLevel="0" collapsed="false">
      <c r="R489" s="13"/>
    </row>
    <row r="490" customFormat="false" ht="15" hidden="false" customHeight="false" outlineLevel="0" collapsed="false">
      <c r="R490" s="13"/>
    </row>
    <row r="491" customFormat="false" ht="15" hidden="false" customHeight="false" outlineLevel="0" collapsed="false">
      <c r="R491" s="13"/>
    </row>
    <row r="492" customFormat="false" ht="15" hidden="false" customHeight="false" outlineLevel="0" collapsed="false">
      <c r="R492" s="13"/>
    </row>
    <row r="493" customFormat="false" ht="15" hidden="false" customHeight="false" outlineLevel="0" collapsed="false">
      <c r="R493" s="13"/>
    </row>
    <row r="494" customFormat="false" ht="15" hidden="false" customHeight="false" outlineLevel="0" collapsed="false">
      <c r="R494" s="13"/>
    </row>
    <row r="495" customFormat="false" ht="15" hidden="false" customHeight="false" outlineLevel="0" collapsed="false">
      <c r="R495" s="13"/>
    </row>
    <row r="496" customFormat="false" ht="15" hidden="false" customHeight="false" outlineLevel="0" collapsed="false">
      <c r="R496" s="13"/>
    </row>
    <row r="497" customFormat="false" ht="15" hidden="false" customHeight="false" outlineLevel="0" collapsed="false">
      <c r="R497" s="13"/>
    </row>
    <row r="498" customFormat="false" ht="15" hidden="false" customHeight="false" outlineLevel="0" collapsed="false">
      <c r="R498" s="13"/>
    </row>
    <row r="499" customFormat="false" ht="15" hidden="false" customHeight="false" outlineLevel="0" collapsed="false">
      <c r="R499" s="13"/>
    </row>
    <row r="500" customFormat="false" ht="15" hidden="false" customHeight="false" outlineLevel="0" collapsed="false">
      <c r="R500" s="13"/>
    </row>
    <row r="501" customFormat="false" ht="15" hidden="false" customHeight="false" outlineLevel="0" collapsed="false">
      <c r="R501" s="13"/>
    </row>
    <row r="502" customFormat="false" ht="15" hidden="false" customHeight="false" outlineLevel="0" collapsed="false">
      <c r="R502" s="13"/>
    </row>
    <row r="503" customFormat="false" ht="15" hidden="false" customHeight="false" outlineLevel="0" collapsed="false">
      <c r="R503" s="13"/>
    </row>
    <row r="504" customFormat="false" ht="15" hidden="false" customHeight="false" outlineLevel="0" collapsed="false">
      <c r="R504" s="13"/>
    </row>
    <row r="505" customFormat="false" ht="15" hidden="false" customHeight="false" outlineLevel="0" collapsed="false">
      <c r="R505" s="13"/>
    </row>
    <row r="506" customFormat="false" ht="15" hidden="false" customHeight="false" outlineLevel="0" collapsed="false">
      <c r="R506" s="13"/>
    </row>
    <row r="507" customFormat="false" ht="15" hidden="false" customHeight="false" outlineLevel="0" collapsed="false">
      <c r="R507" s="13"/>
    </row>
    <row r="508" customFormat="false" ht="15" hidden="false" customHeight="false" outlineLevel="0" collapsed="false">
      <c r="R508" s="13"/>
    </row>
    <row r="509" customFormat="false" ht="15" hidden="false" customHeight="false" outlineLevel="0" collapsed="false">
      <c r="R509" s="13"/>
    </row>
    <row r="510" customFormat="false" ht="15" hidden="false" customHeight="false" outlineLevel="0" collapsed="false">
      <c r="R510" s="13"/>
    </row>
    <row r="511" customFormat="false" ht="15" hidden="false" customHeight="false" outlineLevel="0" collapsed="false">
      <c r="R511" s="13"/>
    </row>
    <row r="512" customFormat="false" ht="15" hidden="false" customHeight="false" outlineLevel="0" collapsed="false">
      <c r="R512" s="13"/>
    </row>
    <row r="513" customFormat="false" ht="15" hidden="false" customHeight="false" outlineLevel="0" collapsed="false">
      <c r="R513" s="13"/>
    </row>
    <row r="514" customFormat="false" ht="15" hidden="false" customHeight="false" outlineLevel="0" collapsed="false">
      <c r="R514" s="13"/>
    </row>
    <row r="515" customFormat="false" ht="15" hidden="false" customHeight="false" outlineLevel="0" collapsed="false">
      <c r="R515" s="13"/>
    </row>
    <row r="516" customFormat="false" ht="15" hidden="false" customHeight="false" outlineLevel="0" collapsed="false">
      <c r="R516" s="13"/>
    </row>
    <row r="517" customFormat="false" ht="15" hidden="false" customHeight="false" outlineLevel="0" collapsed="false">
      <c r="R517" s="13"/>
    </row>
    <row r="518" customFormat="false" ht="15" hidden="false" customHeight="false" outlineLevel="0" collapsed="false">
      <c r="R518" s="13"/>
    </row>
    <row r="519" customFormat="false" ht="15" hidden="false" customHeight="false" outlineLevel="0" collapsed="false">
      <c r="R519" s="13"/>
    </row>
    <row r="520" customFormat="false" ht="15" hidden="false" customHeight="false" outlineLevel="0" collapsed="false">
      <c r="R520" s="13"/>
    </row>
    <row r="521" customFormat="false" ht="15" hidden="false" customHeight="false" outlineLevel="0" collapsed="false">
      <c r="R521" s="13"/>
    </row>
    <row r="522" customFormat="false" ht="15" hidden="false" customHeight="false" outlineLevel="0" collapsed="false">
      <c r="R522" s="13"/>
    </row>
    <row r="523" customFormat="false" ht="15" hidden="false" customHeight="false" outlineLevel="0" collapsed="false">
      <c r="R523" s="13"/>
    </row>
    <row r="524" customFormat="false" ht="15" hidden="false" customHeight="false" outlineLevel="0" collapsed="false">
      <c r="R524" s="13"/>
    </row>
    <row r="525" customFormat="false" ht="15" hidden="false" customHeight="false" outlineLevel="0" collapsed="false">
      <c r="R525" s="13"/>
    </row>
    <row r="526" customFormat="false" ht="15" hidden="false" customHeight="false" outlineLevel="0" collapsed="false">
      <c r="R526" s="13"/>
    </row>
    <row r="527" customFormat="false" ht="15" hidden="false" customHeight="false" outlineLevel="0" collapsed="false">
      <c r="R527" s="13"/>
    </row>
    <row r="528" customFormat="false" ht="15" hidden="false" customHeight="false" outlineLevel="0" collapsed="false">
      <c r="R528" s="13"/>
    </row>
    <row r="529" customFormat="false" ht="15" hidden="false" customHeight="false" outlineLevel="0" collapsed="false">
      <c r="R529" s="13"/>
    </row>
    <row r="530" customFormat="false" ht="15" hidden="false" customHeight="false" outlineLevel="0" collapsed="false">
      <c r="R530" s="13"/>
    </row>
    <row r="531" customFormat="false" ht="15" hidden="false" customHeight="false" outlineLevel="0" collapsed="false">
      <c r="R531" s="13"/>
    </row>
    <row r="532" customFormat="false" ht="15" hidden="false" customHeight="false" outlineLevel="0" collapsed="false">
      <c r="R532" s="13"/>
    </row>
    <row r="533" customFormat="false" ht="15" hidden="false" customHeight="false" outlineLevel="0" collapsed="false">
      <c r="R533" s="13"/>
    </row>
    <row r="534" customFormat="false" ht="15" hidden="false" customHeight="false" outlineLevel="0" collapsed="false">
      <c r="R534" s="13"/>
    </row>
    <row r="535" customFormat="false" ht="15" hidden="false" customHeight="false" outlineLevel="0" collapsed="false">
      <c r="R535" s="13"/>
    </row>
    <row r="536" customFormat="false" ht="15" hidden="false" customHeight="false" outlineLevel="0" collapsed="false">
      <c r="R536" s="13"/>
    </row>
    <row r="537" customFormat="false" ht="15" hidden="false" customHeight="false" outlineLevel="0" collapsed="false">
      <c r="R537" s="13"/>
    </row>
    <row r="538" customFormat="false" ht="15" hidden="false" customHeight="false" outlineLevel="0" collapsed="false">
      <c r="R538" s="13"/>
    </row>
    <row r="539" customFormat="false" ht="15" hidden="false" customHeight="false" outlineLevel="0" collapsed="false">
      <c r="R539" s="13"/>
    </row>
    <row r="540" customFormat="false" ht="15" hidden="false" customHeight="false" outlineLevel="0" collapsed="false">
      <c r="R540" s="13"/>
    </row>
    <row r="541" customFormat="false" ht="15" hidden="false" customHeight="false" outlineLevel="0" collapsed="false">
      <c r="R541" s="13"/>
    </row>
    <row r="542" customFormat="false" ht="15" hidden="false" customHeight="false" outlineLevel="0" collapsed="false">
      <c r="R542" s="13"/>
    </row>
    <row r="543" customFormat="false" ht="15" hidden="false" customHeight="false" outlineLevel="0" collapsed="false">
      <c r="R543" s="13"/>
    </row>
    <row r="544" customFormat="false" ht="15" hidden="false" customHeight="false" outlineLevel="0" collapsed="false">
      <c r="R544" s="13"/>
    </row>
    <row r="545" customFormat="false" ht="15" hidden="false" customHeight="false" outlineLevel="0" collapsed="false">
      <c r="R545" s="13"/>
    </row>
    <row r="546" customFormat="false" ht="15" hidden="false" customHeight="false" outlineLevel="0" collapsed="false">
      <c r="R546" s="13"/>
    </row>
    <row r="547" customFormat="false" ht="15" hidden="false" customHeight="false" outlineLevel="0" collapsed="false">
      <c r="R547" s="13"/>
    </row>
    <row r="548" customFormat="false" ht="15" hidden="false" customHeight="false" outlineLevel="0" collapsed="false">
      <c r="R548" s="13"/>
    </row>
    <row r="549" customFormat="false" ht="15" hidden="false" customHeight="false" outlineLevel="0" collapsed="false">
      <c r="R549" s="13"/>
    </row>
    <row r="550" customFormat="false" ht="15" hidden="false" customHeight="false" outlineLevel="0" collapsed="false">
      <c r="R550" s="13"/>
    </row>
    <row r="551" customFormat="false" ht="15" hidden="false" customHeight="false" outlineLevel="0" collapsed="false">
      <c r="R551" s="13"/>
    </row>
    <row r="552" customFormat="false" ht="15" hidden="false" customHeight="false" outlineLevel="0" collapsed="false">
      <c r="R552" s="13"/>
    </row>
    <row r="553" customFormat="false" ht="15" hidden="false" customHeight="false" outlineLevel="0" collapsed="false">
      <c r="R553" s="13"/>
    </row>
    <row r="554" customFormat="false" ht="15" hidden="false" customHeight="false" outlineLevel="0" collapsed="false">
      <c r="R554" s="13"/>
    </row>
    <row r="555" customFormat="false" ht="15" hidden="false" customHeight="false" outlineLevel="0" collapsed="false">
      <c r="R555" s="13"/>
    </row>
    <row r="556" customFormat="false" ht="15" hidden="false" customHeight="false" outlineLevel="0" collapsed="false">
      <c r="R556" s="13"/>
    </row>
    <row r="557" customFormat="false" ht="15" hidden="false" customHeight="false" outlineLevel="0" collapsed="false">
      <c r="R557" s="13"/>
    </row>
    <row r="558" customFormat="false" ht="15" hidden="false" customHeight="false" outlineLevel="0" collapsed="false">
      <c r="R558" s="13"/>
    </row>
    <row r="559" customFormat="false" ht="15" hidden="false" customHeight="false" outlineLevel="0" collapsed="false">
      <c r="R559" s="13"/>
    </row>
    <row r="560" customFormat="false" ht="15" hidden="false" customHeight="false" outlineLevel="0" collapsed="false">
      <c r="R560" s="13"/>
    </row>
    <row r="561" customFormat="false" ht="15" hidden="false" customHeight="false" outlineLevel="0" collapsed="false">
      <c r="R561" s="13"/>
    </row>
    <row r="562" customFormat="false" ht="15" hidden="false" customHeight="false" outlineLevel="0" collapsed="false">
      <c r="R562" s="13"/>
    </row>
    <row r="563" customFormat="false" ht="15" hidden="false" customHeight="false" outlineLevel="0" collapsed="false">
      <c r="R563" s="13"/>
    </row>
    <row r="564" customFormat="false" ht="15" hidden="false" customHeight="false" outlineLevel="0" collapsed="false">
      <c r="R564" s="13"/>
    </row>
    <row r="565" customFormat="false" ht="15" hidden="false" customHeight="false" outlineLevel="0" collapsed="false">
      <c r="R565" s="13"/>
    </row>
    <row r="566" customFormat="false" ht="15" hidden="false" customHeight="false" outlineLevel="0" collapsed="false">
      <c r="R566" s="13"/>
    </row>
    <row r="567" customFormat="false" ht="15" hidden="false" customHeight="false" outlineLevel="0" collapsed="false">
      <c r="R567" s="13"/>
    </row>
    <row r="568" customFormat="false" ht="15" hidden="false" customHeight="false" outlineLevel="0" collapsed="false">
      <c r="R568" s="13"/>
    </row>
    <row r="569" customFormat="false" ht="15" hidden="false" customHeight="false" outlineLevel="0" collapsed="false">
      <c r="R569" s="13"/>
    </row>
    <row r="570" customFormat="false" ht="15" hidden="false" customHeight="false" outlineLevel="0" collapsed="false">
      <c r="R570" s="13"/>
    </row>
    <row r="571" customFormat="false" ht="15" hidden="false" customHeight="false" outlineLevel="0" collapsed="false">
      <c r="R571" s="13"/>
    </row>
    <row r="572" customFormat="false" ht="15" hidden="false" customHeight="false" outlineLevel="0" collapsed="false">
      <c r="R572" s="13"/>
    </row>
    <row r="573" customFormat="false" ht="15" hidden="false" customHeight="false" outlineLevel="0" collapsed="false">
      <c r="R573" s="13"/>
    </row>
    <row r="574" customFormat="false" ht="15" hidden="false" customHeight="false" outlineLevel="0" collapsed="false">
      <c r="R574" s="13"/>
    </row>
    <row r="575" customFormat="false" ht="15" hidden="false" customHeight="false" outlineLevel="0" collapsed="false">
      <c r="R575" s="13"/>
    </row>
    <row r="576" customFormat="false" ht="15" hidden="false" customHeight="false" outlineLevel="0" collapsed="false">
      <c r="R576" s="13"/>
    </row>
    <row r="577" customFormat="false" ht="15" hidden="false" customHeight="false" outlineLevel="0" collapsed="false">
      <c r="R577" s="13"/>
    </row>
    <row r="578" customFormat="false" ht="15" hidden="false" customHeight="false" outlineLevel="0" collapsed="false">
      <c r="R578" s="13"/>
    </row>
    <row r="579" customFormat="false" ht="15" hidden="false" customHeight="false" outlineLevel="0" collapsed="false">
      <c r="R579" s="13"/>
    </row>
    <row r="580" customFormat="false" ht="15" hidden="false" customHeight="false" outlineLevel="0" collapsed="false">
      <c r="R580" s="13"/>
    </row>
    <row r="581" customFormat="false" ht="15" hidden="false" customHeight="false" outlineLevel="0" collapsed="false">
      <c r="R581" s="13"/>
    </row>
    <row r="582" customFormat="false" ht="15" hidden="false" customHeight="false" outlineLevel="0" collapsed="false">
      <c r="R582" s="13"/>
    </row>
    <row r="583" customFormat="false" ht="15" hidden="false" customHeight="false" outlineLevel="0" collapsed="false">
      <c r="R583" s="13"/>
    </row>
    <row r="584" customFormat="false" ht="15" hidden="false" customHeight="false" outlineLevel="0" collapsed="false">
      <c r="R584" s="13"/>
    </row>
    <row r="585" customFormat="false" ht="15" hidden="false" customHeight="false" outlineLevel="0" collapsed="false">
      <c r="R585" s="13"/>
    </row>
    <row r="586" customFormat="false" ht="15" hidden="false" customHeight="false" outlineLevel="0" collapsed="false">
      <c r="R586" s="13"/>
    </row>
    <row r="587" customFormat="false" ht="15" hidden="false" customHeight="false" outlineLevel="0" collapsed="false">
      <c r="R587" s="13"/>
    </row>
    <row r="588" customFormat="false" ht="15" hidden="false" customHeight="false" outlineLevel="0" collapsed="false">
      <c r="R588" s="13"/>
    </row>
    <row r="589" customFormat="false" ht="15" hidden="false" customHeight="false" outlineLevel="0" collapsed="false">
      <c r="R589" s="13"/>
    </row>
    <row r="590" customFormat="false" ht="15" hidden="false" customHeight="false" outlineLevel="0" collapsed="false">
      <c r="R590" s="13"/>
    </row>
    <row r="591" customFormat="false" ht="15" hidden="false" customHeight="false" outlineLevel="0" collapsed="false">
      <c r="R591" s="13"/>
    </row>
    <row r="592" customFormat="false" ht="15" hidden="false" customHeight="false" outlineLevel="0" collapsed="false">
      <c r="R592" s="13"/>
    </row>
    <row r="593" customFormat="false" ht="15" hidden="false" customHeight="false" outlineLevel="0" collapsed="false">
      <c r="R593" s="13"/>
    </row>
    <row r="594" customFormat="false" ht="15" hidden="false" customHeight="false" outlineLevel="0" collapsed="false">
      <c r="R594" s="13"/>
    </row>
    <row r="595" customFormat="false" ht="15" hidden="false" customHeight="false" outlineLevel="0" collapsed="false">
      <c r="R595" s="13"/>
    </row>
    <row r="596" customFormat="false" ht="15" hidden="false" customHeight="false" outlineLevel="0" collapsed="false">
      <c r="R596" s="13"/>
    </row>
    <row r="597" customFormat="false" ht="15" hidden="false" customHeight="false" outlineLevel="0" collapsed="false">
      <c r="R597" s="13"/>
    </row>
    <row r="598" customFormat="false" ht="15" hidden="false" customHeight="false" outlineLevel="0" collapsed="false">
      <c r="R598" s="13"/>
    </row>
    <row r="599" customFormat="false" ht="15" hidden="false" customHeight="false" outlineLevel="0" collapsed="false">
      <c r="R599" s="13"/>
    </row>
    <row r="600" customFormat="false" ht="15" hidden="false" customHeight="false" outlineLevel="0" collapsed="false">
      <c r="R600" s="13"/>
    </row>
    <row r="601" customFormat="false" ht="15" hidden="false" customHeight="false" outlineLevel="0" collapsed="false">
      <c r="R601" s="13"/>
    </row>
    <row r="602" customFormat="false" ht="15" hidden="false" customHeight="false" outlineLevel="0" collapsed="false">
      <c r="R602" s="13"/>
    </row>
    <row r="603" customFormat="false" ht="15" hidden="false" customHeight="false" outlineLevel="0" collapsed="false">
      <c r="R603" s="13"/>
    </row>
    <row r="604" customFormat="false" ht="15" hidden="false" customHeight="false" outlineLevel="0" collapsed="false">
      <c r="R604" s="13"/>
    </row>
    <row r="605" customFormat="false" ht="15" hidden="false" customHeight="false" outlineLevel="0" collapsed="false">
      <c r="R605" s="13"/>
    </row>
    <row r="606" customFormat="false" ht="15" hidden="false" customHeight="false" outlineLevel="0" collapsed="false">
      <c r="R606" s="13"/>
    </row>
    <row r="607" customFormat="false" ht="15" hidden="false" customHeight="false" outlineLevel="0" collapsed="false">
      <c r="R607" s="13"/>
    </row>
    <row r="608" customFormat="false" ht="15" hidden="false" customHeight="false" outlineLevel="0" collapsed="false">
      <c r="R608" s="13"/>
    </row>
    <row r="609" customFormat="false" ht="15" hidden="false" customHeight="false" outlineLevel="0" collapsed="false">
      <c r="R609" s="13"/>
    </row>
    <row r="610" customFormat="false" ht="15" hidden="false" customHeight="false" outlineLevel="0" collapsed="false">
      <c r="R610" s="13"/>
    </row>
    <row r="611" customFormat="false" ht="15" hidden="false" customHeight="false" outlineLevel="0" collapsed="false">
      <c r="R611" s="13"/>
    </row>
    <row r="612" customFormat="false" ht="15" hidden="false" customHeight="false" outlineLevel="0" collapsed="false">
      <c r="R612" s="13"/>
    </row>
    <row r="613" customFormat="false" ht="15" hidden="false" customHeight="false" outlineLevel="0" collapsed="false">
      <c r="R613" s="13"/>
    </row>
    <row r="614" customFormat="false" ht="15" hidden="false" customHeight="false" outlineLevel="0" collapsed="false">
      <c r="R614" s="13"/>
    </row>
    <row r="615" customFormat="false" ht="15" hidden="false" customHeight="false" outlineLevel="0" collapsed="false">
      <c r="R615" s="13"/>
    </row>
    <row r="616" customFormat="false" ht="15" hidden="false" customHeight="false" outlineLevel="0" collapsed="false">
      <c r="R616" s="13"/>
    </row>
    <row r="617" customFormat="false" ht="15" hidden="false" customHeight="false" outlineLevel="0" collapsed="false">
      <c r="R617" s="13"/>
    </row>
    <row r="618" customFormat="false" ht="15" hidden="false" customHeight="false" outlineLevel="0" collapsed="false">
      <c r="R618" s="13"/>
    </row>
    <row r="619" customFormat="false" ht="15" hidden="false" customHeight="false" outlineLevel="0" collapsed="false">
      <c r="R619" s="13"/>
    </row>
    <row r="620" customFormat="false" ht="15" hidden="false" customHeight="false" outlineLevel="0" collapsed="false">
      <c r="R620" s="13"/>
    </row>
    <row r="621" customFormat="false" ht="15" hidden="false" customHeight="false" outlineLevel="0" collapsed="false">
      <c r="R621" s="13"/>
    </row>
    <row r="622" customFormat="false" ht="15" hidden="false" customHeight="false" outlineLevel="0" collapsed="false">
      <c r="R622" s="13"/>
    </row>
    <row r="623" customFormat="false" ht="15" hidden="false" customHeight="false" outlineLevel="0" collapsed="false">
      <c r="R623" s="13"/>
    </row>
    <row r="624" customFormat="false" ht="15" hidden="false" customHeight="false" outlineLevel="0" collapsed="false">
      <c r="R624" s="13"/>
    </row>
    <row r="625" customFormat="false" ht="15" hidden="false" customHeight="false" outlineLevel="0" collapsed="false">
      <c r="R625" s="13"/>
    </row>
    <row r="626" customFormat="false" ht="15" hidden="false" customHeight="false" outlineLevel="0" collapsed="false">
      <c r="R626" s="13"/>
    </row>
    <row r="627" customFormat="false" ht="15" hidden="false" customHeight="false" outlineLevel="0" collapsed="false">
      <c r="R627" s="13"/>
    </row>
    <row r="628" customFormat="false" ht="15" hidden="false" customHeight="false" outlineLevel="0" collapsed="false">
      <c r="R628" s="13"/>
    </row>
    <row r="629" customFormat="false" ht="15" hidden="false" customHeight="false" outlineLevel="0" collapsed="false">
      <c r="R629" s="13"/>
    </row>
    <row r="630" customFormat="false" ht="15" hidden="false" customHeight="false" outlineLevel="0" collapsed="false">
      <c r="R630" s="13"/>
    </row>
    <row r="631" customFormat="false" ht="15" hidden="false" customHeight="false" outlineLevel="0" collapsed="false">
      <c r="R631" s="13"/>
    </row>
    <row r="632" customFormat="false" ht="15" hidden="false" customHeight="false" outlineLevel="0" collapsed="false">
      <c r="R632" s="13"/>
    </row>
    <row r="633" customFormat="false" ht="15" hidden="false" customHeight="false" outlineLevel="0" collapsed="false">
      <c r="R633" s="13"/>
    </row>
    <row r="634" customFormat="false" ht="15" hidden="false" customHeight="false" outlineLevel="0" collapsed="false">
      <c r="R634" s="13"/>
    </row>
    <row r="635" customFormat="false" ht="15" hidden="false" customHeight="false" outlineLevel="0" collapsed="false">
      <c r="R635" s="13"/>
    </row>
    <row r="636" customFormat="false" ht="15" hidden="false" customHeight="false" outlineLevel="0" collapsed="false">
      <c r="R636" s="13"/>
    </row>
    <row r="637" customFormat="false" ht="15" hidden="false" customHeight="false" outlineLevel="0" collapsed="false">
      <c r="R637" s="13"/>
    </row>
    <row r="638" customFormat="false" ht="15" hidden="false" customHeight="false" outlineLevel="0" collapsed="false">
      <c r="R638" s="13"/>
    </row>
    <row r="639" customFormat="false" ht="15" hidden="false" customHeight="false" outlineLevel="0" collapsed="false">
      <c r="R639" s="13"/>
    </row>
    <row r="640" customFormat="false" ht="15" hidden="false" customHeight="false" outlineLevel="0" collapsed="false">
      <c r="R640" s="13"/>
    </row>
    <row r="641" customFormat="false" ht="15" hidden="false" customHeight="false" outlineLevel="0" collapsed="false">
      <c r="R641" s="13"/>
    </row>
    <row r="642" customFormat="false" ht="15" hidden="false" customHeight="false" outlineLevel="0" collapsed="false">
      <c r="R642" s="13"/>
    </row>
    <row r="643" customFormat="false" ht="15" hidden="false" customHeight="false" outlineLevel="0" collapsed="false">
      <c r="R643" s="13"/>
    </row>
    <row r="644" customFormat="false" ht="15" hidden="false" customHeight="false" outlineLevel="0" collapsed="false">
      <c r="R644" s="13"/>
    </row>
    <row r="645" customFormat="false" ht="15" hidden="false" customHeight="false" outlineLevel="0" collapsed="false">
      <c r="R645" s="13"/>
    </row>
    <row r="646" customFormat="false" ht="15" hidden="false" customHeight="false" outlineLevel="0" collapsed="false">
      <c r="R646" s="13"/>
    </row>
    <row r="647" customFormat="false" ht="15" hidden="false" customHeight="false" outlineLevel="0" collapsed="false">
      <c r="R647" s="13"/>
    </row>
    <row r="648" customFormat="false" ht="15" hidden="false" customHeight="false" outlineLevel="0" collapsed="false">
      <c r="R648" s="13"/>
    </row>
    <row r="649" customFormat="false" ht="15" hidden="false" customHeight="false" outlineLevel="0" collapsed="false">
      <c r="R649" s="13"/>
    </row>
    <row r="650" customFormat="false" ht="15" hidden="false" customHeight="false" outlineLevel="0" collapsed="false">
      <c r="R650" s="13"/>
    </row>
    <row r="651" customFormat="false" ht="15" hidden="false" customHeight="false" outlineLevel="0" collapsed="false">
      <c r="R651" s="13"/>
    </row>
    <row r="652" customFormat="false" ht="15" hidden="false" customHeight="false" outlineLevel="0" collapsed="false">
      <c r="R652" s="13"/>
    </row>
    <row r="653" customFormat="false" ht="15" hidden="false" customHeight="false" outlineLevel="0" collapsed="false">
      <c r="R653" s="13"/>
    </row>
    <row r="654" customFormat="false" ht="15" hidden="false" customHeight="false" outlineLevel="0" collapsed="false">
      <c r="R654" s="13"/>
    </row>
    <row r="655" customFormat="false" ht="15" hidden="false" customHeight="false" outlineLevel="0" collapsed="false">
      <c r="R655" s="13"/>
    </row>
    <row r="656" customFormat="false" ht="15" hidden="false" customHeight="false" outlineLevel="0" collapsed="false">
      <c r="R656" s="13"/>
    </row>
    <row r="657" customFormat="false" ht="15" hidden="false" customHeight="false" outlineLevel="0" collapsed="false">
      <c r="R657" s="13"/>
    </row>
    <row r="658" customFormat="false" ht="15" hidden="false" customHeight="false" outlineLevel="0" collapsed="false">
      <c r="R658" s="13"/>
    </row>
    <row r="659" customFormat="false" ht="15" hidden="false" customHeight="false" outlineLevel="0" collapsed="false">
      <c r="R659" s="13"/>
    </row>
    <row r="660" customFormat="false" ht="15" hidden="false" customHeight="false" outlineLevel="0" collapsed="false">
      <c r="R660" s="13"/>
    </row>
    <row r="661" customFormat="false" ht="15" hidden="false" customHeight="false" outlineLevel="0" collapsed="false">
      <c r="R661" s="13"/>
    </row>
    <row r="662" customFormat="false" ht="15" hidden="false" customHeight="false" outlineLevel="0" collapsed="false">
      <c r="R662" s="13"/>
    </row>
    <row r="663" customFormat="false" ht="15" hidden="false" customHeight="false" outlineLevel="0" collapsed="false">
      <c r="R663" s="13"/>
    </row>
    <row r="664" customFormat="false" ht="15" hidden="false" customHeight="false" outlineLevel="0" collapsed="false">
      <c r="R664" s="13"/>
    </row>
    <row r="665" customFormat="false" ht="15" hidden="false" customHeight="false" outlineLevel="0" collapsed="false">
      <c r="R665" s="13"/>
    </row>
    <row r="666" customFormat="false" ht="15" hidden="false" customHeight="false" outlineLevel="0" collapsed="false">
      <c r="R666" s="13"/>
    </row>
    <row r="667" customFormat="false" ht="15" hidden="false" customHeight="false" outlineLevel="0" collapsed="false">
      <c r="R667" s="13"/>
    </row>
    <row r="668" customFormat="false" ht="15" hidden="false" customHeight="false" outlineLevel="0" collapsed="false">
      <c r="R668" s="13"/>
    </row>
    <row r="669" customFormat="false" ht="15" hidden="false" customHeight="false" outlineLevel="0" collapsed="false">
      <c r="R669" s="13"/>
    </row>
    <row r="670" customFormat="false" ht="15" hidden="false" customHeight="false" outlineLevel="0" collapsed="false">
      <c r="R670" s="13"/>
    </row>
    <row r="671" customFormat="false" ht="15" hidden="false" customHeight="false" outlineLevel="0" collapsed="false">
      <c r="R671" s="13"/>
    </row>
    <row r="672" customFormat="false" ht="15" hidden="false" customHeight="false" outlineLevel="0" collapsed="false">
      <c r="R672" s="13"/>
    </row>
    <row r="673" customFormat="false" ht="15" hidden="false" customHeight="false" outlineLevel="0" collapsed="false">
      <c r="R673" s="13"/>
    </row>
    <row r="674" customFormat="false" ht="15" hidden="false" customHeight="false" outlineLevel="0" collapsed="false">
      <c r="R674" s="13"/>
    </row>
    <row r="675" customFormat="false" ht="15" hidden="false" customHeight="false" outlineLevel="0" collapsed="false">
      <c r="R675" s="13"/>
    </row>
    <row r="676" customFormat="false" ht="15" hidden="false" customHeight="false" outlineLevel="0" collapsed="false">
      <c r="R676" s="13"/>
    </row>
    <row r="677" customFormat="false" ht="15" hidden="false" customHeight="false" outlineLevel="0" collapsed="false">
      <c r="R677" s="13"/>
    </row>
    <row r="678" customFormat="false" ht="15" hidden="false" customHeight="false" outlineLevel="0" collapsed="false">
      <c r="R678" s="13"/>
    </row>
    <row r="679" customFormat="false" ht="15" hidden="false" customHeight="false" outlineLevel="0" collapsed="false">
      <c r="R679" s="13"/>
    </row>
    <row r="680" customFormat="false" ht="15" hidden="false" customHeight="false" outlineLevel="0" collapsed="false">
      <c r="R680" s="13"/>
    </row>
    <row r="681" customFormat="false" ht="15" hidden="false" customHeight="false" outlineLevel="0" collapsed="false">
      <c r="R681" s="13"/>
    </row>
    <row r="682" customFormat="false" ht="15" hidden="false" customHeight="false" outlineLevel="0" collapsed="false">
      <c r="R682" s="13"/>
    </row>
    <row r="683" customFormat="false" ht="15" hidden="false" customHeight="false" outlineLevel="0" collapsed="false">
      <c r="R683" s="13"/>
    </row>
    <row r="684" customFormat="false" ht="15" hidden="false" customHeight="false" outlineLevel="0" collapsed="false">
      <c r="R684" s="13"/>
    </row>
    <row r="685" customFormat="false" ht="15" hidden="false" customHeight="false" outlineLevel="0" collapsed="false">
      <c r="R685" s="13"/>
    </row>
    <row r="686" customFormat="false" ht="15" hidden="false" customHeight="false" outlineLevel="0" collapsed="false">
      <c r="R686" s="13"/>
    </row>
    <row r="687" customFormat="false" ht="15" hidden="false" customHeight="false" outlineLevel="0" collapsed="false">
      <c r="R687" s="13"/>
    </row>
    <row r="688" customFormat="false" ht="15" hidden="false" customHeight="false" outlineLevel="0" collapsed="false">
      <c r="R688" s="13"/>
    </row>
    <row r="689" customFormat="false" ht="15" hidden="false" customHeight="false" outlineLevel="0" collapsed="false">
      <c r="R689" s="13"/>
    </row>
    <row r="690" customFormat="false" ht="15" hidden="false" customHeight="false" outlineLevel="0" collapsed="false">
      <c r="R690" s="13"/>
    </row>
    <row r="691" customFormat="false" ht="15" hidden="false" customHeight="false" outlineLevel="0" collapsed="false">
      <c r="R691" s="13"/>
    </row>
    <row r="692" customFormat="false" ht="15" hidden="false" customHeight="false" outlineLevel="0" collapsed="false">
      <c r="R692" s="13"/>
    </row>
    <row r="693" customFormat="false" ht="15" hidden="false" customHeight="false" outlineLevel="0" collapsed="false">
      <c r="R693" s="13"/>
    </row>
    <row r="694" customFormat="false" ht="15" hidden="false" customHeight="false" outlineLevel="0" collapsed="false">
      <c r="R694" s="13"/>
    </row>
    <row r="695" customFormat="false" ht="15" hidden="false" customHeight="false" outlineLevel="0" collapsed="false">
      <c r="R695" s="13"/>
    </row>
    <row r="696" customFormat="false" ht="15" hidden="false" customHeight="false" outlineLevel="0" collapsed="false">
      <c r="R696" s="13"/>
    </row>
    <row r="697" customFormat="false" ht="15" hidden="false" customHeight="false" outlineLevel="0" collapsed="false">
      <c r="R697" s="13"/>
    </row>
    <row r="698" customFormat="false" ht="15" hidden="false" customHeight="false" outlineLevel="0" collapsed="false">
      <c r="R698" s="13"/>
    </row>
    <row r="699" customFormat="false" ht="15" hidden="false" customHeight="false" outlineLevel="0" collapsed="false">
      <c r="R699" s="13"/>
    </row>
    <row r="700" customFormat="false" ht="15" hidden="false" customHeight="false" outlineLevel="0" collapsed="false">
      <c r="R700" s="13"/>
    </row>
    <row r="701" customFormat="false" ht="15" hidden="false" customHeight="false" outlineLevel="0" collapsed="false">
      <c r="R701" s="13"/>
    </row>
    <row r="702" customFormat="false" ht="15" hidden="false" customHeight="false" outlineLevel="0" collapsed="false">
      <c r="R702" s="13"/>
    </row>
    <row r="703" customFormat="false" ht="15" hidden="false" customHeight="false" outlineLevel="0" collapsed="false">
      <c r="R703" s="13"/>
    </row>
    <row r="704" customFormat="false" ht="15" hidden="false" customHeight="false" outlineLevel="0" collapsed="false">
      <c r="R704" s="13"/>
    </row>
    <row r="705" customFormat="false" ht="15" hidden="false" customHeight="false" outlineLevel="0" collapsed="false">
      <c r="R705" s="13"/>
    </row>
    <row r="706" customFormat="false" ht="15" hidden="false" customHeight="false" outlineLevel="0" collapsed="false">
      <c r="R706" s="13"/>
    </row>
    <row r="707" customFormat="false" ht="15" hidden="false" customHeight="false" outlineLevel="0" collapsed="false">
      <c r="R707" s="13"/>
    </row>
    <row r="708" customFormat="false" ht="15" hidden="false" customHeight="false" outlineLevel="0" collapsed="false">
      <c r="R708" s="13"/>
    </row>
    <row r="709" customFormat="false" ht="15" hidden="false" customHeight="false" outlineLevel="0" collapsed="false">
      <c r="R709" s="13"/>
    </row>
    <row r="710" customFormat="false" ht="15" hidden="false" customHeight="false" outlineLevel="0" collapsed="false">
      <c r="R710" s="13"/>
    </row>
    <row r="711" customFormat="false" ht="15" hidden="false" customHeight="false" outlineLevel="0" collapsed="false">
      <c r="R711" s="13"/>
    </row>
    <row r="712" customFormat="false" ht="15" hidden="false" customHeight="false" outlineLevel="0" collapsed="false">
      <c r="R712" s="13"/>
    </row>
    <row r="713" customFormat="false" ht="15" hidden="false" customHeight="false" outlineLevel="0" collapsed="false">
      <c r="R713" s="13"/>
    </row>
    <row r="714" customFormat="false" ht="15" hidden="false" customHeight="false" outlineLevel="0" collapsed="false">
      <c r="R714" s="13"/>
    </row>
    <row r="715" customFormat="false" ht="15" hidden="false" customHeight="false" outlineLevel="0" collapsed="false">
      <c r="R715" s="13"/>
    </row>
    <row r="716" customFormat="false" ht="15" hidden="false" customHeight="false" outlineLevel="0" collapsed="false">
      <c r="R716" s="13"/>
    </row>
    <row r="717" customFormat="false" ht="15" hidden="false" customHeight="false" outlineLevel="0" collapsed="false">
      <c r="R717" s="13"/>
    </row>
    <row r="718" customFormat="false" ht="15" hidden="false" customHeight="false" outlineLevel="0" collapsed="false">
      <c r="R718" s="13"/>
    </row>
    <row r="719" customFormat="false" ht="15" hidden="false" customHeight="false" outlineLevel="0" collapsed="false">
      <c r="R719" s="13"/>
    </row>
    <row r="720" customFormat="false" ht="15" hidden="false" customHeight="false" outlineLevel="0" collapsed="false">
      <c r="R720" s="13"/>
    </row>
    <row r="721" customFormat="false" ht="15" hidden="false" customHeight="false" outlineLevel="0" collapsed="false">
      <c r="R721" s="13"/>
    </row>
    <row r="722" customFormat="false" ht="15" hidden="false" customHeight="false" outlineLevel="0" collapsed="false">
      <c r="R722" s="13"/>
    </row>
    <row r="723" customFormat="false" ht="15" hidden="false" customHeight="false" outlineLevel="0" collapsed="false">
      <c r="R723" s="13"/>
    </row>
    <row r="724" customFormat="false" ht="15" hidden="false" customHeight="false" outlineLevel="0" collapsed="false">
      <c r="R724" s="13"/>
    </row>
    <row r="725" customFormat="false" ht="15" hidden="false" customHeight="false" outlineLevel="0" collapsed="false">
      <c r="R725" s="13"/>
    </row>
    <row r="726" customFormat="false" ht="15" hidden="false" customHeight="false" outlineLevel="0" collapsed="false">
      <c r="R726" s="13"/>
    </row>
    <row r="727" customFormat="false" ht="15" hidden="false" customHeight="false" outlineLevel="0" collapsed="false">
      <c r="R727" s="13"/>
    </row>
    <row r="728" customFormat="false" ht="15" hidden="false" customHeight="false" outlineLevel="0" collapsed="false">
      <c r="R728" s="13"/>
    </row>
    <row r="729" customFormat="false" ht="15" hidden="false" customHeight="false" outlineLevel="0" collapsed="false">
      <c r="R729" s="13"/>
    </row>
    <row r="730" customFormat="false" ht="15" hidden="false" customHeight="false" outlineLevel="0" collapsed="false">
      <c r="R730" s="13"/>
    </row>
    <row r="731" customFormat="false" ht="15" hidden="false" customHeight="false" outlineLevel="0" collapsed="false">
      <c r="R731" s="13"/>
    </row>
    <row r="732" customFormat="false" ht="15" hidden="false" customHeight="false" outlineLevel="0" collapsed="false">
      <c r="R732" s="13"/>
    </row>
    <row r="733" customFormat="false" ht="15" hidden="false" customHeight="false" outlineLevel="0" collapsed="false">
      <c r="R733" s="13"/>
    </row>
    <row r="734" customFormat="false" ht="15" hidden="false" customHeight="false" outlineLevel="0" collapsed="false">
      <c r="R734" s="13"/>
    </row>
    <row r="735" customFormat="false" ht="15" hidden="false" customHeight="false" outlineLevel="0" collapsed="false">
      <c r="R735" s="13"/>
    </row>
    <row r="736" customFormat="false" ht="15" hidden="false" customHeight="false" outlineLevel="0" collapsed="false">
      <c r="R736" s="13"/>
    </row>
    <row r="737" customFormat="false" ht="15" hidden="false" customHeight="false" outlineLevel="0" collapsed="false">
      <c r="R737" s="13"/>
    </row>
    <row r="738" customFormat="false" ht="15" hidden="false" customHeight="false" outlineLevel="0" collapsed="false">
      <c r="R738" s="13"/>
    </row>
    <row r="739" customFormat="false" ht="15" hidden="false" customHeight="false" outlineLevel="0" collapsed="false">
      <c r="R739" s="13"/>
    </row>
    <row r="740" customFormat="false" ht="15" hidden="false" customHeight="false" outlineLevel="0" collapsed="false">
      <c r="R740" s="13"/>
    </row>
    <row r="741" customFormat="false" ht="15" hidden="false" customHeight="false" outlineLevel="0" collapsed="false">
      <c r="R741" s="13"/>
    </row>
    <row r="742" customFormat="false" ht="15" hidden="false" customHeight="false" outlineLevel="0" collapsed="false">
      <c r="R742" s="13"/>
    </row>
    <row r="743" customFormat="false" ht="15" hidden="false" customHeight="false" outlineLevel="0" collapsed="false">
      <c r="R743" s="13"/>
    </row>
    <row r="744" customFormat="false" ht="15" hidden="false" customHeight="false" outlineLevel="0" collapsed="false">
      <c r="R744" s="13"/>
    </row>
    <row r="745" customFormat="false" ht="15" hidden="false" customHeight="false" outlineLevel="0" collapsed="false">
      <c r="R745" s="13"/>
    </row>
    <row r="746" customFormat="false" ht="15" hidden="false" customHeight="false" outlineLevel="0" collapsed="false">
      <c r="R746" s="13"/>
    </row>
    <row r="747" customFormat="false" ht="15" hidden="false" customHeight="false" outlineLevel="0" collapsed="false">
      <c r="R747" s="13"/>
    </row>
    <row r="748" customFormat="false" ht="15" hidden="false" customHeight="false" outlineLevel="0" collapsed="false">
      <c r="R748" s="13"/>
    </row>
    <row r="749" customFormat="false" ht="15" hidden="false" customHeight="false" outlineLevel="0" collapsed="false">
      <c r="R749" s="13"/>
    </row>
    <row r="750" customFormat="false" ht="15" hidden="false" customHeight="false" outlineLevel="0" collapsed="false">
      <c r="R750" s="13"/>
    </row>
    <row r="751" customFormat="false" ht="15" hidden="false" customHeight="false" outlineLevel="0" collapsed="false">
      <c r="R751" s="13"/>
    </row>
    <row r="752" customFormat="false" ht="15" hidden="false" customHeight="false" outlineLevel="0" collapsed="false">
      <c r="R752" s="13"/>
    </row>
    <row r="753" customFormat="false" ht="15" hidden="false" customHeight="false" outlineLevel="0" collapsed="false">
      <c r="R753" s="13"/>
    </row>
    <row r="754" customFormat="false" ht="15" hidden="false" customHeight="false" outlineLevel="0" collapsed="false">
      <c r="R754" s="13"/>
    </row>
    <row r="755" customFormat="false" ht="15" hidden="false" customHeight="false" outlineLevel="0" collapsed="false">
      <c r="R755" s="13"/>
    </row>
    <row r="756" customFormat="false" ht="15" hidden="false" customHeight="false" outlineLevel="0" collapsed="false">
      <c r="R756" s="13"/>
    </row>
    <row r="757" customFormat="false" ht="15" hidden="false" customHeight="false" outlineLevel="0" collapsed="false">
      <c r="R757" s="13"/>
    </row>
    <row r="758" customFormat="false" ht="15" hidden="false" customHeight="false" outlineLevel="0" collapsed="false">
      <c r="R758" s="13"/>
    </row>
    <row r="759" customFormat="false" ht="15" hidden="false" customHeight="false" outlineLevel="0" collapsed="false">
      <c r="R759" s="13"/>
    </row>
    <row r="760" customFormat="false" ht="15" hidden="false" customHeight="false" outlineLevel="0" collapsed="false">
      <c r="R760" s="13"/>
    </row>
    <row r="761" customFormat="false" ht="15" hidden="false" customHeight="false" outlineLevel="0" collapsed="false">
      <c r="R761" s="13"/>
    </row>
    <row r="762" customFormat="false" ht="15" hidden="false" customHeight="false" outlineLevel="0" collapsed="false">
      <c r="R762" s="13"/>
    </row>
    <row r="763" customFormat="false" ht="15" hidden="false" customHeight="false" outlineLevel="0" collapsed="false">
      <c r="R763" s="13"/>
    </row>
    <row r="764" customFormat="false" ht="15" hidden="false" customHeight="false" outlineLevel="0" collapsed="false">
      <c r="R764" s="13"/>
    </row>
    <row r="765" customFormat="false" ht="15" hidden="false" customHeight="false" outlineLevel="0" collapsed="false">
      <c r="R765" s="13"/>
    </row>
    <row r="766" customFormat="false" ht="15" hidden="false" customHeight="false" outlineLevel="0" collapsed="false">
      <c r="R766" s="13"/>
    </row>
    <row r="767" customFormat="false" ht="15" hidden="false" customHeight="false" outlineLevel="0" collapsed="false">
      <c r="R767" s="13"/>
    </row>
    <row r="768" customFormat="false" ht="15" hidden="false" customHeight="false" outlineLevel="0" collapsed="false">
      <c r="R768" s="13"/>
    </row>
    <row r="769" customFormat="false" ht="15" hidden="false" customHeight="false" outlineLevel="0" collapsed="false">
      <c r="R769" s="13"/>
    </row>
    <row r="770" customFormat="false" ht="15" hidden="false" customHeight="false" outlineLevel="0" collapsed="false">
      <c r="R770" s="13"/>
    </row>
    <row r="771" customFormat="false" ht="15" hidden="false" customHeight="false" outlineLevel="0" collapsed="false">
      <c r="R771" s="13"/>
    </row>
    <row r="772" customFormat="false" ht="15" hidden="false" customHeight="false" outlineLevel="0" collapsed="false">
      <c r="R772" s="13"/>
    </row>
    <row r="773" customFormat="false" ht="15" hidden="false" customHeight="false" outlineLevel="0" collapsed="false">
      <c r="R773" s="13"/>
    </row>
    <row r="774" customFormat="false" ht="15" hidden="false" customHeight="false" outlineLevel="0" collapsed="false">
      <c r="R774" s="13"/>
    </row>
    <row r="775" customFormat="false" ht="15" hidden="false" customHeight="false" outlineLevel="0" collapsed="false">
      <c r="R775" s="13"/>
    </row>
    <row r="776" customFormat="false" ht="15" hidden="false" customHeight="false" outlineLevel="0" collapsed="false">
      <c r="R776" s="13"/>
    </row>
    <row r="777" customFormat="false" ht="15" hidden="false" customHeight="false" outlineLevel="0" collapsed="false">
      <c r="R777" s="13"/>
    </row>
    <row r="778" customFormat="false" ht="15" hidden="false" customHeight="false" outlineLevel="0" collapsed="false">
      <c r="R778" s="13"/>
    </row>
    <row r="779" customFormat="false" ht="15" hidden="false" customHeight="false" outlineLevel="0" collapsed="false">
      <c r="R779" s="13"/>
    </row>
    <row r="780" customFormat="false" ht="15" hidden="false" customHeight="false" outlineLevel="0" collapsed="false">
      <c r="R780" s="13"/>
    </row>
    <row r="781" customFormat="false" ht="15" hidden="false" customHeight="false" outlineLevel="0" collapsed="false">
      <c r="R781" s="13"/>
    </row>
    <row r="782" customFormat="false" ht="15" hidden="false" customHeight="false" outlineLevel="0" collapsed="false">
      <c r="R782" s="13"/>
    </row>
    <row r="783" customFormat="false" ht="15" hidden="false" customHeight="false" outlineLevel="0" collapsed="false">
      <c r="R783" s="13"/>
    </row>
    <row r="784" customFormat="false" ht="15" hidden="false" customHeight="false" outlineLevel="0" collapsed="false">
      <c r="R784" s="13"/>
    </row>
    <row r="785" customFormat="false" ht="15" hidden="false" customHeight="false" outlineLevel="0" collapsed="false">
      <c r="R785" s="13"/>
    </row>
    <row r="786" customFormat="false" ht="15" hidden="false" customHeight="false" outlineLevel="0" collapsed="false">
      <c r="R786" s="13"/>
    </row>
    <row r="787" customFormat="false" ht="15" hidden="false" customHeight="false" outlineLevel="0" collapsed="false">
      <c r="R787" s="13"/>
    </row>
    <row r="788" customFormat="false" ht="15" hidden="false" customHeight="false" outlineLevel="0" collapsed="false">
      <c r="R788" s="13"/>
    </row>
    <row r="789" customFormat="false" ht="15" hidden="false" customHeight="false" outlineLevel="0" collapsed="false">
      <c r="R789" s="13"/>
    </row>
    <row r="790" customFormat="false" ht="15" hidden="false" customHeight="false" outlineLevel="0" collapsed="false">
      <c r="R790" s="13"/>
    </row>
    <row r="791" customFormat="false" ht="15" hidden="false" customHeight="false" outlineLevel="0" collapsed="false">
      <c r="R791" s="13"/>
    </row>
    <row r="792" customFormat="false" ht="15" hidden="false" customHeight="false" outlineLevel="0" collapsed="false">
      <c r="R792" s="13"/>
    </row>
    <row r="793" customFormat="false" ht="15" hidden="false" customHeight="false" outlineLevel="0" collapsed="false">
      <c r="R793" s="13"/>
    </row>
    <row r="794" customFormat="false" ht="15" hidden="false" customHeight="false" outlineLevel="0" collapsed="false">
      <c r="R794" s="13"/>
    </row>
    <row r="795" customFormat="false" ht="15" hidden="false" customHeight="false" outlineLevel="0" collapsed="false">
      <c r="R795" s="13"/>
    </row>
    <row r="796" customFormat="false" ht="15" hidden="false" customHeight="false" outlineLevel="0" collapsed="false">
      <c r="R796" s="13"/>
    </row>
    <row r="797" customFormat="false" ht="15" hidden="false" customHeight="false" outlineLevel="0" collapsed="false">
      <c r="R797" s="13"/>
    </row>
    <row r="798" customFormat="false" ht="15" hidden="false" customHeight="false" outlineLevel="0" collapsed="false">
      <c r="R798" s="13"/>
    </row>
    <row r="799" customFormat="false" ht="15" hidden="false" customHeight="false" outlineLevel="0" collapsed="false">
      <c r="R799" s="13"/>
    </row>
    <row r="800" customFormat="false" ht="15" hidden="false" customHeight="false" outlineLevel="0" collapsed="false">
      <c r="R800" s="13"/>
    </row>
    <row r="801" customFormat="false" ht="15" hidden="false" customHeight="false" outlineLevel="0" collapsed="false">
      <c r="R801" s="13"/>
    </row>
    <row r="802" customFormat="false" ht="15" hidden="false" customHeight="false" outlineLevel="0" collapsed="false">
      <c r="R802" s="13"/>
    </row>
    <row r="803" customFormat="false" ht="15" hidden="false" customHeight="false" outlineLevel="0" collapsed="false">
      <c r="R803" s="13"/>
    </row>
    <row r="804" customFormat="false" ht="15" hidden="false" customHeight="false" outlineLevel="0" collapsed="false">
      <c r="R804" s="13"/>
    </row>
    <row r="805" customFormat="false" ht="15" hidden="false" customHeight="false" outlineLevel="0" collapsed="false">
      <c r="R805" s="13"/>
    </row>
    <row r="806" customFormat="false" ht="15" hidden="false" customHeight="false" outlineLevel="0" collapsed="false">
      <c r="R806" s="13"/>
    </row>
    <row r="807" customFormat="false" ht="15" hidden="false" customHeight="false" outlineLevel="0" collapsed="false">
      <c r="R807" s="13"/>
    </row>
    <row r="808" customFormat="false" ht="15" hidden="false" customHeight="false" outlineLevel="0" collapsed="false">
      <c r="R808" s="13"/>
    </row>
    <row r="809" customFormat="false" ht="15" hidden="false" customHeight="false" outlineLevel="0" collapsed="false">
      <c r="R809" s="13"/>
    </row>
    <row r="810" customFormat="false" ht="15" hidden="false" customHeight="false" outlineLevel="0" collapsed="false">
      <c r="R810" s="13"/>
    </row>
    <row r="811" customFormat="false" ht="15" hidden="false" customHeight="false" outlineLevel="0" collapsed="false">
      <c r="R811" s="13"/>
    </row>
    <row r="812" customFormat="false" ht="15" hidden="false" customHeight="false" outlineLevel="0" collapsed="false">
      <c r="R812" s="13"/>
    </row>
    <row r="813" customFormat="false" ht="15" hidden="false" customHeight="false" outlineLevel="0" collapsed="false">
      <c r="R813" s="13"/>
    </row>
    <row r="814" customFormat="false" ht="15" hidden="false" customHeight="false" outlineLevel="0" collapsed="false">
      <c r="R814" s="13"/>
    </row>
    <row r="815" customFormat="false" ht="15" hidden="false" customHeight="false" outlineLevel="0" collapsed="false">
      <c r="R815" s="13"/>
    </row>
    <row r="816" customFormat="false" ht="15" hidden="false" customHeight="false" outlineLevel="0" collapsed="false">
      <c r="R816" s="13"/>
    </row>
    <row r="817" customFormat="false" ht="15" hidden="false" customHeight="false" outlineLevel="0" collapsed="false">
      <c r="R817" s="13"/>
    </row>
    <row r="818" customFormat="false" ht="15" hidden="false" customHeight="false" outlineLevel="0" collapsed="false">
      <c r="R818" s="13"/>
    </row>
    <row r="819" customFormat="false" ht="15" hidden="false" customHeight="false" outlineLevel="0" collapsed="false">
      <c r="R819" s="13"/>
    </row>
    <row r="820" customFormat="false" ht="15" hidden="false" customHeight="false" outlineLevel="0" collapsed="false">
      <c r="R820" s="13"/>
    </row>
    <row r="821" customFormat="false" ht="15" hidden="false" customHeight="false" outlineLevel="0" collapsed="false">
      <c r="R821" s="13"/>
    </row>
    <row r="822" customFormat="false" ht="15" hidden="false" customHeight="false" outlineLevel="0" collapsed="false">
      <c r="R822" s="13"/>
    </row>
    <row r="823" customFormat="false" ht="15" hidden="false" customHeight="false" outlineLevel="0" collapsed="false">
      <c r="R823" s="13"/>
    </row>
    <row r="824" customFormat="false" ht="15" hidden="false" customHeight="false" outlineLevel="0" collapsed="false">
      <c r="R824" s="13"/>
    </row>
    <row r="825" customFormat="false" ht="15" hidden="false" customHeight="false" outlineLevel="0" collapsed="false">
      <c r="R825" s="13"/>
    </row>
    <row r="826" customFormat="false" ht="15" hidden="false" customHeight="false" outlineLevel="0" collapsed="false">
      <c r="R826" s="13"/>
    </row>
    <row r="827" customFormat="false" ht="15" hidden="false" customHeight="false" outlineLevel="0" collapsed="false">
      <c r="R827" s="13"/>
    </row>
    <row r="828" customFormat="false" ht="15" hidden="false" customHeight="false" outlineLevel="0" collapsed="false">
      <c r="R828" s="13"/>
    </row>
    <row r="829" customFormat="false" ht="15" hidden="false" customHeight="false" outlineLevel="0" collapsed="false">
      <c r="R829" s="13"/>
    </row>
    <row r="830" customFormat="false" ht="15" hidden="false" customHeight="false" outlineLevel="0" collapsed="false">
      <c r="R830" s="13"/>
    </row>
    <row r="831" customFormat="false" ht="15" hidden="false" customHeight="false" outlineLevel="0" collapsed="false">
      <c r="R831" s="13"/>
    </row>
    <row r="832" customFormat="false" ht="15" hidden="false" customHeight="false" outlineLevel="0" collapsed="false">
      <c r="R832" s="13"/>
    </row>
    <row r="833" customFormat="false" ht="15" hidden="false" customHeight="false" outlineLevel="0" collapsed="false">
      <c r="R833" s="13"/>
    </row>
    <row r="834" customFormat="false" ht="15" hidden="false" customHeight="false" outlineLevel="0" collapsed="false">
      <c r="R834" s="13"/>
    </row>
    <row r="835" customFormat="false" ht="15" hidden="false" customHeight="false" outlineLevel="0" collapsed="false">
      <c r="R835" s="13"/>
    </row>
    <row r="836" customFormat="false" ht="15" hidden="false" customHeight="false" outlineLevel="0" collapsed="false">
      <c r="R836" s="13"/>
    </row>
    <row r="837" customFormat="false" ht="15" hidden="false" customHeight="false" outlineLevel="0" collapsed="false">
      <c r="R837" s="13"/>
    </row>
    <row r="838" customFormat="false" ht="15" hidden="false" customHeight="false" outlineLevel="0" collapsed="false">
      <c r="R838" s="13"/>
    </row>
    <row r="839" customFormat="false" ht="15" hidden="false" customHeight="false" outlineLevel="0" collapsed="false">
      <c r="R839" s="13"/>
    </row>
    <row r="840" customFormat="false" ht="15" hidden="false" customHeight="false" outlineLevel="0" collapsed="false">
      <c r="R840" s="13"/>
    </row>
    <row r="841" customFormat="false" ht="15" hidden="false" customHeight="false" outlineLevel="0" collapsed="false">
      <c r="R841" s="13"/>
    </row>
    <row r="842" customFormat="false" ht="15" hidden="false" customHeight="false" outlineLevel="0" collapsed="false">
      <c r="R842" s="13"/>
    </row>
    <row r="843" customFormat="false" ht="15" hidden="false" customHeight="false" outlineLevel="0" collapsed="false">
      <c r="R843" s="13"/>
    </row>
    <row r="844" customFormat="false" ht="15" hidden="false" customHeight="false" outlineLevel="0" collapsed="false">
      <c r="R844" s="13"/>
    </row>
    <row r="845" customFormat="false" ht="15" hidden="false" customHeight="false" outlineLevel="0" collapsed="false">
      <c r="R845" s="13"/>
    </row>
    <row r="846" customFormat="false" ht="15" hidden="false" customHeight="false" outlineLevel="0" collapsed="false">
      <c r="R846" s="13"/>
    </row>
    <row r="847" customFormat="false" ht="15" hidden="false" customHeight="false" outlineLevel="0" collapsed="false">
      <c r="R847" s="13"/>
    </row>
    <row r="848" customFormat="false" ht="15" hidden="false" customHeight="false" outlineLevel="0" collapsed="false">
      <c r="R848" s="13"/>
    </row>
    <row r="849" customFormat="false" ht="15" hidden="false" customHeight="false" outlineLevel="0" collapsed="false">
      <c r="R849" s="13"/>
    </row>
    <row r="850" customFormat="false" ht="15" hidden="false" customHeight="false" outlineLevel="0" collapsed="false">
      <c r="R850" s="13"/>
    </row>
    <row r="851" customFormat="false" ht="15" hidden="false" customHeight="false" outlineLevel="0" collapsed="false">
      <c r="R851" s="13"/>
    </row>
    <row r="852" customFormat="false" ht="15" hidden="false" customHeight="false" outlineLevel="0" collapsed="false">
      <c r="R852" s="13"/>
    </row>
    <row r="853" customFormat="false" ht="15" hidden="false" customHeight="false" outlineLevel="0" collapsed="false">
      <c r="R853" s="13"/>
    </row>
    <row r="854" customFormat="false" ht="15" hidden="false" customHeight="false" outlineLevel="0" collapsed="false">
      <c r="R854" s="13"/>
    </row>
    <row r="855" customFormat="false" ht="15" hidden="false" customHeight="false" outlineLevel="0" collapsed="false">
      <c r="R855" s="13"/>
    </row>
    <row r="856" customFormat="false" ht="15" hidden="false" customHeight="false" outlineLevel="0" collapsed="false">
      <c r="R856" s="13"/>
    </row>
    <row r="857" customFormat="false" ht="15" hidden="false" customHeight="false" outlineLevel="0" collapsed="false">
      <c r="R857" s="13"/>
    </row>
    <row r="858" customFormat="false" ht="15" hidden="false" customHeight="false" outlineLevel="0" collapsed="false">
      <c r="R858" s="13"/>
    </row>
    <row r="859" customFormat="false" ht="15" hidden="false" customHeight="false" outlineLevel="0" collapsed="false">
      <c r="R859" s="13"/>
    </row>
    <row r="860" customFormat="false" ht="15" hidden="false" customHeight="false" outlineLevel="0" collapsed="false">
      <c r="R860" s="13"/>
    </row>
    <row r="861" customFormat="false" ht="15" hidden="false" customHeight="false" outlineLevel="0" collapsed="false">
      <c r="R861" s="13"/>
    </row>
    <row r="862" customFormat="false" ht="15" hidden="false" customHeight="false" outlineLevel="0" collapsed="false">
      <c r="R862" s="13"/>
    </row>
    <row r="863" customFormat="false" ht="15" hidden="false" customHeight="false" outlineLevel="0" collapsed="false">
      <c r="R863" s="13"/>
    </row>
    <row r="864" customFormat="false" ht="15" hidden="false" customHeight="false" outlineLevel="0" collapsed="false">
      <c r="R864" s="13"/>
    </row>
    <row r="865" customFormat="false" ht="15" hidden="false" customHeight="false" outlineLevel="0" collapsed="false">
      <c r="R865" s="13"/>
    </row>
    <row r="866" customFormat="false" ht="15" hidden="false" customHeight="false" outlineLevel="0" collapsed="false">
      <c r="R866" s="13"/>
    </row>
    <row r="867" customFormat="false" ht="15" hidden="false" customHeight="false" outlineLevel="0" collapsed="false">
      <c r="R867" s="13"/>
    </row>
    <row r="868" customFormat="false" ht="15" hidden="false" customHeight="false" outlineLevel="0" collapsed="false">
      <c r="R868" s="13"/>
    </row>
    <row r="869" customFormat="false" ht="15" hidden="false" customHeight="false" outlineLevel="0" collapsed="false">
      <c r="R869" s="13"/>
    </row>
    <row r="870" customFormat="false" ht="15" hidden="false" customHeight="false" outlineLevel="0" collapsed="false">
      <c r="R870" s="13"/>
    </row>
    <row r="871" customFormat="false" ht="15" hidden="false" customHeight="false" outlineLevel="0" collapsed="false">
      <c r="R871" s="13"/>
    </row>
    <row r="872" customFormat="false" ht="15" hidden="false" customHeight="false" outlineLevel="0" collapsed="false">
      <c r="R872" s="13"/>
    </row>
    <row r="873" customFormat="false" ht="15" hidden="false" customHeight="false" outlineLevel="0" collapsed="false">
      <c r="R873" s="13"/>
    </row>
    <row r="874" customFormat="false" ht="15" hidden="false" customHeight="false" outlineLevel="0" collapsed="false">
      <c r="R874" s="13"/>
    </row>
    <row r="875" customFormat="false" ht="15" hidden="false" customHeight="false" outlineLevel="0" collapsed="false">
      <c r="R875" s="13"/>
    </row>
    <row r="876" customFormat="false" ht="15" hidden="false" customHeight="false" outlineLevel="0" collapsed="false">
      <c r="R876" s="13"/>
    </row>
    <row r="877" customFormat="false" ht="15" hidden="false" customHeight="false" outlineLevel="0" collapsed="false">
      <c r="R877" s="13"/>
    </row>
    <row r="878" customFormat="false" ht="15" hidden="false" customHeight="false" outlineLevel="0" collapsed="false">
      <c r="R878" s="13"/>
    </row>
    <row r="879" customFormat="false" ht="15" hidden="false" customHeight="false" outlineLevel="0" collapsed="false">
      <c r="R879" s="13"/>
    </row>
    <row r="880" customFormat="false" ht="15" hidden="false" customHeight="false" outlineLevel="0" collapsed="false">
      <c r="R880" s="13"/>
    </row>
    <row r="881" customFormat="false" ht="15" hidden="false" customHeight="false" outlineLevel="0" collapsed="false">
      <c r="R881" s="13"/>
    </row>
    <row r="882" customFormat="false" ht="15" hidden="false" customHeight="false" outlineLevel="0" collapsed="false">
      <c r="R882" s="13"/>
    </row>
    <row r="883" customFormat="false" ht="15" hidden="false" customHeight="false" outlineLevel="0" collapsed="false">
      <c r="R883" s="13"/>
    </row>
    <row r="884" customFormat="false" ht="15" hidden="false" customHeight="false" outlineLevel="0" collapsed="false">
      <c r="R884" s="13"/>
    </row>
    <row r="885" customFormat="false" ht="15" hidden="false" customHeight="false" outlineLevel="0" collapsed="false">
      <c r="R885" s="13"/>
    </row>
    <row r="886" customFormat="false" ht="15" hidden="false" customHeight="false" outlineLevel="0" collapsed="false">
      <c r="R886" s="13"/>
    </row>
    <row r="887" customFormat="false" ht="15" hidden="false" customHeight="false" outlineLevel="0" collapsed="false">
      <c r="R887" s="13"/>
    </row>
    <row r="888" customFormat="false" ht="15" hidden="false" customHeight="false" outlineLevel="0" collapsed="false">
      <c r="R888" s="13"/>
    </row>
    <row r="889" customFormat="false" ht="15" hidden="false" customHeight="false" outlineLevel="0" collapsed="false">
      <c r="R889" s="13"/>
    </row>
    <row r="890" customFormat="false" ht="15" hidden="false" customHeight="false" outlineLevel="0" collapsed="false">
      <c r="R890" s="13"/>
    </row>
    <row r="891" customFormat="false" ht="15" hidden="false" customHeight="false" outlineLevel="0" collapsed="false">
      <c r="R891" s="13"/>
    </row>
    <row r="892" customFormat="false" ht="15" hidden="false" customHeight="false" outlineLevel="0" collapsed="false">
      <c r="R892" s="13"/>
    </row>
    <row r="893" customFormat="false" ht="15" hidden="false" customHeight="false" outlineLevel="0" collapsed="false">
      <c r="R893" s="13"/>
    </row>
    <row r="894" customFormat="false" ht="15" hidden="false" customHeight="false" outlineLevel="0" collapsed="false">
      <c r="R894" s="13"/>
    </row>
    <row r="895" customFormat="false" ht="15" hidden="false" customHeight="false" outlineLevel="0" collapsed="false">
      <c r="R895" s="13"/>
    </row>
    <row r="896" customFormat="false" ht="15" hidden="false" customHeight="false" outlineLevel="0" collapsed="false">
      <c r="R896" s="13"/>
    </row>
    <row r="897" customFormat="false" ht="15" hidden="false" customHeight="false" outlineLevel="0" collapsed="false">
      <c r="R897" s="13"/>
    </row>
    <row r="898" customFormat="false" ht="15" hidden="false" customHeight="false" outlineLevel="0" collapsed="false">
      <c r="R898" s="13"/>
    </row>
    <row r="899" customFormat="false" ht="15" hidden="false" customHeight="false" outlineLevel="0" collapsed="false">
      <c r="R899" s="13"/>
    </row>
    <row r="900" customFormat="false" ht="15" hidden="false" customHeight="false" outlineLevel="0" collapsed="false">
      <c r="R900" s="13"/>
    </row>
    <row r="901" customFormat="false" ht="15" hidden="false" customHeight="false" outlineLevel="0" collapsed="false">
      <c r="R901" s="13"/>
    </row>
    <row r="902" customFormat="false" ht="15" hidden="false" customHeight="false" outlineLevel="0" collapsed="false">
      <c r="R902" s="13"/>
    </row>
    <row r="903" customFormat="false" ht="15" hidden="false" customHeight="false" outlineLevel="0" collapsed="false">
      <c r="R903" s="13"/>
    </row>
    <row r="904" customFormat="false" ht="15" hidden="false" customHeight="false" outlineLevel="0" collapsed="false">
      <c r="R904" s="13"/>
    </row>
    <row r="905" customFormat="false" ht="15" hidden="false" customHeight="false" outlineLevel="0" collapsed="false">
      <c r="R905" s="13"/>
    </row>
    <row r="906" customFormat="false" ht="15" hidden="false" customHeight="false" outlineLevel="0" collapsed="false">
      <c r="R906" s="13"/>
    </row>
    <row r="907" customFormat="false" ht="15" hidden="false" customHeight="false" outlineLevel="0" collapsed="false">
      <c r="R907" s="13"/>
    </row>
    <row r="908" customFormat="false" ht="15" hidden="false" customHeight="false" outlineLevel="0" collapsed="false">
      <c r="R908" s="13"/>
    </row>
    <row r="909" customFormat="false" ht="15" hidden="false" customHeight="false" outlineLevel="0" collapsed="false">
      <c r="R909" s="13"/>
    </row>
    <row r="910" customFormat="false" ht="15" hidden="false" customHeight="false" outlineLevel="0" collapsed="false">
      <c r="R910" s="13"/>
    </row>
    <row r="911" customFormat="false" ht="15" hidden="false" customHeight="false" outlineLevel="0" collapsed="false">
      <c r="R911" s="13"/>
    </row>
    <row r="912" customFormat="false" ht="15" hidden="false" customHeight="false" outlineLevel="0" collapsed="false">
      <c r="R912" s="13"/>
    </row>
    <row r="913" customFormat="false" ht="15" hidden="false" customHeight="false" outlineLevel="0" collapsed="false">
      <c r="R913" s="13"/>
    </row>
    <row r="914" customFormat="false" ht="15" hidden="false" customHeight="false" outlineLevel="0" collapsed="false">
      <c r="R914" s="13"/>
    </row>
    <row r="915" customFormat="false" ht="15" hidden="false" customHeight="false" outlineLevel="0" collapsed="false">
      <c r="R915" s="13"/>
    </row>
    <row r="916" customFormat="false" ht="15" hidden="false" customHeight="false" outlineLevel="0" collapsed="false">
      <c r="R916" s="13"/>
    </row>
    <row r="917" customFormat="false" ht="15" hidden="false" customHeight="false" outlineLevel="0" collapsed="false">
      <c r="R917" s="13"/>
    </row>
    <row r="918" customFormat="false" ht="15" hidden="false" customHeight="false" outlineLevel="0" collapsed="false">
      <c r="R918" s="13"/>
    </row>
    <row r="919" customFormat="false" ht="15" hidden="false" customHeight="false" outlineLevel="0" collapsed="false">
      <c r="R919" s="13"/>
    </row>
    <row r="920" customFormat="false" ht="15" hidden="false" customHeight="false" outlineLevel="0" collapsed="false">
      <c r="R920" s="13"/>
    </row>
    <row r="921" customFormat="false" ht="15" hidden="false" customHeight="false" outlineLevel="0" collapsed="false">
      <c r="R921" s="13"/>
    </row>
    <row r="922" customFormat="false" ht="15" hidden="false" customHeight="false" outlineLevel="0" collapsed="false">
      <c r="R922" s="13"/>
    </row>
    <row r="923" customFormat="false" ht="15" hidden="false" customHeight="false" outlineLevel="0" collapsed="false">
      <c r="R923" s="13"/>
    </row>
    <row r="924" customFormat="false" ht="15" hidden="false" customHeight="false" outlineLevel="0" collapsed="false">
      <c r="R924" s="13"/>
    </row>
    <row r="925" customFormat="false" ht="15" hidden="false" customHeight="false" outlineLevel="0" collapsed="false">
      <c r="R925" s="13"/>
    </row>
    <row r="926" customFormat="false" ht="15" hidden="false" customHeight="false" outlineLevel="0" collapsed="false">
      <c r="R926" s="13"/>
    </row>
    <row r="927" customFormat="false" ht="15" hidden="false" customHeight="false" outlineLevel="0" collapsed="false">
      <c r="R927" s="13"/>
    </row>
    <row r="928" customFormat="false" ht="15" hidden="false" customHeight="false" outlineLevel="0" collapsed="false">
      <c r="R928" s="13"/>
    </row>
    <row r="929" customFormat="false" ht="15" hidden="false" customHeight="false" outlineLevel="0" collapsed="false">
      <c r="R929" s="13"/>
    </row>
    <row r="930" customFormat="false" ht="15" hidden="false" customHeight="false" outlineLevel="0" collapsed="false">
      <c r="R930" s="13"/>
    </row>
    <row r="931" customFormat="false" ht="15" hidden="false" customHeight="false" outlineLevel="0" collapsed="false">
      <c r="R931" s="13"/>
    </row>
    <row r="932" customFormat="false" ht="15" hidden="false" customHeight="false" outlineLevel="0" collapsed="false">
      <c r="R932" s="13"/>
    </row>
    <row r="933" customFormat="false" ht="15" hidden="false" customHeight="false" outlineLevel="0" collapsed="false">
      <c r="R933" s="13"/>
    </row>
    <row r="934" customFormat="false" ht="15" hidden="false" customHeight="false" outlineLevel="0" collapsed="false">
      <c r="R934" s="13"/>
    </row>
    <row r="935" customFormat="false" ht="15" hidden="false" customHeight="false" outlineLevel="0" collapsed="false">
      <c r="R935" s="13"/>
    </row>
    <row r="936" customFormat="false" ht="15" hidden="false" customHeight="false" outlineLevel="0" collapsed="false">
      <c r="R936" s="13"/>
    </row>
    <row r="937" customFormat="false" ht="15" hidden="false" customHeight="false" outlineLevel="0" collapsed="false">
      <c r="R937" s="13"/>
    </row>
    <row r="938" customFormat="false" ht="15" hidden="false" customHeight="false" outlineLevel="0" collapsed="false">
      <c r="R938" s="13"/>
    </row>
    <row r="939" customFormat="false" ht="15" hidden="false" customHeight="false" outlineLevel="0" collapsed="false">
      <c r="R939" s="13"/>
    </row>
    <row r="940" customFormat="false" ht="15" hidden="false" customHeight="false" outlineLevel="0" collapsed="false">
      <c r="R940" s="13"/>
    </row>
    <row r="941" customFormat="false" ht="15" hidden="false" customHeight="false" outlineLevel="0" collapsed="false">
      <c r="R941" s="13"/>
    </row>
    <row r="942" customFormat="false" ht="15" hidden="false" customHeight="false" outlineLevel="0" collapsed="false">
      <c r="R942" s="13"/>
    </row>
    <row r="943" customFormat="false" ht="15" hidden="false" customHeight="false" outlineLevel="0" collapsed="false">
      <c r="R943" s="13"/>
    </row>
    <row r="944" customFormat="false" ht="15" hidden="false" customHeight="false" outlineLevel="0" collapsed="false">
      <c r="R944" s="13"/>
    </row>
    <row r="945" customFormat="false" ht="15" hidden="false" customHeight="false" outlineLevel="0" collapsed="false">
      <c r="R945" s="13"/>
    </row>
    <row r="946" customFormat="false" ht="15" hidden="false" customHeight="false" outlineLevel="0" collapsed="false">
      <c r="R946" s="13"/>
    </row>
    <row r="947" customFormat="false" ht="15" hidden="false" customHeight="false" outlineLevel="0" collapsed="false">
      <c r="R947" s="13"/>
    </row>
    <row r="948" customFormat="false" ht="15" hidden="false" customHeight="false" outlineLevel="0" collapsed="false">
      <c r="R948" s="13"/>
    </row>
    <row r="949" customFormat="false" ht="15" hidden="false" customHeight="false" outlineLevel="0" collapsed="false">
      <c r="R949" s="13"/>
    </row>
    <row r="950" customFormat="false" ht="15" hidden="false" customHeight="false" outlineLevel="0" collapsed="false">
      <c r="R950" s="13"/>
    </row>
    <row r="951" customFormat="false" ht="15" hidden="false" customHeight="false" outlineLevel="0" collapsed="false">
      <c r="R951" s="13"/>
    </row>
    <row r="952" customFormat="false" ht="15" hidden="false" customHeight="false" outlineLevel="0" collapsed="false">
      <c r="R952" s="13"/>
    </row>
    <row r="953" customFormat="false" ht="15" hidden="false" customHeight="false" outlineLevel="0" collapsed="false">
      <c r="R953" s="13"/>
    </row>
    <row r="954" customFormat="false" ht="15" hidden="false" customHeight="false" outlineLevel="0" collapsed="false">
      <c r="R954" s="13"/>
    </row>
    <row r="955" customFormat="false" ht="15" hidden="false" customHeight="false" outlineLevel="0" collapsed="false">
      <c r="R955" s="13"/>
    </row>
    <row r="956" customFormat="false" ht="15" hidden="false" customHeight="false" outlineLevel="0" collapsed="false">
      <c r="R956" s="13"/>
    </row>
    <row r="957" customFormat="false" ht="15" hidden="false" customHeight="false" outlineLevel="0" collapsed="false">
      <c r="R957" s="13"/>
    </row>
    <row r="958" customFormat="false" ht="15" hidden="false" customHeight="false" outlineLevel="0" collapsed="false">
      <c r="R958" s="13"/>
    </row>
    <row r="959" customFormat="false" ht="15" hidden="false" customHeight="false" outlineLevel="0" collapsed="false">
      <c r="R959" s="13"/>
    </row>
    <row r="960" customFormat="false" ht="15" hidden="false" customHeight="false" outlineLevel="0" collapsed="false">
      <c r="R960" s="13"/>
    </row>
    <row r="961" customFormat="false" ht="15" hidden="false" customHeight="false" outlineLevel="0" collapsed="false">
      <c r="R961" s="13"/>
    </row>
    <row r="962" customFormat="false" ht="15" hidden="false" customHeight="false" outlineLevel="0" collapsed="false">
      <c r="R962" s="13"/>
    </row>
    <row r="963" customFormat="false" ht="15" hidden="false" customHeight="false" outlineLevel="0" collapsed="false">
      <c r="R963" s="13"/>
    </row>
    <row r="964" customFormat="false" ht="15" hidden="false" customHeight="false" outlineLevel="0" collapsed="false">
      <c r="R964" s="13"/>
    </row>
    <row r="965" customFormat="false" ht="15" hidden="false" customHeight="false" outlineLevel="0" collapsed="false">
      <c r="R965" s="13"/>
    </row>
    <row r="966" customFormat="false" ht="15" hidden="false" customHeight="false" outlineLevel="0" collapsed="false">
      <c r="R966" s="13"/>
    </row>
    <row r="967" customFormat="false" ht="15" hidden="false" customHeight="false" outlineLevel="0" collapsed="false">
      <c r="R967" s="13"/>
    </row>
    <row r="968" customFormat="false" ht="15" hidden="false" customHeight="false" outlineLevel="0" collapsed="false">
      <c r="R968" s="13"/>
    </row>
    <row r="969" customFormat="false" ht="15" hidden="false" customHeight="false" outlineLevel="0" collapsed="false">
      <c r="R969" s="13"/>
    </row>
    <row r="970" customFormat="false" ht="15" hidden="false" customHeight="false" outlineLevel="0" collapsed="false">
      <c r="R970" s="13"/>
    </row>
    <row r="971" customFormat="false" ht="15" hidden="false" customHeight="false" outlineLevel="0" collapsed="false">
      <c r="R971" s="13"/>
    </row>
    <row r="972" customFormat="false" ht="15" hidden="false" customHeight="false" outlineLevel="0" collapsed="false">
      <c r="R972" s="13"/>
    </row>
    <row r="973" customFormat="false" ht="15" hidden="false" customHeight="false" outlineLevel="0" collapsed="false">
      <c r="R973" s="13"/>
    </row>
    <row r="974" customFormat="false" ht="15" hidden="false" customHeight="false" outlineLevel="0" collapsed="false">
      <c r="R974" s="13"/>
    </row>
    <row r="975" customFormat="false" ht="15" hidden="false" customHeight="false" outlineLevel="0" collapsed="false">
      <c r="R975" s="13"/>
    </row>
    <row r="976" customFormat="false" ht="15" hidden="false" customHeight="false" outlineLevel="0" collapsed="false">
      <c r="R976" s="13"/>
    </row>
    <row r="977" customFormat="false" ht="15" hidden="false" customHeight="false" outlineLevel="0" collapsed="false">
      <c r="R977" s="13"/>
    </row>
    <row r="978" customFormat="false" ht="15" hidden="false" customHeight="false" outlineLevel="0" collapsed="false">
      <c r="R978" s="13"/>
    </row>
    <row r="979" customFormat="false" ht="15" hidden="false" customHeight="false" outlineLevel="0" collapsed="false">
      <c r="R979" s="13"/>
    </row>
    <row r="980" customFormat="false" ht="15" hidden="false" customHeight="false" outlineLevel="0" collapsed="false">
      <c r="R980" s="13"/>
    </row>
    <row r="981" customFormat="false" ht="15" hidden="false" customHeight="false" outlineLevel="0" collapsed="false">
      <c r="R981" s="13"/>
    </row>
    <row r="982" customFormat="false" ht="15" hidden="false" customHeight="false" outlineLevel="0" collapsed="false">
      <c r="R982" s="13"/>
    </row>
    <row r="983" customFormat="false" ht="15" hidden="false" customHeight="false" outlineLevel="0" collapsed="false">
      <c r="R983" s="13"/>
    </row>
    <row r="984" customFormat="false" ht="15" hidden="false" customHeight="false" outlineLevel="0" collapsed="false">
      <c r="R984" s="13"/>
    </row>
    <row r="985" customFormat="false" ht="15" hidden="false" customHeight="false" outlineLevel="0" collapsed="false">
      <c r="R985" s="13"/>
    </row>
    <row r="986" customFormat="false" ht="15" hidden="false" customHeight="false" outlineLevel="0" collapsed="false">
      <c r="R986" s="13"/>
    </row>
    <row r="987" customFormat="false" ht="15" hidden="false" customHeight="false" outlineLevel="0" collapsed="false">
      <c r="R987" s="13"/>
    </row>
    <row r="988" customFormat="false" ht="15" hidden="false" customHeight="false" outlineLevel="0" collapsed="false">
      <c r="R988" s="13"/>
    </row>
    <row r="989" customFormat="false" ht="15" hidden="false" customHeight="false" outlineLevel="0" collapsed="false">
      <c r="R989" s="13"/>
    </row>
    <row r="990" customFormat="false" ht="15" hidden="false" customHeight="false" outlineLevel="0" collapsed="false">
      <c r="R990" s="13"/>
    </row>
    <row r="991" customFormat="false" ht="15" hidden="false" customHeight="false" outlineLevel="0" collapsed="false">
      <c r="R991" s="13"/>
    </row>
    <row r="992" customFormat="false" ht="15" hidden="false" customHeight="false" outlineLevel="0" collapsed="false">
      <c r="R992" s="13"/>
    </row>
    <row r="993" customFormat="false" ht="15" hidden="false" customHeight="false" outlineLevel="0" collapsed="false">
      <c r="R993" s="13"/>
    </row>
    <row r="994" customFormat="false" ht="15" hidden="false" customHeight="false" outlineLevel="0" collapsed="false">
      <c r="R994" s="13"/>
    </row>
    <row r="995" customFormat="false" ht="15" hidden="false" customHeight="false" outlineLevel="0" collapsed="false">
      <c r="R995" s="13"/>
    </row>
    <row r="996" customFormat="false" ht="15" hidden="false" customHeight="false" outlineLevel="0" collapsed="false">
      <c r="R996" s="13"/>
    </row>
    <row r="997" customFormat="false" ht="15" hidden="false" customHeight="false" outlineLevel="0" collapsed="false">
      <c r="R997" s="13"/>
    </row>
    <row r="998" customFormat="false" ht="15" hidden="false" customHeight="false" outlineLevel="0" collapsed="false">
      <c r="R998" s="13"/>
    </row>
    <row r="999" customFormat="false" ht="15" hidden="false" customHeight="false" outlineLevel="0" collapsed="false">
      <c r="R999" s="13"/>
    </row>
    <row r="1000" customFormat="false" ht="15" hidden="false" customHeight="false" outlineLevel="0" collapsed="false">
      <c r="R1000" s="13"/>
    </row>
  </sheetData>
  <conditionalFormatting sqref="R2:R1000">
    <cfRule type="expression" priority="2" aboveAverage="0" equalAverage="0" bottom="0" percent="0" rank="0" text="" dxfId="10">
      <formula>R2="Cao"</formula>
    </cfRule>
  </conditionalFormatting>
  <dataValidations count="1">
    <dataValidation allowBlank="false" errorStyle="stop" operator="between" showDropDown="false" showErrorMessage="false" showInputMessage="false" sqref="N2:O1000" type="list">
      <formula1>"0,1,2,3"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6"/>
    <col collapsed="false" customWidth="true" hidden="false" outlineLevel="0" max="3" min="3" style="1" width="14"/>
    <col collapsed="false" customWidth="true" hidden="false" outlineLevel="0" max="4" min="4" style="1" width="18"/>
    <col collapsed="false" customWidth="true" hidden="false" outlineLevel="0" max="5" min="5" style="1" width="28"/>
  </cols>
  <sheetData>
    <row r="1" customFormat="false" ht="17.35" hidden="false" customHeight="false" outlineLevel="0" collapsed="false">
      <c r="A1" s="2" t="s">
        <v>2159</v>
      </c>
      <c r="B1" s="2"/>
      <c r="C1" s="2"/>
      <c r="D1" s="2"/>
      <c r="E1" s="2"/>
      <c r="F1" s="2"/>
      <c r="G1" s="2"/>
      <c r="H1" s="2"/>
    </row>
    <row r="3" customFormat="false" ht="15" hidden="false" customHeight="false" outlineLevel="0" collapsed="false">
      <c r="A3" s="3" t="s">
        <v>658</v>
      </c>
      <c r="B3" s="3" t="s">
        <v>2160</v>
      </c>
      <c r="C3" s="3" t="s">
        <v>661</v>
      </c>
      <c r="D3" s="4"/>
      <c r="E3" s="4"/>
    </row>
    <row r="4" customFormat="false" ht="15" hidden="false" customHeight="false" outlineLevel="0" collapsed="false">
      <c r="A4" s="4" t="s">
        <v>2161</v>
      </c>
      <c r="B4" s="4" t="s">
        <v>2162</v>
      </c>
      <c r="C4" s="4" t="n">
        <f aca="false">COUNTA(ZZ_CU_01_PROJECT!A2:A1000)</f>
        <v>7</v>
      </c>
      <c r="D4" s="4"/>
      <c r="E4" s="4"/>
    </row>
    <row r="5" customFormat="false" ht="15" hidden="false" customHeight="false" outlineLevel="0" collapsed="false">
      <c r="A5" s="4" t="s">
        <v>2163</v>
      </c>
      <c r="B5" s="4" t="s">
        <v>2164</v>
      </c>
      <c r="C5" s="4" t="n">
        <f aca="false">COUNTA(ZZ_CU_02_OUTPUT!A2:A2000)</f>
        <v>19</v>
      </c>
      <c r="D5" s="4"/>
      <c r="E5" s="4"/>
    </row>
    <row r="6" customFormat="false" ht="15" hidden="false" customHeight="false" outlineLevel="0" collapsed="false">
      <c r="A6" s="4" t="s">
        <v>2165</v>
      </c>
      <c r="B6" s="4" t="s">
        <v>2166</v>
      </c>
      <c r="C6" s="4" t="n">
        <f aca="false">COUNTA(ZZ_CU_03_IP_ASSET!A2:A2000)</f>
        <v>7</v>
      </c>
      <c r="D6" s="4"/>
      <c r="E6" s="4"/>
    </row>
    <row r="7" customFormat="false" ht="15" hidden="false" customHeight="false" outlineLevel="0" collapsed="false">
      <c r="A7" s="4" t="s">
        <v>2167</v>
      </c>
      <c r="B7" s="4" t="s">
        <v>2168</v>
      </c>
      <c r="C7" s="4" t="n">
        <f aca="false">COUNTIF(ZZ_CU_03_IP_ASSET!L2:L2000,"Có")</f>
        <v>0</v>
      </c>
      <c r="D7" s="4"/>
      <c r="E7" s="4"/>
    </row>
    <row r="8" customFormat="false" ht="15" hidden="false" customHeight="false" outlineLevel="0" collapsed="false">
      <c r="A8" s="4" t="s">
        <v>2169</v>
      </c>
      <c r="B8" s="4" t="s">
        <v>2170</v>
      </c>
      <c r="C8" s="4" t="n">
        <f aca="false">COUNTIF(ZZ_CU_03_IP_ASSET!M2:M2000,"Có")</f>
        <v>0</v>
      </c>
      <c r="D8" s="4"/>
      <c r="E8" s="4"/>
    </row>
    <row r="9" customFormat="false" ht="15" hidden="false" customHeight="false" outlineLevel="0" collapsed="false">
      <c r="A9" s="4" t="s">
        <v>2171</v>
      </c>
      <c r="B9" s="4" t="s">
        <v>2172</v>
      </c>
      <c r="C9" s="4" t="n">
        <f aca="false">COUNTIF(TPL_04_PROTECTION!K2:K2000,"Đã nộp")+COUNTIF(TPL_04_PROTECTION!K2:K2000,"Được cấp")</f>
        <v>0</v>
      </c>
      <c r="D9" s="4"/>
      <c r="E9" s="4"/>
    </row>
    <row r="10" customFormat="false" ht="15" hidden="false" customHeight="false" outlineLevel="0" collapsed="false">
      <c r="A10" s="4" t="s">
        <v>2173</v>
      </c>
      <c r="B10" s="4" t="s">
        <v>2174</v>
      </c>
      <c r="C10" s="4" t="n">
        <f aca="false">COUNTIF(TPL_05_UTIL_VALUE!E2:E2000,"&gt;0")</f>
        <v>1</v>
      </c>
      <c r="D10" s="4"/>
      <c r="E10" s="4"/>
    </row>
    <row r="11" customFormat="false" ht="15" hidden="false" customHeight="false" outlineLevel="0" collapsed="false">
      <c r="A11" s="4" t="s">
        <v>2175</v>
      </c>
      <c r="B11" s="4" t="s">
        <v>2176</v>
      </c>
      <c r="C11" s="4" t="n">
        <f aca="false">COUNTIF(TPL_05_UTIL_VALUE!E2:E2000,7)</f>
        <v>0</v>
      </c>
      <c r="D11" s="4"/>
      <c r="E11" s="4"/>
    </row>
    <row r="12" customFormat="false" ht="15" hidden="false" customHeight="false" outlineLevel="0" collapsed="false">
      <c r="A12" s="4"/>
      <c r="B12" s="4"/>
      <c r="C12" s="4"/>
      <c r="D12" s="4"/>
      <c r="E12" s="4"/>
    </row>
    <row r="13" customFormat="false" ht="15" hidden="false" customHeight="false" outlineLevel="0" collapsed="false">
      <c r="A13" s="19" t="s">
        <v>2177</v>
      </c>
      <c r="B13" s="19" t="s">
        <v>2178</v>
      </c>
      <c r="C13" s="4"/>
      <c r="D13" s="19" t="s">
        <v>2179</v>
      </c>
      <c r="E13" s="19" t="s">
        <v>2178</v>
      </c>
    </row>
    <row r="14" customFormat="false" ht="15" hidden="false" customHeight="false" outlineLevel="0" collapsed="false">
      <c r="A14" s="4" t="n">
        <v>0</v>
      </c>
      <c r="B14" s="4" t="s">
        <v>2180</v>
      </c>
      <c r="C14" s="4"/>
      <c r="D14" s="4" t="n">
        <v>0</v>
      </c>
      <c r="E14" s="4" t="s">
        <v>2181</v>
      </c>
    </row>
    <row r="15" customFormat="false" ht="15" hidden="false" customHeight="false" outlineLevel="0" collapsed="false">
      <c r="A15" s="4" t="n">
        <v>1</v>
      </c>
      <c r="B15" s="4" t="s">
        <v>2182</v>
      </c>
      <c r="C15" s="4"/>
      <c r="D15" s="4" t="n">
        <v>1</v>
      </c>
      <c r="E15" s="4" t="s">
        <v>317</v>
      </c>
    </row>
    <row r="16" customFormat="false" ht="15" hidden="false" customHeight="false" outlineLevel="0" collapsed="false">
      <c r="A16" s="4" t="n">
        <v>2</v>
      </c>
      <c r="B16" s="4" t="s">
        <v>2183</v>
      </c>
      <c r="C16" s="4"/>
      <c r="D16" s="4" t="n">
        <v>2</v>
      </c>
      <c r="E16" s="4" t="s">
        <v>341</v>
      </c>
    </row>
    <row r="17" customFormat="false" ht="15" hidden="false" customHeight="false" outlineLevel="0" collapsed="false">
      <c r="A17" s="4" t="n">
        <v>3</v>
      </c>
      <c r="B17" s="4" t="s">
        <v>833</v>
      </c>
      <c r="C17" s="4"/>
      <c r="D17" s="4" t="n">
        <v>3</v>
      </c>
      <c r="E17" s="4" t="s">
        <v>358</v>
      </c>
    </row>
    <row r="18" customFormat="false" ht="15" hidden="false" customHeight="false" outlineLevel="0" collapsed="false">
      <c r="A18" s="4" t="n">
        <v>4</v>
      </c>
      <c r="B18" s="4" t="s">
        <v>2184</v>
      </c>
      <c r="C18" s="4"/>
      <c r="D18" s="4"/>
      <c r="E18" s="4"/>
    </row>
    <row r="19" customFormat="false" ht="15" hidden="false" customHeight="false" outlineLevel="0" collapsed="false">
      <c r="A19" s="4" t="n">
        <v>5</v>
      </c>
      <c r="B19" s="4" t="s">
        <v>2185</v>
      </c>
      <c r="C19" s="4"/>
      <c r="D19" s="4"/>
      <c r="E19" s="4"/>
    </row>
    <row r="20" customFormat="false" ht="15" hidden="false" customHeight="false" outlineLevel="0" collapsed="false">
      <c r="A20" s="4" t="n">
        <v>6</v>
      </c>
      <c r="B20" s="4" t="s">
        <v>2186</v>
      </c>
      <c r="C20" s="4"/>
      <c r="D20" s="4"/>
      <c r="E20" s="4"/>
    </row>
    <row r="21" customFormat="false" ht="15" hidden="false" customHeight="false" outlineLevel="0" collapsed="false">
      <c r="A21" s="4" t="n">
        <v>7</v>
      </c>
      <c r="B21" s="4" t="s">
        <v>2187</v>
      </c>
      <c r="C21" s="4"/>
      <c r="D21" s="4"/>
      <c r="E21" s="4"/>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2026-09-16T03:04:15Z</dcterms:created>
  <dc:creator>openpyxl</dc:creator>
  <dc:description/>
  <dc:language>en-US</dc:language>
  <cp:lastModifiedBy/>
  <dcterms:modified xsi:type="dcterms:W3CDTF">2026-09-16T03:04:17Z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